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tush/Zoniq/BK blog anal/"/>
    </mc:Choice>
  </mc:AlternateContent>
  <xr:revisionPtr revIDLastSave="0" documentId="13_ncr:1_{48B6F2B1-2F64-5A41-836A-7521D9E9FA14}" xr6:coauthVersionLast="47" xr6:coauthVersionMax="47" xr10:uidLastSave="{00000000-0000-0000-0000-000000000000}"/>
  <bookViews>
    <workbookView xWindow="-2780" yWindow="-23400" windowWidth="38400" windowHeight="23400" xr2:uid="{00000000-000D-0000-FFFF-FFFF00000000}"/>
  </bookViews>
  <sheets>
    <sheet name="Total Kwh per day" sheetId="1" r:id="rId1"/>
  </sheets>
  <definedNames>
    <definedName name="_xlnm._FilterDatabase" localSheetId="0" hidden="1">'Total Kwh per day'!$A$1:$CD$646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5" i="1"/>
  <c r="P136" i="1"/>
  <c r="P137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131" i="1"/>
  <c r="P132" i="1"/>
  <c r="P138" i="1"/>
  <c r="P139" i="1"/>
  <c r="P133" i="1"/>
  <c r="P134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86" i="1"/>
  <c r="P187" i="1"/>
  <c r="P158" i="1"/>
  <c r="P159" i="1"/>
  <c r="P160" i="1"/>
  <c r="P188" i="1"/>
  <c r="P189" i="1"/>
  <c r="P161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162" i="1"/>
  <c r="P338" i="1"/>
  <c r="P339" i="1"/>
  <c r="P340" i="1"/>
  <c r="P227" i="1"/>
  <c r="P228" i="1"/>
  <c r="P229" i="1"/>
  <c r="P341" i="1"/>
  <c r="P230" i="1"/>
  <c r="P342" i="1"/>
  <c r="P343" i="1"/>
  <c r="P231" i="1"/>
  <c r="P344" i="1"/>
  <c r="P345" i="1"/>
  <c r="P232" i="1"/>
  <c r="P346" i="1"/>
  <c r="P233" i="1"/>
  <c r="P234" i="1"/>
  <c r="P235" i="1"/>
  <c r="P347" i="1"/>
  <c r="P348" i="1"/>
  <c r="P236" i="1"/>
  <c r="P349" i="1"/>
  <c r="P237" i="1"/>
  <c r="P238" i="1"/>
  <c r="P239" i="1"/>
  <c r="P350" i="1"/>
  <c r="P240" i="1"/>
  <c r="P351" i="1"/>
  <c r="P241" i="1"/>
  <c r="P352" i="1"/>
  <c r="P353" i="1"/>
  <c r="P242" i="1"/>
  <c r="P354" i="1"/>
  <c r="P355" i="1"/>
  <c r="P243" i="1"/>
  <c r="P244" i="1"/>
  <c r="P356" i="1"/>
  <c r="P163" i="1"/>
  <c r="P357" i="1"/>
  <c r="P358" i="1"/>
  <c r="P245" i="1"/>
  <c r="P359" i="1"/>
  <c r="P164" i="1"/>
  <c r="P165" i="1"/>
  <c r="P360" i="1"/>
  <c r="P361" i="1"/>
  <c r="P362" i="1"/>
  <c r="P363" i="1"/>
  <c r="P364" i="1"/>
  <c r="P365" i="1"/>
  <c r="P366" i="1"/>
  <c r="P1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246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247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248" i="1"/>
  <c r="P454" i="1"/>
  <c r="P455" i="1"/>
  <c r="P456" i="1"/>
  <c r="P249" i="1"/>
  <c r="P457" i="1"/>
  <c r="P458" i="1"/>
  <c r="P459" i="1"/>
  <c r="P250" i="1"/>
  <c r="P460" i="1"/>
  <c r="P461" i="1"/>
  <c r="P462" i="1"/>
  <c r="P463" i="1"/>
  <c r="P464" i="1"/>
  <c r="P465" i="1"/>
  <c r="P466" i="1"/>
  <c r="P467" i="1"/>
  <c r="P468" i="1"/>
  <c r="P469" i="1"/>
  <c r="P251" i="1"/>
  <c r="P470" i="1"/>
  <c r="P471" i="1"/>
  <c r="P472" i="1"/>
  <c r="P473" i="1"/>
  <c r="P474" i="1"/>
  <c r="P475" i="1"/>
  <c r="P476" i="1"/>
  <c r="P477" i="1"/>
  <c r="P252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571" i="1"/>
  <c r="P494" i="1"/>
  <c r="P495" i="1"/>
  <c r="P572" i="1"/>
  <c r="P496" i="1"/>
  <c r="P497" i="1"/>
  <c r="P498" i="1"/>
  <c r="P499" i="1"/>
  <c r="P500" i="1"/>
  <c r="P501" i="1"/>
  <c r="P502" i="1"/>
  <c r="P503" i="1"/>
  <c r="P573" i="1"/>
  <c r="P504" i="1"/>
  <c r="P574" i="1"/>
  <c r="P575" i="1"/>
  <c r="P505" i="1"/>
  <c r="P506" i="1"/>
  <c r="P507" i="1"/>
  <c r="P576" i="1"/>
  <c r="P508" i="1"/>
  <c r="P509" i="1"/>
  <c r="P577" i="1"/>
  <c r="P578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5" i="1"/>
  <c r="N136" i="1"/>
  <c r="N137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131" i="1"/>
  <c r="N132" i="1"/>
  <c r="N138" i="1"/>
  <c r="N139" i="1"/>
  <c r="N133" i="1"/>
  <c r="N134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86" i="1"/>
  <c r="N187" i="1"/>
  <c r="N158" i="1"/>
  <c r="N159" i="1"/>
  <c r="N160" i="1"/>
  <c r="N188" i="1"/>
  <c r="N189" i="1"/>
  <c r="N161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162" i="1"/>
  <c r="N338" i="1"/>
  <c r="N339" i="1"/>
  <c r="N340" i="1"/>
  <c r="N227" i="1"/>
  <c r="N228" i="1"/>
  <c r="N229" i="1"/>
  <c r="N341" i="1"/>
  <c r="N230" i="1"/>
  <c r="N342" i="1"/>
  <c r="N343" i="1"/>
  <c r="N231" i="1"/>
  <c r="N344" i="1"/>
  <c r="N345" i="1"/>
  <c r="N232" i="1"/>
  <c r="N346" i="1"/>
  <c r="N233" i="1"/>
  <c r="N234" i="1"/>
  <c r="N235" i="1"/>
  <c r="N347" i="1"/>
  <c r="N348" i="1"/>
  <c r="N236" i="1"/>
  <c r="N349" i="1"/>
  <c r="N237" i="1"/>
  <c r="N238" i="1"/>
  <c r="N239" i="1"/>
  <c r="N350" i="1"/>
  <c r="N240" i="1"/>
  <c r="N351" i="1"/>
  <c r="N241" i="1"/>
  <c r="N352" i="1"/>
  <c r="N353" i="1"/>
  <c r="N242" i="1"/>
  <c r="N354" i="1"/>
  <c r="N355" i="1"/>
  <c r="N243" i="1"/>
  <c r="N244" i="1"/>
  <c r="N356" i="1"/>
  <c r="N163" i="1"/>
  <c r="N357" i="1"/>
  <c r="N358" i="1"/>
  <c r="N245" i="1"/>
  <c r="N359" i="1"/>
  <c r="N164" i="1"/>
  <c r="N165" i="1"/>
  <c r="N360" i="1"/>
  <c r="N361" i="1"/>
  <c r="N362" i="1"/>
  <c r="N363" i="1"/>
  <c r="N364" i="1"/>
  <c r="N365" i="1"/>
  <c r="N366" i="1"/>
  <c r="N1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246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247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248" i="1"/>
  <c r="N454" i="1"/>
  <c r="N455" i="1"/>
  <c r="N456" i="1"/>
  <c r="N249" i="1"/>
  <c r="N457" i="1"/>
  <c r="N458" i="1"/>
  <c r="N459" i="1"/>
  <c r="N250" i="1"/>
  <c r="N460" i="1"/>
  <c r="N461" i="1"/>
  <c r="N462" i="1"/>
  <c r="N463" i="1"/>
  <c r="N464" i="1"/>
  <c r="N465" i="1"/>
  <c r="N466" i="1"/>
  <c r="N467" i="1"/>
  <c r="N468" i="1"/>
  <c r="N469" i="1"/>
  <c r="N251" i="1"/>
  <c r="N470" i="1"/>
  <c r="N471" i="1"/>
  <c r="N472" i="1"/>
  <c r="N473" i="1"/>
  <c r="N474" i="1"/>
  <c r="N475" i="1"/>
  <c r="N476" i="1"/>
  <c r="N477" i="1"/>
  <c r="N252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571" i="1"/>
  <c r="N494" i="1"/>
  <c r="N495" i="1"/>
  <c r="N572" i="1"/>
  <c r="N496" i="1"/>
  <c r="N497" i="1"/>
  <c r="N498" i="1"/>
  <c r="N499" i="1"/>
  <c r="N500" i="1"/>
  <c r="N501" i="1"/>
  <c r="N502" i="1"/>
  <c r="N503" i="1"/>
  <c r="N573" i="1"/>
  <c r="N504" i="1"/>
  <c r="N574" i="1"/>
  <c r="N575" i="1"/>
  <c r="N505" i="1"/>
  <c r="N506" i="1"/>
  <c r="N507" i="1"/>
  <c r="N576" i="1"/>
  <c r="N508" i="1"/>
  <c r="N509" i="1"/>
  <c r="N577" i="1"/>
  <c r="N578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5" i="1"/>
  <c r="L136" i="1"/>
  <c r="L137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549" i="1"/>
  <c r="L550" i="1"/>
  <c r="L551" i="1"/>
  <c r="L552" i="1"/>
  <c r="L553" i="1"/>
  <c r="L554" i="1"/>
  <c r="L555" i="1"/>
  <c r="Q555" i="1" s="1"/>
  <c r="R555" i="1" s="1"/>
  <c r="L556" i="1"/>
  <c r="Q556" i="1" s="1"/>
  <c r="R556" i="1" s="1"/>
  <c r="L557" i="1"/>
  <c r="Q557" i="1" s="1"/>
  <c r="R557" i="1" s="1"/>
  <c r="L558" i="1"/>
  <c r="Q558" i="1" s="1"/>
  <c r="R558" i="1" s="1"/>
  <c r="L559" i="1"/>
  <c r="Q559" i="1" s="1"/>
  <c r="R559" i="1" s="1"/>
  <c r="L560" i="1"/>
  <c r="Q560" i="1" s="1"/>
  <c r="R560" i="1" s="1"/>
  <c r="L561" i="1"/>
  <c r="Q561" i="1" s="1"/>
  <c r="R561" i="1" s="1"/>
  <c r="L562" i="1"/>
  <c r="Q562" i="1" s="1"/>
  <c r="R562" i="1" s="1"/>
  <c r="L563" i="1"/>
  <c r="Q563" i="1" s="1"/>
  <c r="R563" i="1" s="1"/>
  <c r="L564" i="1"/>
  <c r="Q564" i="1" s="1"/>
  <c r="R564" i="1" s="1"/>
  <c r="L565" i="1"/>
  <c r="Q565" i="1" s="1"/>
  <c r="R565" i="1" s="1"/>
  <c r="L566" i="1"/>
  <c r="Q566" i="1" s="1"/>
  <c r="R566" i="1" s="1"/>
  <c r="L567" i="1"/>
  <c r="Q567" i="1" s="1"/>
  <c r="R567" i="1" s="1"/>
  <c r="L568" i="1"/>
  <c r="Q568" i="1" s="1"/>
  <c r="R568" i="1" s="1"/>
  <c r="L569" i="1"/>
  <c r="Q569" i="1" s="1"/>
  <c r="R569" i="1" s="1"/>
  <c r="L570" i="1"/>
  <c r="Q570" i="1" s="1"/>
  <c r="R570" i="1" s="1"/>
  <c r="L131" i="1"/>
  <c r="L132" i="1"/>
  <c r="L138" i="1"/>
  <c r="Q138" i="1" s="1"/>
  <c r="R138" i="1" s="1"/>
  <c r="L139" i="1"/>
  <c r="Q139" i="1" s="1"/>
  <c r="R139" i="1" s="1"/>
  <c r="L133" i="1"/>
  <c r="L134" i="1"/>
  <c r="L140" i="1"/>
  <c r="Q140" i="1" s="1"/>
  <c r="R140" i="1" s="1"/>
  <c r="L141" i="1"/>
  <c r="Q141" i="1" s="1"/>
  <c r="R141" i="1" s="1"/>
  <c r="L142" i="1"/>
  <c r="Q142" i="1" s="1"/>
  <c r="R142" i="1" s="1"/>
  <c r="L143" i="1"/>
  <c r="Q143" i="1" s="1"/>
  <c r="R143" i="1" s="1"/>
  <c r="L144" i="1"/>
  <c r="Q144" i="1" s="1"/>
  <c r="R144" i="1" s="1"/>
  <c r="L145" i="1"/>
  <c r="Q145" i="1" s="1"/>
  <c r="R145" i="1" s="1"/>
  <c r="L146" i="1"/>
  <c r="Q146" i="1" s="1"/>
  <c r="R146" i="1" s="1"/>
  <c r="L147" i="1"/>
  <c r="Q147" i="1" s="1"/>
  <c r="R147" i="1" s="1"/>
  <c r="L148" i="1"/>
  <c r="Q148" i="1" s="1"/>
  <c r="R148" i="1" s="1"/>
  <c r="L149" i="1"/>
  <c r="Q149" i="1" s="1"/>
  <c r="R149" i="1" s="1"/>
  <c r="L150" i="1"/>
  <c r="Q150" i="1" s="1"/>
  <c r="R150" i="1" s="1"/>
  <c r="L151" i="1"/>
  <c r="Q151" i="1" s="1"/>
  <c r="R151" i="1" s="1"/>
  <c r="L152" i="1"/>
  <c r="Q152" i="1" s="1"/>
  <c r="R152" i="1" s="1"/>
  <c r="L153" i="1"/>
  <c r="Q153" i="1" s="1"/>
  <c r="R153" i="1" s="1"/>
  <c r="L154" i="1"/>
  <c r="Q154" i="1" s="1"/>
  <c r="R154" i="1" s="1"/>
  <c r="L155" i="1"/>
  <c r="Q155" i="1" s="1"/>
  <c r="R155" i="1" s="1"/>
  <c r="L156" i="1"/>
  <c r="Q156" i="1" s="1"/>
  <c r="R156" i="1" s="1"/>
  <c r="L157" i="1"/>
  <c r="Q157" i="1" s="1"/>
  <c r="R157" i="1" s="1"/>
  <c r="L186" i="1"/>
  <c r="Q186" i="1" s="1"/>
  <c r="R186" i="1" s="1"/>
  <c r="L187" i="1"/>
  <c r="Q187" i="1" s="1"/>
  <c r="R187" i="1" s="1"/>
  <c r="L158" i="1"/>
  <c r="Q158" i="1" s="1"/>
  <c r="R158" i="1" s="1"/>
  <c r="L159" i="1"/>
  <c r="Q159" i="1" s="1"/>
  <c r="R159" i="1" s="1"/>
  <c r="L160" i="1"/>
  <c r="Q160" i="1" s="1"/>
  <c r="R160" i="1" s="1"/>
  <c r="L188" i="1"/>
  <c r="Q188" i="1" s="1"/>
  <c r="R188" i="1" s="1"/>
  <c r="L189" i="1"/>
  <c r="Q189" i="1" s="1"/>
  <c r="R189" i="1" s="1"/>
  <c r="L161" i="1"/>
  <c r="Q161" i="1" s="1"/>
  <c r="R161" i="1" s="1"/>
  <c r="L190" i="1"/>
  <c r="Q190" i="1" s="1"/>
  <c r="R190" i="1" s="1"/>
  <c r="L191" i="1"/>
  <c r="Q191" i="1" s="1"/>
  <c r="R191" i="1" s="1"/>
  <c r="L192" i="1"/>
  <c r="Q192" i="1" s="1"/>
  <c r="R192" i="1" s="1"/>
  <c r="L193" i="1"/>
  <c r="Q193" i="1" s="1"/>
  <c r="R193" i="1" s="1"/>
  <c r="L194" i="1"/>
  <c r="Q194" i="1" s="1"/>
  <c r="R194" i="1" s="1"/>
  <c r="L195" i="1"/>
  <c r="Q195" i="1" s="1"/>
  <c r="R195" i="1" s="1"/>
  <c r="L196" i="1"/>
  <c r="Q196" i="1" s="1"/>
  <c r="R196" i="1" s="1"/>
  <c r="L197" i="1"/>
  <c r="Q197" i="1" s="1"/>
  <c r="R197" i="1" s="1"/>
  <c r="L198" i="1"/>
  <c r="Q198" i="1" s="1"/>
  <c r="R198" i="1" s="1"/>
  <c r="L199" i="1"/>
  <c r="Q199" i="1" s="1"/>
  <c r="R199" i="1" s="1"/>
  <c r="L200" i="1"/>
  <c r="Q200" i="1" s="1"/>
  <c r="R200" i="1" s="1"/>
  <c r="L201" i="1"/>
  <c r="Q201" i="1" s="1"/>
  <c r="R201" i="1" s="1"/>
  <c r="L202" i="1"/>
  <c r="Q202" i="1" s="1"/>
  <c r="R202" i="1" s="1"/>
  <c r="L203" i="1"/>
  <c r="Q203" i="1" s="1"/>
  <c r="R203" i="1" s="1"/>
  <c r="L204" i="1"/>
  <c r="Q204" i="1" s="1"/>
  <c r="R204" i="1" s="1"/>
  <c r="L205" i="1"/>
  <c r="Q205" i="1" s="1"/>
  <c r="R205" i="1" s="1"/>
  <c r="L206" i="1"/>
  <c r="Q206" i="1" s="1"/>
  <c r="R206" i="1" s="1"/>
  <c r="L207" i="1"/>
  <c r="Q207" i="1" s="1"/>
  <c r="R207" i="1" s="1"/>
  <c r="L208" i="1"/>
  <c r="Q208" i="1" s="1"/>
  <c r="R208" i="1" s="1"/>
  <c r="L209" i="1"/>
  <c r="Q209" i="1" s="1"/>
  <c r="R209" i="1" s="1"/>
  <c r="L210" i="1"/>
  <c r="Q210" i="1" s="1"/>
  <c r="R210" i="1" s="1"/>
  <c r="L211" i="1"/>
  <c r="Q211" i="1" s="1"/>
  <c r="R211" i="1" s="1"/>
  <c r="L212" i="1"/>
  <c r="Q212" i="1" s="1"/>
  <c r="R212" i="1" s="1"/>
  <c r="L213" i="1"/>
  <c r="Q213" i="1" s="1"/>
  <c r="R213" i="1" s="1"/>
  <c r="L214" i="1"/>
  <c r="Q214" i="1" s="1"/>
  <c r="R214" i="1" s="1"/>
  <c r="L215" i="1"/>
  <c r="Q215" i="1" s="1"/>
  <c r="R215" i="1" s="1"/>
  <c r="L216" i="1"/>
  <c r="Q216" i="1" s="1"/>
  <c r="R216" i="1" s="1"/>
  <c r="L217" i="1"/>
  <c r="Q217" i="1" s="1"/>
  <c r="R217" i="1" s="1"/>
  <c r="L218" i="1"/>
  <c r="Q218" i="1" s="1"/>
  <c r="R218" i="1" s="1"/>
  <c r="L219" i="1"/>
  <c r="Q219" i="1" s="1"/>
  <c r="R219" i="1" s="1"/>
  <c r="L220" i="1"/>
  <c r="Q220" i="1" s="1"/>
  <c r="R220" i="1" s="1"/>
  <c r="L221" i="1"/>
  <c r="Q221" i="1" s="1"/>
  <c r="R221" i="1" s="1"/>
  <c r="L222" i="1"/>
  <c r="Q222" i="1" s="1"/>
  <c r="R222" i="1" s="1"/>
  <c r="L223" i="1"/>
  <c r="Q223" i="1" s="1"/>
  <c r="R223" i="1" s="1"/>
  <c r="L224" i="1"/>
  <c r="Q224" i="1" s="1"/>
  <c r="R224" i="1" s="1"/>
  <c r="L225" i="1"/>
  <c r="Q225" i="1" s="1"/>
  <c r="R225" i="1" s="1"/>
  <c r="L226" i="1"/>
  <c r="Q226" i="1" s="1"/>
  <c r="R226" i="1" s="1"/>
  <c r="L162" i="1"/>
  <c r="L338" i="1"/>
  <c r="Q338" i="1" s="1"/>
  <c r="R338" i="1" s="1"/>
  <c r="L339" i="1"/>
  <c r="Q339" i="1" s="1"/>
  <c r="R339" i="1" s="1"/>
  <c r="L340" i="1"/>
  <c r="Q340" i="1" s="1"/>
  <c r="R340" i="1" s="1"/>
  <c r="L227" i="1"/>
  <c r="Q227" i="1" s="1"/>
  <c r="R227" i="1" s="1"/>
  <c r="L228" i="1"/>
  <c r="Q228" i="1" s="1"/>
  <c r="R228" i="1" s="1"/>
  <c r="L229" i="1"/>
  <c r="Q229" i="1" s="1"/>
  <c r="R229" i="1" s="1"/>
  <c r="L341" i="1"/>
  <c r="Q341" i="1" s="1"/>
  <c r="R341" i="1" s="1"/>
  <c r="L230" i="1"/>
  <c r="Q230" i="1" s="1"/>
  <c r="R230" i="1" s="1"/>
  <c r="L342" i="1"/>
  <c r="Q342" i="1" s="1"/>
  <c r="R342" i="1" s="1"/>
  <c r="L343" i="1"/>
  <c r="Q343" i="1" s="1"/>
  <c r="R343" i="1" s="1"/>
  <c r="L231" i="1"/>
  <c r="Q231" i="1" s="1"/>
  <c r="R231" i="1" s="1"/>
  <c r="L344" i="1"/>
  <c r="Q344" i="1" s="1"/>
  <c r="R344" i="1" s="1"/>
  <c r="L345" i="1"/>
  <c r="Q345" i="1" s="1"/>
  <c r="R345" i="1" s="1"/>
  <c r="L232" i="1"/>
  <c r="Q232" i="1" s="1"/>
  <c r="R232" i="1" s="1"/>
  <c r="L346" i="1"/>
  <c r="Q346" i="1" s="1"/>
  <c r="R346" i="1" s="1"/>
  <c r="L233" i="1"/>
  <c r="Q233" i="1" s="1"/>
  <c r="R233" i="1" s="1"/>
  <c r="L234" i="1"/>
  <c r="Q234" i="1" s="1"/>
  <c r="R234" i="1" s="1"/>
  <c r="L235" i="1"/>
  <c r="Q235" i="1" s="1"/>
  <c r="R235" i="1" s="1"/>
  <c r="L347" i="1"/>
  <c r="Q347" i="1" s="1"/>
  <c r="R347" i="1" s="1"/>
  <c r="L348" i="1"/>
  <c r="Q348" i="1" s="1"/>
  <c r="R348" i="1" s="1"/>
  <c r="L236" i="1"/>
  <c r="Q236" i="1" s="1"/>
  <c r="R236" i="1" s="1"/>
  <c r="L349" i="1"/>
  <c r="Q349" i="1" s="1"/>
  <c r="R349" i="1" s="1"/>
  <c r="L237" i="1"/>
  <c r="Q237" i="1" s="1"/>
  <c r="R237" i="1" s="1"/>
  <c r="L238" i="1"/>
  <c r="Q238" i="1" s="1"/>
  <c r="R238" i="1" s="1"/>
  <c r="L239" i="1"/>
  <c r="Q239" i="1" s="1"/>
  <c r="R239" i="1" s="1"/>
  <c r="L350" i="1"/>
  <c r="Q350" i="1" s="1"/>
  <c r="R350" i="1" s="1"/>
  <c r="L240" i="1"/>
  <c r="Q240" i="1" s="1"/>
  <c r="R240" i="1" s="1"/>
  <c r="L351" i="1"/>
  <c r="Q351" i="1" s="1"/>
  <c r="R351" i="1" s="1"/>
  <c r="L241" i="1"/>
  <c r="Q241" i="1" s="1"/>
  <c r="R241" i="1" s="1"/>
  <c r="L352" i="1"/>
  <c r="Q352" i="1" s="1"/>
  <c r="R352" i="1" s="1"/>
  <c r="L353" i="1"/>
  <c r="Q353" i="1" s="1"/>
  <c r="R353" i="1" s="1"/>
  <c r="L242" i="1"/>
  <c r="Q242" i="1" s="1"/>
  <c r="R242" i="1" s="1"/>
  <c r="L354" i="1"/>
  <c r="Q354" i="1" s="1"/>
  <c r="R354" i="1" s="1"/>
  <c r="L355" i="1"/>
  <c r="Q355" i="1" s="1"/>
  <c r="R355" i="1" s="1"/>
  <c r="L243" i="1"/>
  <c r="Q243" i="1" s="1"/>
  <c r="R243" i="1" s="1"/>
  <c r="L244" i="1"/>
  <c r="Q244" i="1" s="1"/>
  <c r="R244" i="1" s="1"/>
  <c r="L356" i="1"/>
  <c r="L163" i="1"/>
  <c r="L357" i="1"/>
  <c r="L358" i="1"/>
  <c r="L245" i="1"/>
  <c r="L359" i="1"/>
  <c r="L164" i="1"/>
  <c r="L165" i="1"/>
  <c r="L360" i="1"/>
  <c r="L361" i="1"/>
  <c r="L362" i="1"/>
  <c r="L363" i="1"/>
  <c r="L364" i="1"/>
  <c r="L365" i="1"/>
  <c r="L366" i="1"/>
  <c r="L1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Q387" i="1" s="1"/>
  <c r="R387" i="1" s="1"/>
  <c r="L388" i="1"/>
  <c r="Q388" i="1" s="1"/>
  <c r="R388" i="1" s="1"/>
  <c r="L389" i="1"/>
  <c r="Q389" i="1" s="1"/>
  <c r="R389" i="1" s="1"/>
  <c r="L390" i="1"/>
  <c r="Q390" i="1" s="1"/>
  <c r="R390" i="1" s="1"/>
  <c r="L391" i="1"/>
  <c r="Q391" i="1" s="1"/>
  <c r="R391" i="1" s="1"/>
  <c r="L392" i="1"/>
  <c r="Q392" i="1" s="1"/>
  <c r="R392" i="1" s="1"/>
  <c r="L393" i="1"/>
  <c r="Q393" i="1" s="1"/>
  <c r="R393" i="1" s="1"/>
  <c r="L394" i="1"/>
  <c r="Q394" i="1" s="1"/>
  <c r="R394" i="1" s="1"/>
  <c r="L395" i="1"/>
  <c r="Q395" i="1" s="1"/>
  <c r="R395" i="1" s="1"/>
  <c r="L396" i="1"/>
  <c r="Q396" i="1" s="1"/>
  <c r="R396" i="1" s="1"/>
  <c r="L397" i="1"/>
  <c r="Q397" i="1" s="1"/>
  <c r="R397" i="1" s="1"/>
  <c r="L398" i="1"/>
  <c r="Q398" i="1" s="1"/>
  <c r="R398" i="1" s="1"/>
  <c r="L399" i="1"/>
  <c r="Q399" i="1" s="1"/>
  <c r="R399" i="1" s="1"/>
  <c r="L400" i="1"/>
  <c r="Q400" i="1" s="1"/>
  <c r="R400" i="1" s="1"/>
  <c r="L401" i="1"/>
  <c r="Q401" i="1" s="1"/>
  <c r="R401" i="1" s="1"/>
  <c r="L402" i="1"/>
  <c r="Q402" i="1" s="1"/>
  <c r="R402" i="1" s="1"/>
  <c r="L403" i="1"/>
  <c r="Q403" i="1" s="1"/>
  <c r="R403" i="1" s="1"/>
  <c r="L404" i="1"/>
  <c r="Q404" i="1" s="1"/>
  <c r="R404" i="1" s="1"/>
  <c r="L405" i="1"/>
  <c r="Q405" i="1" s="1"/>
  <c r="R405" i="1" s="1"/>
  <c r="L246" i="1"/>
  <c r="L406" i="1"/>
  <c r="Q406" i="1" s="1"/>
  <c r="R406" i="1" s="1"/>
  <c r="L407" i="1"/>
  <c r="Q407" i="1" s="1"/>
  <c r="R407" i="1" s="1"/>
  <c r="L408" i="1"/>
  <c r="Q408" i="1" s="1"/>
  <c r="R408" i="1" s="1"/>
  <c r="L409" i="1"/>
  <c r="Q409" i="1" s="1"/>
  <c r="R409" i="1" s="1"/>
  <c r="L410" i="1"/>
  <c r="Q410" i="1" s="1"/>
  <c r="R410" i="1" s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247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248" i="1"/>
  <c r="L454" i="1"/>
  <c r="L455" i="1"/>
  <c r="L456" i="1"/>
  <c r="L249" i="1"/>
  <c r="L457" i="1"/>
  <c r="L458" i="1"/>
  <c r="L459" i="1"/>
  <c r="L250" i="1"/>
  <c r="L460" i="1"/>
  <c r="L461" i="1"/>
  <c r="L462" i="1"/>
  <c r="L463" i="1"/>
  <c r="L464" i="1"/>
  <c r="L465" i="1"/>
  <c r="L466" i="1"/>
  <c r="L467" i="1"/>
  <c r="L468" i="1"/>
  <c r="L469" i="1"/>
  <c r="L251" i="1"/>
  <c r="L470" i="1"/>
  <c r="L471" i="1"/>
  <c r="L472" i="1"/>
  <c r="L473" i="1"/>
  <c r="L474" i="1"/>
  <c r="L475" i="1"/>
  <c r="L476" i="1"/>
  <c r="L477" i="1"/>
  <c r="L252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571" i="1"/>
  <c r="L494" i="1"/>
  <c r="L495" i="1"/>
  <c r="L572" i="1"/>
  <c r="L496" i="1"/>
  <c r="L497" i="1"/>
  <c r="L498" i="1"/>
  <c r="L499" i="1"/>
  <c r="L500" i="1"/>
  <c r="L501" i="1"/>
  <c r="L502" i="1"/>
  <c r="L503" i="1"/>
  <c r="L573" i="1"/>
  <c r="L504" i="1"/>
  <c r="L574" i="1"/>
  <c r="L575" i="1"/>
  <c r="L505" i="1"/>
  <c r="L506" i="1"/>
  <c r="L507" i="1"/>
  <c r="L576" i="1"/>
  <c r="L508" i="1"/>
  <c r="L509" i="1"/>
  <c r="L577" i="1"/>
  <c r="L578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2" i="1"/>
  <c r="J3" i="1"/>
  <c r="Q3" i="1" s="1"/>
  <c r="R3" i="1" s="1"/>
  <c r="J4" i="1"/>
  <c r="Q4" i="1" s="1"/>
  <c r="R4" i="1" s="1"/>
  <c r="J5" i="1"/>
  <c r="Q5" i="1" s="1"/>
  <c r="R5" i="1" s="1"/>
  <c r="J6" i="1"/>
  <c r="Q6" i="1" s="1"/>
  <c r="R6" i="1" s="1"/>
  <c r="J7" i="1"/>
  <c r="Q7" i="1" s="1"/>
  <c r="R7" i="1" s="1"/>
  <c r="J8" i="1"/>
  <c r="Q8" i="1" s="1"/>
  <c r="R8" i="1" s="1"/>
  <c r="J9" i="1"/>
  <c r="Q9" i="1" s="1"/>
  <c r="R9" i="1" s="1"/>
  <c r="J10" i="1"/>
  <c r="Q10" i="1" s="1"/>
  <c r="R10" i="1" s="1"/>
  <c r="J11" i="1"/>
  <c r="Q11" i="1" s="1"/>
  <c r="R11" i="1" s="1"/>
  <c r="J12" i="1"/>
  <c r="Q12" i="1" s="1"/>
  <c r="R12" i="1" s="1"/>
  <c r="J13" i="1"/>
  <c r="Q13" i="1" s="1"/>
  <c r="R13" i="1" s="1"/>
  <c r="J14" i="1"/>
  <c r="Q14" i="1" s="1"/>
  <c r="R14" i="1" s="1"/>
  <c r="J15" i="1"/>
  <c r="Q15" i="1" s="1"/>
  <c r="R15" i="1" s="1"/>
  <c r="J16" i="1"/>
  <c r="Q16" i="1" s="1"/>
  <c r="R16" i="1" s="1"/>
  <c r="J17" i="1"/>
  <c r="Q17" i="1" s="1"/>
  <c r="R17" i="1" s="1"/>
  <c r="J18" i="1"/>
  <c r="Q18" i="1" s="1"/>
  <c r="R18" i="1" s="1"/>
  <c r="J19" i="1"/>
  <c r="Q19" i="1" s="1"/>
  <c r="R19" i="1" s="1"/>
  <c r="J20" i="1"/>
  <c r="Q20" i="1" s="1"/>
  <c r="R20" i="1" s="1"/>
  <c r="J21" i="1"/>
  <c r="Q21" i="1" s="1"/>
  <c r="R21" i="1" s="1"/>
  <c r="J22" i="1"/>
  <c r="Q22" i="1" s="1"/>
  <c r="R22" i="1" s="1"/>
  <c r="J23" i="1"/>
  <c r="Q23" i="1" s="1"/>
  <c r="R23" i="1" s="1"/>
  <c r="J24" i="1"/>
  <c r="Q24" i="1" s="1"/>
  <c r="R24" i="1" s="1"/>
  <c r="J25" i="1"/>
  <c r="Q25" i="1" s="1"/>
  <c r="R25" i="1" s="1"/>
  <c r="J26" i="1"/>
  <c r="Q26" i="1" s="1"/>
  <c r="R26" i="1" s="1"/>
  <c r="J27" i="1"/>
  <c r="Q27" i="1" s="1"/>
  <c r="R27" i="1" s="1"/>
  <c r="J28" i="1"/>
  <c r="Q28" i="1" s="1"/>
  <c r="R28" i="1" s="1"/>
  <c r="J29" i="1"/>
  <c r="Q29" i="1" s="1"/>
  <c r="R29" i="1" s="1"/>
  <c r="J30" i="1"/>
  <c r="Q30" i="1" s="1"/>
  <c r="R30" i="1" s="1"/>
  <c r="J31" i="1"/>
  <c r="Q31" i="1" s="1"/>
  <c r="R31" i="1" s="1"/>
  <c r="J32" i="1"/>
  <c r="Q32" i="1" s="1"/>
  <c r="R32" i="1" s="1"/>
  <c r="J33" i="1"/>
  <c r="Q33" i="1" s="1"/>
  <c r="R33" i="1" s="1"/>
  <c r="J34" i="1"/>
  <c r="Q34" i="1" s="1"/>
  <c r="R34" i="1" s="1"/>
  <c r="J35" i="1"/>
  <c r="Q35" i="1" s="1"/>
  <c r="R35" i="1" s="1"/>
  <c r="J36" i="1"/>
  <c r="Q36" i="1" s="1"/>
  <c r="R36" i="1" s="1"/>
  <c r="J37" i="1"/>
  <c r="Q37" i="1" s="1"/>
  <c r="R37" i="1" s="1"/>
  <c r="J38" i="1"/>
  <c r="Q38" i="1" s="1"/>
  <c r="R38" i="1" s="1"/>
  <c r="J39" i="1"/>
  <c r="Q39" i="1" s="1"/>
  <c r="R39" i="1" s="1"/>
  <c r="J40" i="1"/>
  <c r="Q40" i="1" s="1"/>
  <c r="R40" i="1" s="1"/>
  <c r="J41" i="1"/>
  <c r="Q41" i="1" s="1"/>
  <c r="R41" i="1" s="1"/>
  <c r="J42" i="1"/>
  <c r="Q42" i="1" s="1"/>
  <c r="R42" i="1" s="1"/>
  <c r="J43" i="1"/>
  <c r="Q43" i="1" s="1"/>
  <c r="R43" i="1" s="1"/>
  <c r="J44" i="1"/>
  <c r="Q44" i="1" s="1"/>
  <c r="R44" i="1" s="1"/>
  <c r="J45" i="1"/>
  <c r="Q45" i="1" s="1"/>
  <c r="R45" i="1" s="1"/>
  <c r="J46" i="1"/>
  <c r="Q46" i="1" s="1"/>
  <c r="R46" i="1" s="1"/>
  <c r="J47" i="1"/>
  <c r="Q47" i="1" s="1"/>
  <c r="R47" i="1" s="1"/>
  <c r="J48" i="1"/>
  <c r="Q48" i="1" s="1"/>
  <c r="R48" i="1" s="1"/>
  <c r="J49" i="1"/>
  <c r="Q49" i="1" s="1"/>
  <c r="R49" i="1" s="1"/>
  <c r="J50" i="1"/>
  <c r="Q50" i="1" s="1"/>
  <c r="R50" i="1" s="1"/>
  <c r="J51" i="1"/>
  <c r="Q51" i="1" s="1"/>
  <c r="R51" i="1" s="1"/>
  <c r="J52" i="1"/>
  <c r="Q52" i="1" s="1"/>
  <c r="R52" i="1" s="1"/>
  <c r="J53" i="1"/>
  <c r="Q53" i="1" s="1"/>
  <c r="R53" i="1" s="1"/>
  <c r="J54" i="1"/>
  <c r="Q54" i="1" s="1"/>
  <c r="R54" i="1" s="1"/>
  <c r="J55" i="1"/>
  <c r="Q55" i="1" s="1"/>
  <c r="R55" i="1" s="1"/>
  <c r="J56" i="1"/>
  <c r="Q56" i="1" s="1"/>
  <c r="R56" i="1" s="1"/>
  <c r="J57" i="1"/>
  <c r="Q57" i="1" s="1"/>
  <c r="R57" i="1" s="1"/>
  <c r="J58" i="1"/>
  <c r="Q58" i="1" s="1"/>
  <c r="R58" i="1" s="1"/>
  <c r="J59" i="1"/>
  <c r="Q59" i="1" s="1"/>
  <c r="R59" i="1" s="1"/>
  <c r="J60" i="1"/>
  <c r="Q60" i="1" s="1"/>
  <c r="R60" i="1" s="1"/>
  <c r="J61" i="1"/>
  <c r="Q61" i="1" s="1"/>
  <c r="R61" i="1" s="1"/>
  <c r="J62" i="1"/>
  <c r="Q62" i="1" s="1"/>
  <c r="R62" i="1" s="1"/>
  <c r="J63" i="1"/>
  <c r="Q63" i="1" s="1"/>
  <c r="R63" i="1" s="1"/>
  <c r="J64" i="1"/>
  <c r="Q64" i="1" s="1"/>
  <c r="R64" i="1" s="1"/>
  <c r="J65" i="1"/>
  <c r="Q65" i="1" s="1"/>
  <c r="R65" i="1" s="1"/>
  <c r="J66" i="1"/>
  <c r="Q66" i="1" s="1"/>
  <c r="R66" i="1" s="1"/>
  <c r="J67" i="1"/>
  <c r="Q67" i="1" s="1"/>
  <c r="R67" i="1" s="1"/>
  <c r="J68" i="1"/>
  <c r="Q68" i="1" s="1"/>
  <c r="R68" i="1" s="1"/>
  <c r="J69" i="1"/>
  <c r="Q69" i="1" s="1"/>
  <c r="R69" i="1" s="1"/>
  <c r="J70" i="1"/>
  <c r="Q70" i="1" s="1"/>
  <c r="R70" i="1" s="1"/>
  <c r="J71" i="1"/>
  <c r="Q71" i="1" s="1"/>
  <c r="R71" i="1" s="1"/>
  <c r="J72" i="1"/>
  <c r="Q72" i="1" s="1"/>
  <c r="R72" i="1" s="1"/>
  <c r="J73" i="1"/>
  <c r="Q73" i="1" s="1"/>
  <c r="R73" i="1" s="1"/>
  <c r="J74" i="1"/>
  <c r="Q74" i="1" s="1"/>
  <c r="R74" i="1" s="1"/>
  <c r="J75" i="1"/>
  <c r="Q75" i="1" s="1"/>
  <c r="R75" i="1" s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5" i="1"/>
  <c r="J136" i="1"/>
  <c r="J137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131" i="1"/>
  <c r="Q131" i="1" s="1"/>
  <c r="R131" i="1" s="1"/>
  <c r="J132" i="1"/>
  <c r="Q132" i="1" s="1"/>
  <c r="R132" i="1" s="1"/>
  <c r="J138" i="1"/>
  <c r="J139" i="1"/>
  <c r="J133" i="1"/>
  <c r="Q133" i="1" s="1"/>
  <c r="R133" i="1" s="1"/>
  <c r="J134" i="1"/>
  <c r="Q134" i="1" s="1"/>
  <c r="R134" i="1" s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86" i="1"/>
  <c r="J187" i="1"/>
  <c r="J158" i="1"/>
  <c r="J159" i="1"/>
  <c r="J160" i="1"/>
  <c r="J188" i="1"/>
  <c r="J189" i="1"/>
  <c r="J161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162" i="1"/>
  <c r="J338" i="1"/>
  <c r="J339" i="1"/>
  <c r="J340" i="1"/>
  <c r="J227" i="1"/>
  <c r="J228" i="1"/>
  <c r="J229" i="1"/>
  <c r="J341" i="1"/>
  <c r="J230" i="1"/>
  <c r="J342" i="1"/>
  <c r="J343" i="1"/>
  <c r="J231" i="1"/>
  <c r="J344" i="1"/>
  <c r="J345" i="1"/>
  <c r="J232" i="1"/>
  <c r="J346" i="1"/>
  <c r="J233" i="1"/>
  <c r="J234" i="1"/>
  <c r="J235" i="1"/>
  <c r="J347" i="1"/>
  <c r="J348" i="1"/>
  <c r="J236" i="1"/>
  <c r="J349" i="1"/>
  <c r="J237" i="1"/>
  <c r="J238" i="1"/>
  <c r="J239" i="1"/>
  <c r="J350" i="1"/>
  <c r="J240" i="1"/>
  <c r="J351" i="1"/>
  <c r="J241" i="1"/>
  <c r="J352" i="1"/>
  <c r="J353" i="1"/>
  <c r="J242" i="1"/>
  <c r="J354" i="1"/>
  <c r="J355" i="1"/>
  <c r="J243" i="1"/>
  <c r="J244" i="1"/>
  <c r="J356" i="1"/>
  <c r="J163" i="1"/>
  <c r="Q163" i="1" s="1"/>
  <c r="R163" i="1" s="1"/>
  <c r="J357" i="1"/>
  <c r="J358" i="1"/>
  <c r="J245" i="1"/>
  <c r="J359" i="1"/>
  <c r="J164" i="1"/>
  <c r="Q164" i="1" s="1"/>
  <c r="R164" i="1" s="1"/>
  <c r="J165" i="1"/>
  <c r="Q165" i="1" s="1"/>
  <c r="R165" i="1" s="1"/>
  <c r="J360" i="1"/>
  <c r="J361" i="1"/>
  <c r="J362" i="1"/>
  <c r="J363" i="1"/>
  <c r="J364" i="1"/>
  <c r="J365" i="1"/>
  <c r="J366" i="1"/>
  <c r="J1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246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247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248" i="1"/>
  <c r="J454" i="1"/>
  <c r="J455" i="1"/>
  <c r="J456" i="1"/>
  <c r="J249" i="1"/>
  <c r="J457" i="1"/>
  <c r="J458" i="1"/>
  <c r="J459" i="1"/>
  <c r="J250" i="1"/>
  <c r="J460" i="1"/>
  <c r="J461" i="1"/>
  <c r="J462" i="1"/>
  <c r="J463" i="1"/>
  <c r="J464" i="1"/>
  <c r="J465" i="1"/>
  <c r="J466" i="1"/>
  <c r="J467" i="1"/>
  <c r="J468" i="1"/>
  <c r="J469" i="1"/>
  <c r="J251" i="1"/>
  <c r="J470" i="1"/>
  <c r="J471" i="1"/>
  <c r="J472" i="1"/>
  <c r="J473" i="1"/>
  <c r="J474" i="1"/>
  <c r="J475" i="1"/>
  <c r="J476" i="1"/>
  <c r="J477" i="1"/>
  <c r="J252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571" i="1"/>
  <c r="J494" i="1"/>
  <c r="J495" i="1"/>
  <c r="J572" i="1"/>
  <c r="J496" i="1"/>
  <c r="J497" i="1"/>
  <c r="J498" i="1"/>
  <c r="J499" i="1"/>
  <c r="J500" i="1"/>
  <c r="J501" i="1"/>
  <c r="J502" i="1"/>
  <c r="J503" i="1"/>
  <c r="J573" i="1"/>
  <c r="J504" i="1"/>
  <c r="J574" i="1"/>
  <c r="J575" i="1"/>
  <c r="J505" i="1"/>
  <c r="J506" i="1"/>
  <c r="J507" i="1"/>
  <c r="J576" i="1"/>
  <c r="J508" i="1"/>
  <c r="J509" i="1"/>
  <c r="J577" i="1"/>
  <c r="J578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2" i="1"/>
  <c r="Q356" i="1" l="1"/>
  <c r="R356" i="1" s="1"/>
  <c r="Q357" i="1"/>
  <c r="R357" i="1" s="1"/>
  <c r="Q358" i="1"/>
  <c r="R358" i="1" s="1"/>
  <c r="Q245" i="1"/>
  <c r="R245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5" i="1"/>
  <c r="R135" i="1" s="1"/>
  <c r="Q136" i="1"/>
  <c r="R136" i="1" s="1"/>
  <c r="Q137" i="1"/>
  <c r="R137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162" i="1"/>
  <c r="R162" i="1" s="1"/>
  <c r="Q166" i="1"/>
  <c r="R166" i="1" s="1"/>
  <c r="Q246" i="1"/>
  <c r="R246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247" i="1"/>
  <c r="R247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248" i="1"/>
  <c r="R248" i="1" s="1"/>
  <c r="Q454" i="1"/>
  <c r="R454" i="1" s="1"/>
  <c r="Q455" i="1"/>
  <c r="R455" i="1" s="1"/>
  <c r="Q456" i="1"/>
  <c r="R456" i="1" s="1"/>
  <c r="Q249" i="1"/>
  <c r="R249" i="1" s="1"/>
  <c r="Q457" i="1"/>
  <c r="R457" i="1" s="1"/>
  <c r="Q458" i="1"/>
  <c r="R458" i="1" s="1"/>
  <c r="Q459" i="1"/>
  <c r="R459" i="1" s="1"/>
  <c r="Q250" i="1"/>
  <c r="R250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251" i="1"/>
  <c r="R251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252" i="1"/>
  <c r="R252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571" i="1"/>
  <c r="R571" i="1" s="1"/>
  <c r="Q494" i="1"/>
  <c r="R494" i="1" s="1"/>
  <c r="Q495" i="1"/>
  <c r="R495" i="1" s="1"/>
  <c r="Q572" i="1"/>
  <c r="R572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73" i="1"/>
  <c r="R573" i="1" s="1"/>
  <c r="Q504" i="1"/>
  <c r="R504" i="1" s="1"/>
  <c r="Q574" i="1"/>
  <c r="R574" i="1" s="1"/>
  <c r="Q575" i="1"/>
  <c r="R575" i="1" s="1"/>
  <c r="Q505" i="1"/>
  <c r="R505" i="1" s="1"/>
  <c r="Q506" i="1"/>
  <c r="R506" i="1" s="1"/>
  <c r="Q507" i="1"/>
  <c r="R507" i="1" s="1"/>
  <c r="Q576" i="1"/>
  <c r="R576" i="1" s="1"/>
  <c r="Q508" i="1"/>
  <c r="R508" i="1" s="1"/>
  <c r="Q509" i="1"/>
  <c r="R509" i="1" s="1"/>
  <c r="Q577" i="1"/>
  <c r="R577" i="1" s="1"/>
  <c r="Q578" i="1"/>
  <c r="R578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2" i="1"/>
  <c r="R2" i="1" s="1"/>
</calcChain>
</file>

<file path=xl/sharedStrings.xml><?xml version="1.0" encoding="utf-8"?>
<sst xmlns="http://schemas.openxmlformats.org/spreadsheetml/2006/main" count="11692" uniqueCount="1306">
  <si>
    <t>Location ID</t>
  </si>
  <si>
    <t>Original ID</t>
  </si>
  <si>
    <t>Location Name</t>
  </si>
  <si>
    <t>Location Type</t>
  </si>
  <si>
    <t>Location Address</t>
  </si>
  <si>
    <t>Connectors</t>
  </si>
  <si>
    <t>Connector Maximum Power</t>
  </si>
  <si>
    <t>Estimated Potential</t>
  </si>
  <si>
    <t>2027 Projection</t>
  </si>
  <si>
    <t>2030 Projection</t>
  </si>
  <si>
    <t>2035 Projection</t>
  </si>
  <si>
    <t>Baseline contribution (SHAP values)</t>
  </si>
  <si>
    <t>Traffic contribution (SHAP values)</t>
  </si>
  <si>
    <t>Population contribution (SHAP values)</t>
  </si>
  <si>
    <t>POI contribution (SHAP values)</t>
  </si>
  <si>
    <t>Competition contribution (SHAP values)</t>
  </si>
  <si>
    <t>Configuration contribution (SHAP values)</t>
  </si>
  <si>
    <t>Google Maps Link</t>
  </si>
  <si>
    <t>Location Latitude</t>
  </si>
  <si>
    <t>Location Longitude</t>
  </si>
  <si>
    <t>Location Status</t>
  </si>
  <si>
    <t>Location File Name</t>
  </si>
  <si>
    <t>Project ID</t>
  </si>
  <si>
    <t>Traffic Total</t>
  </si>
  <si>
    <t>Traffic Motorways</t>
  </si>
  <si>
    <t>Traffic Trunks</t>
  </si>
  <si>
    <t>Traffic National Roads</t>
  </si>
  <si>
    <t>Traffic Regional Roads</t>
  </si>
  <si>
    <t>Traffic Local Roads</t>
  </si>
  <si>
    <t>Traffic Residential Roads</t>
  </si>
  <si>
    <t>Population within 1 km</t>
  </si>
  <si>
    <t>Population within 2 km</t>
  </si>
  <si>
    <t>Population within 5 km</t>
  </si>
  <si>
    <t>Population within 10 km</t>
  </si>
  <si>
    <t>POI Offices</t>
  </si>
  <si>
    <t>POI Parking</t>
  </si>
  <si>
    <t>POI Restaurants</t>
  </si>
  <si>
    <t>POI Retail</t>
  </si>
  <si>
    <t>POI Transport</t>
  </si>
  <si>
    <t>POI Unknown</t>
  </si>
  <si>
    <t>POI Health</t>
  </si>
  <si>
    <t>POI Leisure</t>
  </si>
  <si>
    <t>POI Tourism</t>
  </si>
  <si>
    <t>POI Education</t>
  </si>
  <si>
    <t>POI Services</t>
  </si>
  <si>
    <t>Connectors &lt;50 kW in 1 km</t>
  </si>
  <si>
    <t>Connectors &lt;50 kW in 2 km</t>
  </si>
  <si>
    <t>Connectors &lt;50 kW in 0.5 km</t>
  </si>
  <si>
    <t>Connectors 50-149 kW in 0.5 km</t>
  </si>
  <si>
    <t>Connectors &gt;150 kW in 0.5 km</t>
  </si>
  <si>
    <t>Connectors 50-149 kW in 1 km</t>
  </si>
  <si>
    <t>Connectors &gt;150 kW in 1 km</t>
  </si>
  <si>
    <t>Connectors 50-149 kW in 2 km</t>
  </si>
  <si>
    <t>Connectors &gt;150 kW in 2 km</t>
  </si>
  <si>
    <t>Isochrone Latitude</t>
  </si>
  <si>
    <t>Isochrone Longitude</t>
  </si>
  <si>
    <t>Configuration Capacity</t>
  </si>
  <si>
    <t>Country Code</t>
  </si>
  <si>
    <t>Product Version</t>
  </si>
  <si>
    <t>NUTS 0</t>
  </si>
  <si>
    <t>NUTS 1</t>
  </si>
  <si>
    <t>NUTS 2</t>
  </si>
  <si>
    <t>NUTS 3</t>
  </si>
  <si>
    <t>Traffic Sample Size Total</t>
  </si>
  <si>
    <t>Traffic Sample Motorways</t>
  </si>
  <si>
    <t>Traffic Sample Trunks</t>
  </si>
  <si>
    <t>Traffic Sample National Roads</t>
  </si>
  <si>
    <t>Traffic Sample Regional Roads</t>
  </si>
  <si>
    <t>Traffic Sample Local Roads</t>
  </si>
  <si>
    <t>Traffic Sample Residential Roads</t>
  </si>
  <si>
    <t>Country Coefficient</t>
  </si>
  <si>
    <t>Hash ID</t>
  </si>
  <si>
    <t>Geohash</t>
  </si>
  <si>
    <t>Timestamp</t>
  </si>
  <si>
    <t>File</t>
  </si>
  <si>
    <t>127_300</t>
  </si>
  <si>
    <t>127</t>
  </si>
  <si>
    <t>Roma Magliana</t>
  </si>
  <si>
    <t>-</t>
  </si>
  <si>
    <t>Via della Magliana Nuova, 428, 00146 Roma RM, Italy</t>
  </si>
  <si>
    <t>https://go.zoniq.io/yc42aeu5</t>
  </si>
  <si>
    <t>dc_Burger_King_it.xlsx</t>
  </si>
  <si>
    <t>mobilyze_6379933222417295819_dc</t>
  </si>
  <si>
    <t>it</t>
  </si>
  <si>
    <t>2.0.0</t>
  </si>
  <si>
    <t>Italia</t>
  </si>
  <si>
    <t>Centro (IT)</t>
  </si>
  <si>
    <t>Lazio</t>
  </si>
  <si>
    <t>Roma</t>
  </si>
  <si>
    <t>81b7d06e23ad</t>
  </si>
  <si>
    <t>sr2y53v8</t>
  </si>
  <si>
    <t>mobilyze_6379933222417295819_dc_93f4ff9b31_isochrones.json</t>
  </si>
  <si>
    <t>15_300</t>
  </si>
  <si>
    <t>15</t>
  </si>
  <si>
    <t>Casoria</t>
  </si>
  <si>
    <t>Via S. Salvatore, 1, 80026 Casoria NA, Italy</t>
  </si>
  <si>
    <t>https://go.zoniq.io/5n7txx77</t>
  </si>
  <si>
    <t>Sud</t>
  </si>
  <si>
    <t>Campania</t>
  </si>
  <si>
    <t>Napoli</t>
  </si>
  <si>
    <t>b17540680879</t>
  </si>
  <si>
    <t>sr60ttp8</t>
  </si>
  <si>
    <t>72_300</t>
  </si>
  <si>
    <t>72</t>
  </si>
  <si>
    <t>San Giuliano</t>
  </si>
  <si>
    <t>Via Po, 6, 20098 Area Industriale MI, Italy</t>
  </si>
  <si>
    <t>https://go.zoniq.io/2p8bmr3f</t>
  </si>
  <si>
    <t>Nord-Ovest</t>
  </si>
  <si>
    <t>Lombardia</t>
  </si>
  <si>
    <t>Milano</t>
  </si>
  <si>
    <t>daac2de4bf91</t>
  </si>
  <si>
    <t>u0nd4xjw</t>
  </si>
  <si>
    <t>65_300</t>
  </si>
  <si>
    <t>65</t>
  </si>
  <si>
    <t>Roma Gemelli</t>
  </si>
  <si>
    <t>Pineta Sacchetti, 00168 Roma RM, Italy</t>
  </si>
  <si>
    <t>https://go.zoniq.io/yc364a59</t>
  </si>
  <si>
    <t>b4284a3c1fd5</t>
  </si>
  <si>
    <t>sr2ydbbt</t>
  </si>
  <si>
    <t>21_300</t>
  </si>
  <si>
    <t>21</t>
  </si>
  <si>
    <t>Cerro</t>
  </si>
  <si>
    <t>Via F. Turati, 81, 20023 Cerro Maggiore MI, Italy</t>
  </si>
  <si>
    <t>https://go.zoniq.io/y39xr239</t>
  </si>
  <si>
    <t>0c5c8f7e82f1</t>
  </si>
  <si>
    <t>u0n77t3e</t>
  </si>
  <si>
    <t>66_300</t>
  </si>
  <si>
    <t>66</t>
  </si>
  <si>
    <t>Roma Tor Sapienza</t>
  </si>
  <si>
    <t>Via di Tor Sapienza, 199, 00155 Roma RM, Italy</t>
  </si>
  <si>
    <t>https://go.zoniq.io/2p93wr7b</t>
  </si>
  <si>
    <t>10ff667a30b1</t>
  </si>
  <si>
    <t>sr2yqd9m</t>
  </si>
  <si>
    <t>62_300</t>
  </si>
  <si>
    <t>62</t>
  </si>
  <si>
    <t>Roma Ardeatina</t>
  </si>
  <si>
    <t>Via Ardeatina, 907, 00178 Roma RM, Italy</t>
  </si>
  <si>
    <t>https://go.zoniq.io/44mbjyk4</t>
  </si>
  <si>
    <t>3e9e8706775f</t>
  </si>
  <si>
    <t>sr2vv60k</t>
  </si>
  <si>
    <t>2_300</t>
  </si>
  <si>
    <t>2</t>
  </si>
  <si>
    <t>Agrate Brianza</t>
  </si>
  <si>
    <t>V.le delle Industrie, 3, 20864 Agrate Brianza MB, Italy</t>
  </si>
  <si>
    <t>https://go.zoniq.io/2dpku8s6</t>
  </si>
  <si>
    <t>Monza e della Brianza</t>
  </si>
  <si>
    <t>05d978778a1c</t>
  </si>
  <si>
    <t>u0nejp2j</t>
  </si>
  <si>
    <t>97_300</t>
  </si>
  <si>
    <t>97</t>
  </si>
  <si>
    <t>Roma Cinecitty</t>
  </si>
  <si>
    <t>Via Tuscolana, 1530/1546, 00174 Roma RM, Italy</t>
  </si>
  <si>
    <t>https://go.zoniq.io/mr3tc89u</t>
  </si>
  <si>
    <t>225321bdd7f3</t>
  </si>
  <si>
    <t>sr2yn4dm</t>
  </si>
  <si>
    <t>56_300</t>
  </si>
  <si>
    <t>56</t>
  </si>
  <si>
    <t>Peschiera del Garda</t>
  </si>
  <si>
    <t>Via Tangenziale, 13, 37019 Peschiera del Garda VR, Italy</t>
  </si>
  <si>
    <t>https://go.zoniq.io/2p8bax7j</t>
  </si>
  <si>
    <t>Nord-Est</t>
  </si>
  <si>
    <t>Veneto</t>
  </si>
  <si>
    <t>Verona</t>
  </si>
  <si>
    <t>ec89f42a68c8</t>
  </si>
  <si>
    <t>u0pd7wzp</t>
  </si>
  <si>
    <t>53_300</t>
  </si>
  <si>
    <t>53</t>
  </si>
  <si>
    <t>Parma San Leonardo</t>
  </si>
  <si>
    <t>Via Giacomo Brodolini, 4, 43122 Parma PR, Italy</t>
  </si>
  <si>
    <t>https://go.zoniq.io/2p8ptmr5</t>
  </si>
  <si>
    <t>Emilia-Romagna</t>
  </si>
  <si>
    <t>Parma</t>
  </si>
  <si>
    <t>531fde28f6ab</t>
  </si>
  <si>
    <t>spzqgp7s</t>
  </si>
  <si>
    <t>95_300</t>
  </si>
  <si>
    <t>95</t>
  </si>
  <si>
    <t>Rovato</t>
  </si>
  <si>
    <t>Uscita casello autostradale A4 Rovato, Via del Commercio, 7, 25038 Rovato BS, Italy</t>
  </si>
  <si>
    <t>https://go.zoniq.io/3u4yykus</t>
  </si>
  <si>
    <t>Brescia</t>
  </si>
  <si>
    <t>8d022aa1e719</t>
  </si>
  <si>
    <t>u0p57c0k</t>
  </si>
  <si>
    <t>39_300</t>
  </si>
  <si>
    <t>39</t>
  </si>
  <si>
    <t>Lecce Surbo</t>
  </si>
  <si>
    <t>Via Bettino Craxi, 2, 73100 Lecce LE, Italy</t>
  </si>
  <si>
    <t>https://go.zoniq.io/2p84d6ej</t>
  </si>
  <si>
    <t>Puglia</t>
  </si>
  <si>
    <t>Lecce</t>
  </si>
  <si>
    <t>6f09adc9603b</t>
  </si>
  <si>
    <t>srhvsypn</t>
  </si>
  <si>
    <t>1_300</t>
  </si>
  <si>
    <t>1</t>
  </si>
  <si>
    <t>Affi</t>
  </si>
  <si>
    <t>Località Canove Tessari Grand, Località Canove, 1/15, 37010 Affi VR, Italy</t>
  </si>
  <si>
    <t>https://go.zoniq.io/bdfhe9cp</t>
  </si>
  <si>
    <t>d4ed02a9ec36</t>
  </si>
  <si>
    <t>u0pejks4</t>
  </si>
  <si>
    <t>121_300</t>
  </si>
  <si>
    <t>121</t>
  </si>
  <si>
    <t>Collegno</t>
  </si>
  <si>
    <t>Via Torino Pianezza, 148, 10093 Collegno TO, Italy</t>
  </si>
  <si>
    <t>https://go.zoniq.io/yckp8nft</t>
  </si>
  <si>
    <t>Piemonte</t>
  </si>
  <si>
    <t>Torino</t>
  </si>
  <si>
    <t>e834f9b97bd5</t>
  </si>
  <si>
    <t>u0j2s3t9</t>
  </si>
  <si>
    <t>114_300</t>
  </si>
  <si>
    <t>114</t>
  </si>
  <si>
    <t>Calenzano</t>
  </si>
  <si>
    <t>Via Vittorio Emanuele, 2, 50041 Calenzano FI, Italy</t>
  </si>
  <si>
    <t>https://go.zoniq.io/yb6tj5dc</t>
  </si>
  <si>
    <t>Toscana</t>
  </si>
  <si>
    <t>Firenze</t>
  </si>
  <si>
    <t>077711e60687</t>
  </si>
  <si>
    <t>spzcqng3</t>
  </si>
  <si>
    <t>69_300</t>
  </si>
  <si>
    <t>69</t>
  </si>
  <si>
    <t>Rozzano</t>
  </si>
  <si>
    <t>Viale Romagna, 1, 20089 Rozzano MI, Italy</t>
  </si>
  <si>
    <t>https://go.zoniq.io/mrt645cc</t>
  </si>
  <si>
    <t>a2c9b42e4b63</t>
  </si>
  <si>
    <t>u0nd0ttp</t>
  </si>
  <si>
    <t>73_300</t>
  </si>
  <si>
    <t>73</t>
  </si>
  <si>
    <t>Seregno</t>
  </si>
  <si>
    <t>Via Anna M. Kuliscioff, 73, 20831 Seregno MB, Italy</t>
  </si>
  <si>
    <t>https://go.zoniq.io/3trndtcb</t>
  </si>
  <si>
    <t>7f138c3db485</t>
  </si>
  <si>
    <t>u0nec8xt</t>
  </si>
  <si>
    <t>85_300</t>
  </si>
  <si>
    <t>85</t>
  </si>
  <si>
    <t>Verano</t>
  </si>
  <si>
    <t>Via Brunati, snc, 20843 Verano Brianza MB, Italy</t>
  </si>
  <si>
    <t>https://go.zoniq.io/2p9ccsw9</t>
  </si>
  <si>
    <t>dbf59bfcfa09</t>
  </si>
  <si>
    <t>u0nece5c</t>
  </si>
  <si>
    <t>100_300</t>
  </si>
  <si>
    <t>100</t>
  </si>
  <si>
    <t>Palermo Regione</t>
  </si>
  <si>
    <t>Viale della Regione Siciliana Nord Ovest, 5172, 90146 Palermo PA, Italy</t>
  </si>
  <si>
    <t>https://go.zoniq.io/2p8cbwy4</t>
  </si>
  <si>
    <t>Isole</t>
  </si>
  <si>
    <t>Sicilia</t>
  </si>
  <si>
    <t>Palermo</t>
  </si>
  <si>
    <t>cbaa018969de</t>
  </si>
  <si>
    <t>sqc3p0ys</t>
  </si>
  <si>
    <t>98_300</t>
  </si>
  <si>
    <t>98</t>
  </si>
  <si>
    <t>Roma Cassia</t>
  </si>
  <si>
    <t>Via Cassia, 1176, 00189 Roma RM, Italy</t>
  </si>
  <si>
    <t>https://go.zoniq.io/yx7vn3u6</t>
  </si>
  <si>
    <t>a38957c279fa</t>
  </si>
  <si>
    <t>sr2yfd3m</t>
  </si>
  <si>
    <t>63_300</t>
  </si>
  <si>
    <t>63</t>
  </si>
  <si>
    <t>Roma Casilina</t>
  </si>
  <si>
    <t>Via Casilina, 1519, 00136 Roma RM, Italy</t>
  </si>
  <si>
    <t>https://go.zoniq.io/2p8w386a</t>
  </si>
  <si>
    <t>b384499cc4c6</t>
  </si>
  <si>
    <t>sr2ypkgn</t>
  </si>
  <si>
    <t>18_300</t>
  </si>
  <si>
    <t>18</t>
  </si>
  <si>
    <t>Castenaso</t>
  </si>
  <si>
    <t>Via Villanova, 28, 40055 Castenaso BO, Italy</t>
  </si>
  <si>
    <t>https://go.zoniq.io/yckkfccs</t>
  </si>
  <si>
    <t>Bologna</t>
  </si>
  <si>
    <t>d0006296f7ec</t>
  </si>
  <si>
    <t>srbj5gqh</t>
  </si>
  <si>
    <t>48_300</t>
  </si>
  <si>
    <t>48</t>
  </si>
  <si>
    <t>Moncalieri</t>
  </si>
  <si>
    <t>Corso Trieste, 15, 10024 Moncalieri TO, Italy</t>
  </si>
  <si>
    <t>https://go.zoniq.io/2p8jfj3z</t>
  </si>
  <si>
    <t>64ea0446c254</t>
  </si>
  <si>
    <t>u0j2n8gd</t>
  </si>
  <si>
    <t>88_300</t>
  </si>
  <si>
    <t>88</t>
  </si>
  <si>
    <t>Vertemate</t>
  </si>
  <si>
    <t>Via Nazionale, 30, 22070 Vertemate con Minoprio CO, Italy</t>
  </si>
  <si>
    <t>https://go.zoniq.io/2p878fyp</t>
  </si>
  <si>
    <t>Como</t>
  </si>
  <si>
    <t>7013ecb36522</t>
  </si>
  <si>
    <t>u0nknk62</t>
  </si>
  <si>
    <t>44_300</t>
  </si>
  <si>
    <t>44</t>
  </si>
  <si>
    <t>Mantova San Giorgio</t>
  </si>
  <si>
    <t>Via maestri del lavoro, 2, 46051 San Giorgio Bigarello MN, Italy</t>
  </si>
  <si>
    <t>https://go.zoniq.io/2p8sa2jp</t>
  </si>
  <si>
    <t>Mantova</t>
  </si>
  <si>
    <t>b03c6ca73381</t>
  </si>
  <si>
    <t>u0p8yymk</t>
  </si>
  <si>
    <t>29_300</t>
  </si>
  <si>
    <t>29</t>
  </si>
  <si>
    <t>Dalmine</t>
  </si>
  <si>
    <t>Via Roma, 2a, 24044 Dalmine BG, Italy</t>
  </si>
  <si>
    <t>https://go.zoniq.io/mv7y2dfu</t>
  </si>
  <si>
    <t>Bergamo</t>
  </si>
  <si>
    <t>d590fbb9294e</t>
  </si>
  <si>
    <t>u0ngdsxv</t>
  </si>
  <si>
    <t>87_300</t>
  </si>
  <si>
    <t>87</t>
  </si>
  <si>
    <t>Vergiate</t>
  </si>
  <si>
    <t>Via Sempione, 94/96, 21029 Vergiate VA, Italy</t>
  </si>
  <si>
    <t>https://go.zoniq.io/zvt6ufcf</t>
  </si>
  <si>
    <t>Varese</t>
  </si>
  <si>
    <t>4dba3c095443</t>
  </si>
  <si>
    <t>u0nhjerc</t>
  </si>
  <si>
    <t>50_300</t>
  </si>
  <si>
    <t>50</t>
  </si>
  <si>
    <t>Novara</t>
  </si>
  <si>
    <t>Via XXIII Marzo 1849, 356, 28100 Novara NO, Italy</t>
  </si>
  <si>
    <t>https://go.zoniq.io/2p8s5x2t</t>
  </si>
  <si>
    <t>5ff0d4f7ae86</t>
  </si>
  <si>
    <t>u0n4ktt7</t>
  </si>
  <si>
    <t>49_300</t>
  </si>
  <si>
    <t>49</t>
  </si>
  <si>
    <t>Moncalieri Via Postiglione</t>
  </si>
  <si>
    <t>Via Fortunato Postiglione, snc, 10024 Moncalieri TO, Italy</t>
  </si>
  <si>
    <t>https://go.zoniq.io/2p26zyv3</t>
  </si>
  <si>
    <t>2f0fa4a72303</t>
  </si>
  <si>
    <t>spvrz7xg</t>
  </si>
  <si>
    <t>99_300</t>
  </si>
  <si>
    <t>99</t>
  </si>
  <si>
    <t>Ravenna Faentina</t>
  </si>
  <si>
    <t>Via Faentina, 150, 48123 Ravenna RA, Italy</t>
  </si>
  <si>
    <t>https://go.zoniq.io/2p92sxkt</t>
  </si>
  <si>
    <t>Ravenna</t>
  </si>
  <si>
    <t>49edc2be707d</t>
  </si>
  <si>
    <t>srbsszh7</t>
  </si>
  <si>
    <t>115_300</t>
  </si>
  <si>
    <t>115</t>
  </si>
  <si>
    <t>Cagliari</t>
  </si>
  <si>
    <t>Via Calamattia, 7, 09134 Cagliari CA, Italy</t>
  </si>
  <si>
    <t>https://go.zoniq.io/26c6y29y</t>
  </si>
  <si>
    <t>Sardegna</t>
  </si>
  <si>
    <t>212ccc600f63</t>
  </si>
  <si>
    <t>snyrpx5e</t>
  </si>
  <si>
    <t>47_300</t>
  </si>
  <si>
    <t>47</t>
  </si>
  <si>
    <t>Mestre</t>
  </si>
  <si>
    <t>Via Terraglio, 23, 30174 Venezia VE, Italy</t>
  </si>
  <si>
    <t>https://go.zoniq.io/98n363t7</t>
  </si>
  <si>
    <t>Venezia</t>
  </si>
  <si>
    <t>c3fca82184d9</t>
  </si>
  <si>
    <t>u20dyqpp</t>
  </si>
  <si>
    <t>16_300</t>
  </si>
  <si>
    <t>16</t>
  </si>
  <si>
    <t>Cassina de Pecchi</t>
  </si>
  <si>
    <t>Via Marisa Bellisario, 1, 20051 Cassina de' Pecchi MI, Italy</t>
  </si>
  <si>
    <t>https://go.zoniq.io/y4cnz7bt</t>
  </si>
  <si>
    <t>1c5922484774</t>
  </si>
  <si>
    <t>u0nduy6k</t>
  </si>
  <si>
    <t>59_300</t>
  </si>
  <si>
    <t>59</t>
  </si>
  <si>
    <t>Rezzato</t>
  </si>
  <si>
    <t>Via Giuseppe Garibaldi, 70, 25086 Rezzato BS, Italy</t>
  </si>
  <si>
    <t>https://go.zoniq.io/2p9yffpy</t>
  </si>
  <si>
    <t>e0c5cacff894</t>
  </si>
  <si>
    <t>u0p6futs</t>
  </si>
  <si>
    <t>106_300</t>
  </si>
  <si>
    <t>106</t>
  </si>
  <si>
    <t>Lentate Sul Seveso</t>
  </si>
  <si>
    <t>Via Nazionale dei Giovi, 290, 20823 Lentate sul Seveso MB, Italy</t>
  </si>
  <si>
    <t>https://go.zoniq.io/3894ebkz</t>
  </si>
  <si>
    <t>233a87278349</t>
  </si>
  <si>
    <t>u0n7znh4</t>
  </si>
  <si>
    <t>5_300</t>
  </si>
  <si>
    <t>5</t>
  </si>
  <si>
    <t>Ancona</t>
  </si>
  <si>
    <t>Via Luigi Albertini, 36, 60131 Ancona AN, Italy</t>
  </si>
  <si>
    <t>https://go.zoniq.io/2p99uwjw</t>
  </si>
  <si>
    <t>Marche</t>
  </si>
  <si>
    <t>8e6390cc86f7</t>
  </si>
  <si>
    <t>sr9xg2n8</t>
  </si>
  <si>
    <t>129_300</t>
  </si>
  <si>
    <t>129</t>
  </si>
  <si>
    <t>Bagno A Ripoli</t>
  </si>
  <si>
    <t>SR 222 Chiantigiana, 20, 50012 Grassina FI, Italy</t>
  </si>
  <si>
    <t>https://go.zoniq.io/4n62sy35</t>
  </si>
  <si>
    <t>07c736234633</t>
  </si>
  <si>
    <t>srb0c1c7</t>
  </si>
  <si>
    <t>60_300</t>
  </si>
  <si>
    <t>60</t>
  </si>
  <si>
    <t>Rho Pogliano</t>
  </si>
  <si>
    <t>C.so Sempione ang. Tasso Barbaiana, 20005 Pogliano Milanese MI, Italy</t>
  </si>
  <si>
    <t>https://go.zoniq.io/y74euw8f</t>
  </si>
  <si>
    <t>0e162b1315de</t>
  </si>
  <si>
    <t>u0n7j4c1</t>
  </si>
  <si>
    <t>33_300</t>
  </si>
  <si>
    <t>33</t>
  </si>
  <si>
    <t>Firenze Indicatore</t>
  </si>
  <si>
    <t>Via Pistoiese Angolo, Via T.Vecellio, 50058 Signa FI, Italy</t>
  </si>
  <si>
    <t>https://go.zoniq.io/4vzzjfbc</t>
  </si>
  <si>
    <t>6c78aca1c919</t>
  </si>
  <si>
    <t>spzchys2</t>
  </si>
  <si>
    <t>57_300</t>
  </si>
  <si>
    <t>57</t>
  </si>
  <si>
    <t>Pomezia</t>
  </si>
  <si>
    <t>POMEZIA | Via Pontina Via Castelli # f2678, 00071 Area Produttiva RM, Italy</t>
  </si>
  <si>
    <t>https://go.zoniq.io/4zndks3x</t>
  </si>
  <si>
    <t>3f0ad6036b8f</t>
  </si>
  <si>
    <t>sr2vh7nf</t>
  </si>
  <si>
    <t>126_300</t>
  </si>
  <si>
    <t>126</t>
  </si>
  <si>
    <t>Riccione</t>
  </si>
  <si>
    <t>Viale Fiesole, 8, 47838 Riccione RN, Italy</t>
  </si>
  <si>
    <t>https://go.zoniq.io/3wawtuf7</t>
  </si>
  <si>
    <t>Rimini</t>
  </si>
  <si>
    <t>3772e48e2e43</t>
  </si>
  <si>
    <t>srbfrc22</t>
  </si>
  <si>
    <t>83_300</t>
  </si>
  <si>
    <t>83</t>
  </si>
  <si>
    <t>Varcaturo</t>
  </si>
  <si>
    <t>Via Ripuaria, 446, 80014 Varcaturo NA, Italy</t>
  </si>
  <si>
    <t>https://go.zoniq.io/327u3xh4</t>
  </si>
  <si>
    <t>c253691d5b17</t>
  </si>
  <si>
    <t>sr3bxtb0</t>
  </si>
  <si>
    <t>82_300</t>
  </si>
  <si>
    <t>82</t>
  </si>
  <si>
    <t>Valdarno</t>
  </si>
  <si>
    <t>Via Lungo Arno, 890, 52028 Terranuova Bracciolini AR, Italy</t>
  </si>
  <si>
    <t>https://go.zoniq.io/yc35ftz2</t>
  </si>
  <si>
    <t>Arezzo</t>
  </si>
  <si>
    <t>8753df0451b6</t>
  </si>
  <si>
    <t>sr8pz043</t>
  </si>
  <si>
    <t>81_300</t>
  </si>
  <si>
    <t>81</t>
  </si>
  <si>
    <t>Treviso</t>
  </si>
  <si>
    <t>Via Str. della Serenissima, 67, 31057 Silea TV, Italy</t>
  </si>
  <si>
    <t>https://go.zoniq.io/2p94jr7w</t>
  </si>
  <si>
    <t>d69d0682d10e</t>
  </si>
  <si>
    <t>u20g8nhg</t>
  </si>
  <si>
    <t>27_300</t>
  </si>
  <si>
    <t>27</t>
  </si>
  <si>
    <t>Cremona</t>
  </si>
  <si>
    <t>Via Mantova, 145, 26100 Cremona CR, Italy</t>
  </si>
  <si>
    <t>https://go.zoniq.io/2p5uz7zt</t>
  </si>
  <si>
    <t>d9cd44671251</t>
  </si>
  <si>
    <t>u0p0ucyv</t>
  </si>
  <si>
    <t>77_300</t>
  </si>
  <si>
    <t>77</t>
  </si>
  <si>
    <t>Taranto</t>
  </si>
  <si>
    <t>Via Ancona, 249, 74121 Taranto TA, Italy</t>
  </si>
  <si>
    <t>https://go.zoniq.io/ms9vsmwc</t>
  </si>
  <si>
    <t>d554b077176d</t>
  </si>
  <si>
    <t>srhq0uws</t>
  </si>
  <si>
    <t>127_150</t>
  </si>
  <si>
    <t>15_150</t>
  </si>
  <si>
    <t>41_300</t>
  </si>
  <si>
    <t>41</t>
  </si>
  <si>
    <t>Livorno Stagno</t>
  </si>
  <si>
    <t>Via Firenze, 27, 57121 Livorno LI, Italy</t>
  </si>
  <si>
    <t>https://go.zoniq.io/myjdzx98</t>
  </si>
  <si>
    <t>Livorno</t>
  </si>
  <si>
    <t>612029f3ddc3</t>
  </si>
  <si>
    <t>spxrgh4q</t>
  </si>
  <si>
    <t>94_300</t>
  </si>
  <si>
    <t>94</t>
  </si>
  <si>
    <t>Sassuolo</t>
  </si>
  <si>
    <t>Via Circonvallazione Nordest, 88, 41123 Sassuolo MO, Italy</t>
  </si>
  <si>
    <t>https://go.zoniq.io/4swrwcpd</t>
  </si>
  <si>
    <t>Modena</t>
  </si>
  <si>
    <t>c73603b618d4</t>
  </si>
  <si>
    <t>spztmtyd</t>
  </si>
  <si>
    <t>7_300</t>
  </si>
  <si>
    <t>7</t>
  </si>
  <si>
    <t>Via Trento, 100, 25128 Brescia BS, Italy</t>
  </si>
  <si>
    <t>https://go.zoniq.io/2e37wnmt</t>
  </si>
  <si>
    <t>6c1ac5fa79aa</t>
  </si>
  <si>
    <t>u0p70txk</t>
  </si>
  <si>
    <t>125_300</t>
  </si>
  <si>
    <t>125</t>
  </si>
  <si>
    <t>Lacchiarella</t>
  </si>
  <si>
    <t>84GP+J6 Lacchiarella, Metropolitan City of Milan, Italy</t>
  </si>
  <si>
    <t>https://go.zoniq.io/2p9dry72</t>
  </si>
  <si>
    <t>5d4f003e8375</t>
  </si>
  <si>
    <t>u0n3zgkq</t>
  </si>
  <si>
    <t>89_300</t>
  </si>
  <si>
    <t>89</t>
  </si>
  <si>
    <t>Vittuone</t>
  </si>
  <si>
    <t>SPexSS11, 2, 20009 Vittuone MI, Italy</t>
  </si>
  <si>
    <t>https://go.zoniq.io/2p8dbpzr</t>
  </si>
  <si>
    <t>46936355dd46</t>
  </si>
  <si>
    <t>u0n6ezyg</t>
  </si>
  <si>
    <t>8_300</t>
  </si>
  <si>
    <t>8</t>
  </si>
  <si>
    <t>Busto Arsizio</t>
  </si>
  <si>
    <t>Corso Sempione, 197, 21052 Busto Arsizio VA, Italy</t>
  </si>
  <si>
    <t>https://go.zoniq.io/4ys879w4</t>
  </si>
  <si>
    <t>2fb0ec6e749a</t>
  </si>
  <si>
    <t>u0n79527</t>
  </si>
  <si>
    <t>28_300</t>
  </si>
  <si>
    <t>28</t>
  </si>
  <si>
    <t>Cremona Retail Park</t>
  </si>
  <si>
    <t>Via Sesto, 47, 26100 Cremona CR, Italy</t>
  </si>
  <si>
    <t>https://go.zoniq.io/2p88rcwu</t>
  </si>
  <si>
    <t>36489f93ea16</t>
  </si>
  <si>
    <t>u0p0g7nj</t>
  </si>
  <si>
    <t>55_300</t>
  </si>
  <si>
    <t>55</t>
  </si>
  <si>
    <t>Pavia</t>
  </si>
  <si>
    <t>Via F .Turati, 24, 27028 San Martino Siccomario PV, Italy</t>
  </si>
  <si>
    <t>https://go.zoniq.io/5n8h3dcs</t>
  </si>
  <si>
    <t>99b7bdd7df34</t>
  </si>
  <si>
    <t>u0n2zv36</t>
  </si>
  <si>
    <t>72_150</t>
  </si>
  <si>
    <t>103_300</t>
  </si>
  <si>
    <t>103</t>
  </si>
  <si>
    <t>Modena Ovest</t>
  </si>
  <si>
    <t>Via Emilia Ovest, 346, 41126 Modena MO, Italy</t>
  </si>
  <si>
    <t>https://go.zoniq.io/2p688cn6</t>
  </si>
  <si>
    <t>7f66c416c1b8</t>
  </si>
  <si>
    <t>spzy02br</t>
  </si>
  <si>
    <t>120_300</t>
  </si>
  <si>
    <t>120</t>
  </si>
  <si>
    <t>Cittadella</t>
  </si>
  <si>
    <t>Via Antonio Pigafetta, 1, 35013 Cittadella PD, Italy</t>
  </si>
  <si>
    <t>https://go.zoniq.io/42es8w3e</t>
  </si>
  <si>
    <t>Padova</t>
  </si>
  <si>
    <t>df97852bd8ef</t>
  </si>
  <si>
    <t>u207evj0</t>
  </si>
  <si>
    <t>78_300</t>
  </si>
  <si>
    <t>78</t>
  </si>
  <si>
    <t>Thiene</t>
  </si>
  <si>
    <t>Via 51 Stormo, 23, 36016 Thiene VI, Italy</t>
  </si>
  <si>
    <t>https://go.zoniq.io/5fyxct6s</t>
  </si>
  <si>
    <t>Vicenza</t>
  </si>
  <si>
    <t>c4bf769b28f2</t>
  </si>
  <si>
    <t>u205vm6w</t>
  </si>
  <si>
    <t>11_300</t>
  </si>
  <si>
    <t>11</t>
  </si>
  <si>
    <t>Caronno Pertusella</t>
  </si>
  <si>
    <t>Via Lampedusa, 111 Lotto C, 21042 Caronno Pertusella VA, Italy</t>
  </si>
  <si>
    <t>https://go.zoniq.io/44jas9uj</t>
  </si>
  <si>
    <t>5b258a4d06dc</t>
  </si>
  <si>
    <t>u0n7mgqr</t>
  </si>
  <si>
    <t>42_300</t>
  </si>
  <si>
    <t>42</t>
  </si>
  <si>
    <t>Lodi</t>
  </si>
  <si>
    <t>Viale Pavia, 102, 26900 Lodi LO, Italy</t>
  </si>
  <si>
    <t>https://go.zoniq.io/3kjjk37</t>
  </si>
  <si>
    <t>aa367911d3f6</t>
  </si>
  <si>
    <t>u0n9xzhk</t>
  </si>
  <si>
    <t>54_300</t>
  </si>
  <si>
    <t>54</t>
  </si>
  <si>
    <t>Parma Traversetolo</t>
  </si>
  <si>
    <t>Via Guido Gonella, 8, 43123 Parma PR, Italy</t>
  </si>
  <si>
    <t>https://go.zoniq.io/yckme28p</t>
  </si>
  <si>
    <t>6d685b1a7e2e</t>
  </si>
  <si>
    <t>spzqg24y</t>
  </si>
  <si>
    <t>6_300</t>
  </si>
  <si>
    <t>6</t>
  </si>
  <si>
    <t>Via Leonardo da Vinci, 17, 52100 Arezzo AR, Italy</t>
  </si>
  <si>
    <t>https://go.zoniq.io/yc4m6r4b</t>
  </si>
  <si>
    <t>0368c91722f5</t>
  </si>
  <si>
    <t>sr8rnq5x</t>
  </si>
  <si>
    <t>96_300</t>
  </si>
  <si>
    <t>96</t>
  </si>
  <si>
    <t>Roma Tintoretto</t>
  </si>
  <si>
    <t>Viale del Tintoretto, 405 - TotalErg, 00142 Roma RM, Italy</t>
  </si>
  <si>
    <t>https://go.zoniq.io/2p87r6ed</t>
  </si>
  <si>
    <t>625d8a98ebdf</t>
  </si>
  <si>
    <t>sr2vurqr</t>
  </si>
  <si>
    <t>37_300</t>
  </si>
  <si>
    <t>37</t>
  </si>
  <si>
    <t>Genova Cornigliano</t>
  </si>
  <si>
    <t>Via Cornigliano, 189, 16152 Genova GE, Italy</t>
  </si>
  <si>
    <t>https://go.zoniq.io/4uehr8d5</t>
  </si>
  <si>
    <t>Liguria</t>
  </si>
  <si>
    <t>Genova</t>
  </si>
  <si>
    <t>4cfe4e72967b</t>
  </si>
  <si>
    <t>spyk9v8h</t>
  </si>
  <si>
    <t>58_300</t>
  </si>
  <si>
    <t>58</t>
  </si>
  <si>
    <t>Reggio Emilia</t>
  </si>
  <si>
    <t>PJCC+VV Reggio Emilia, Province of Reggio Emilia, Italy</t>
  </si>
  <si>
    <t>https://go.zoniq.io/2f69576w</t>
  </si>
  <si>
    <t>Reggio nell’Emilia</t>
  </si>
  <si>
    <t>d3a0f96a7471</t>
  </si>
  <si>
    <t>spzw3tqv</t>
  </si>
  <si>
    <t>101_300</t>
  </si>
  <si>
    <t>101</t>
  </si>
  <si>
    <t>Palazzolo</t>
  </si>
  <si>
    <t>V.le Europa, snc, 25036 Palazzolo sull'Oglio BS, Italy</t>
  </si>
  <si>
    <t>https://go.zoniq.io/2p85c3z9</t>
  </si>
  <si>
    <t>5a957c35891b</t>
  </si>
  <si>
    <t>u0p535qe</t>
  </si>
  <si>
    <t>70_300</t>
  </si>
  <si>
    <t>70</t>
  </si>
  <si>
    <t>S. Giovanni Lupatoto</t>
  </si>
  <si>
    <t>Via Dott. F. Garofoli, 262, 37057 San Giovanni Lupatoto VR, Italy</t>
  </si>
  <si>
    <t>https://go.zoniq.io/bdm8zzkv</t>
  </si>
  <si>
    <t>9aecd8be3a0f</t>
  </si>
  <si>
    <t>u0pf5p8u</t>
  </si>
  <si>
    <t>25_300</t>
  </si>
  <si>
    <t>25</t>
  </si>
  <si>
    <t>Concesio</t>
  </si>
  <si>
    <t>Via Giuseppe Mazzini, 4, 25062 Concesio BS, Italy</t>
  </si>
  <si>
    <t>https://go.zoniq.io/285zfaw2</t>
  </si>
  <si>
    <t>884960d12878</t>
  </si>
  <si>
    <t>u0p72qcn</t>
  </si>
  <si>
    <t>22_300</t>
  </si>
  <si>
    <t>22</t>
  </si>
  <si>
    <t>Ciampino</t>
  </si>
  <si>
    <t>Via di Morena, 6, 00043 Ciampino RM, Italy</t>
  </si>
  <si>
    <t>https://go.zoniq.io/yckpxdhc</t>
  </si>
  <si>
    <t>10c3b8279c7c</t>
  </si>
  <si>
    <t>sr2vyf4k</t>
  </si>
  <si>
    <t>65_150</t>
  </si>
  <si>
    <t>32_300</t>
  </si>
  <si>
    <t>32</t>
  </si>
  <si>
    <t>Ferrara via Wagner</t>
  </si>
  <si>
    <t>Via Richard Wagner, 10/12, 44124 Ferrara FE, Italy</t>
  </si>
  <si>
    <t>https://go.zoniq.io/ymxbxawe</t>
  </si>
  <si>
    <t>Ferrara</t>
  </si>
  <si>
    <t>7dcaca99dacd</t>
  </si>
  <si>
    <t>srbqbnsn</t>
  </si>
  <si>
    <t>21_150</t>
  </si>
  <si>
    <t>52_300</t>
  </si>
  <si>
    <t>52</t>
  </si>
  <si>
    <t>Olgiate Comasco</t>
  </si>
  <si>
    <t>Via Don Ambrogio Fogliani, 7, 22077 Olgiate Comasco CO, Italy</t>
  </si>
  <si>
    <t>https://go.zoniq.io/yet63yxt</t>
  </si>
  <si>
    <t>f3b5f4cfcc92</t>
  </si>
  <si>
    <t>u0nk7z3f</t>
  </si>
  <si>
    <t>66_150</t>
  </si>
  <si>
    <t>62_150</t>
  </si>
  <si>
    <t>2_150</t>
  </si>
  <si>
    <t>119_300</t>
  </si>
  <si>
    <t>119</t>
  </si>
  <si>
    <t>Agropoli</t>
  </si>
  <si>
    <t>Via della Libertà, 3, 84043 Agropoli SA, Italy</t>
  </si>
  <si>
    <t>https://go.zoniq.io/mrwbp25b</t>
  </si>
  <si>
    <t>Salerno</t>
  </si>
  <si>
    <t>0ed50703e21d</t>
  </si>
  <si>
    <t>sr4tt1rv</t>
  </si>
  <si>
    <t>34_300</t>
  </si>
  <si>
    <t>34</t>
  </si>
  <si>
    <t>Foggia</t>
  </si>
  <si>
    <t>Piazzale Anna De Lauro Matera, 71122 Foggia FG, Italy</t>
  </si>
  <si>
    <t>https://go.zoniq.io/5bvjrewp</t>
  </si>
  <si>
    <t>2d6ccb499b91</t>
  </si>
  <si>
    <t>sr75c946</t>
  </si>
  <si>
    <t>40_300</t>
  </si>
  <si>
    <t>40</t>
  </si>
  <si>
    <t>Legnago</t>
  </si>
  <si>
    <t>Viale Europa, 28, 37045 San Pietro VR, Italy</t>
  </si>
  <si>
    <t>https://go.zoniq.io/mwwpufed</t>
  </si>
  <si>
    <t>60b1cea7e785</t>
  </si>
  <si>
    <t>u20101xx</t>
  </si>
  <si>
    <t>97_150</t>
  </si>
  <si>
    <t>13_300</t>
  </si>
  <si>
    <t>13</t>
  </si>
  <si>
    <t>Casalpalocco</t>
  </si>
  <si>
    <t>Via di Macchia Saponara, 135, 00125 Roma RM, Italy</t>
  </si>
  <si>
    <t>https://go.zoniq.io/yc6vhcav</t>
  </si>
  <si>
    <t>a66eb7a2eb67</t>
  </si>
  <si>
    <t>sr2v96b9</t>
  </si>
  <si>
    <t>64_300</t>
  </si>
  <si>
    <t>64</t>
  </si>
  <si>
    <t>Roma Cerveteri</t>
  </si>
  <si>
    <t>Via Settevene Palo, 1g, 00052 Cerveteri RM, Italy</t>
  </si>
  <si>
    <t>https://go.zoniq.io/2s3m66wn</t>
  </si>
  <si>
    <t>d5c5a5f3418d</t>
  </si>
  <si>
    <t>sr2wfckp</t>
  </si>
  <si>
    <t>74_300</t>
  </si>
  <si>
    <t>74</t>
  </si>
  <si>
    <t>Serravalle</t>
  </si>
  <si>
    <t>Strada Serravalle, 189, 15067 Novi Ligure AL, Italy</t>
  </si>
  <si>
    <t>https://go.zoniq.io/2p88uxs5</t>
  </si>
  <si>
    <t>Alessandria</t>
  </si>
  <si>
    <t>f3f9e93b42b0</t>
  </si>
  <si>
    <t>spyq8bn0</t>
  </si>
  <si>
    <t>35_300</t>
  </si>
  <si>
    <t>35</t>
  </si>
  <si>
    <t>Frattocchie</t>
  </si>
  <si>
    <t>SR207, 67, 00047 Marino RM, Italy</t>
  </si>
  <si>
    <t>https://go.zoniq.io/ks86m228</t>
  </si>
  <si>
    <t>95178a0647b7</t>
  </si>
  <si>
    <t>sr2vx1hs</t>
  </si>
  <si>
    <t>107_300</t>
  </si>
  <si>
    <t>107</t>
  </si>
  <si>
    <t>Jesolo</t>
  </si>
  <si>
    <t>Piazza Luigi Tenco, 2, 30016 Jesolo VE, Italy</t>
  </si>
  <si>
    <t>https://go.zoniq.io/2p9cecup</t>
  </si>
  <si>
    <t>3fbc73df226d</t>
  </si>
  <si>
    <t>u20fzkpr</t>
  </si>
  <si>
    <t>111_300</t>
  </si>
  <si>
    <t>111</t>
  </si>
  <si>
    <t>Cislago</t>
  </si>
  <si>
    <t>Via Cesare Battisti, 1473, 21040 Cislago VA, Italy</t>
  </si>
  <si>
    <t>https://go.zoniq.io/22p6vkdk</t>
  </si>
  <si>
    <t>4fd4e5654083</t>
  </si>
  <si>
    <t>u0n7srd2</t>
  </si>
  <si>
    <t>61_300</t>
  </si>
  <si>
    <t>61</t>
  </si>
  <si>
    <t>Rivoli</t>
  </si>
  <si>
    <t>Corso Susa, 242/Piano 1°, 10098 Rivoli TO, Italy</t>
  </si>
  <si>
    <t>https://go.zoniq.io/bdhrf8pn</t>
  </si>
  <si>
    <t>c9be821b6a53</t>
  </si>
  <si>
    <t>u0j26yej</t>
  </si>
  <si>
    <t>24_300</t>
  </si>
  <si>
    <t>24</t>
  </si>
  <si>
    <t>Civitavecchia</t>
  </si>
  <si>
    <t>SS 1, 675, 00058 Santa Marinella RM, Italy</t>
  </si>
  <si>
    <t>https://go.zoniq.io/ym2zfmzt</t>
  </si>
  <si>
    <t>d96e188680ae</t>
  </si>
  <si>
    <t>sr2rhzrd</t>
  </si>
  <si>
    <t>31_300</t>
  </si>
  <si>
    <t>31</t>
  </si>
  <si>
    <t>Ferrara via Eridano</t>
  </si>
  <si>
    <t>Via Eridano, 4, 44122 Ferrara FE, Italy</t>
  </si>
  <si>
    <t>https://go.zoniq.io/bdhurene</t>
  </si>
  <si>
    <t>7c783b4657ba</t>
  </si>
  <si>
    <t>srbppsy6</t>
  </si>
  <si>
    <t>56_150</t>
  </si>
  <si>
    <t>109_300</t>
  </si>
  <si>
    <t>109</t>
  </si>
  <si>
    <t>Grosseto</t>
  </si>
  <si>
    <t>Via Aurelia Nord, 91, 58100 Grosseto GR, Italy</t>
  </si>
  <si>
    <t>https://go.zoniq.io/ytk5tse8</t>
  </si>
  <si>
    <t>a81448fa1453</t>
  </si>
  <si>
    <t>spxgkdru</t>
  </si>
  <si>
    <t>104_300</t>
  </si>
  <si>
    <t>104</t>
  </si>
  <si>
    <t>Manerba</t>
  </si>
  <si>
    <t>strada statale, snc, 25080 Manerba del Garda BS, Italy</t>
  </si>
  <si>
    <t>https://go.zoniq.io/5by9wn4h</t>
  </si>
  <si>
    <t>827606fa18a7</t>
  </si>
  <si>
    <t>u0p7pdhe</t>
  </si>
  <si>
    <t>128_300</t>
  </si>
  <si>
    <t>128</t>
  </si>
  <si>
    <t>Viterbo</t>
  </si>
  <si>
    <t>Via Villanova, 1, 01100 Viterbo VT, Italy</t>
  </si>
  <si>
    <t>https://go.zoniq.io/2p9bpwyu</t>
  </si>
  <si>
    <t>251639f39605</t>
  </si>
  <si>
    <t>sr897k8j</t>
  </si>
  <si>
    <t>105_300</t>
  </si>
  <si>
    <t>105</t>
  </si>
  <si>
    <t>Maddaloni</t>
  </si>
  <si>
    <t>Via Napoli, 500, 81024 Maddaloni CE, Italy</t>
  </si>
  <si>
    <t>https://go.zoniq.io/57f2r4su</t>
  </si>
  <si>
    <t>Caserta</t>
  </si>
  <si>
    <t>083748351cf5</t>
  </si>
  <si>
    <t>sr61qu03</t>
  </si>
  <si>
    <t>45_300</t>
  </si>
  <si>
    <t>45</t>
  </si>
  <si>
    <t xml:space="preserve">Mariglianella </t>
  </si>
  <si>
    <t>Via Variante 7 Bis, 13, 80030 Mariglianella NA, Italy</t>
  </si>
  <si>
    <t>https://go.zoniq.io/2p84597r</t>
  </si>
  <si>
    <t>09aad98accc8</t>
  </si>
  <si>
    <t>sr62bsh0</t>
  </si>
  <si>
    <t>117_300</t>
  </si>
  <si>
    <t>117</t>
  </si>
  <si>
    <t>Bassano del Grappa</t>
  </si>
  <si>
    <t>Via Cà Dolfin, 217, 36061 Bassano del Grappa VI, Italy</t>
  </si>
  <si>
    <t>https://go.zoniq.io/yzmt5rcz</t>
  </si>
  <si>
    <t>74a8d7a017e7</t>
  </si>
  <si>
    <t>u20k5pkn</t>
  </si>
  <si>
    <t>90_300</t>
  </si>
  <si>
    <t>90</t>
  </si>
  <si>
    <t>Zelo Buon Persico</t>
  </si>
  <si>
    <t>Via Cavour C, 15, 26839 Zelo Buon Persico LO, Italy</t>
  </si>
  <si>
    <t>https://go.zoniq.io/ycktruan</t>
  </si>
  <si>
    <t>7ca349c865f4</t>
  </si>
  <si>
    <t>u0ndqecx</t>
  </si>
  <si>
    <t>110_300</t>
  </si>
  <si>
    <t>110</t>
  </si>
  <si>
    <t>Fondi</t>
  </si>
  <si>
    <t>Via Appia Lato Monte S. Biagio, 193, 04022 Fondi LT, Italy</t>
  </si>
  <si>
    <t>https://go.zoniq.io/ya8ndktb</t>
  </si>
  <si>
    <t>Latina</t>
  </si>
  <si>
    <t>f981e0bf9e14</t>
  </si>
  <si>
    <t>sr3e32bp</t>
  </si>
  <si>
    <t>10_300</t>
  </si>
  <si>
    <t>10</t>
  </si>
  <si>
    <t>Caravaggio</t>
  </si>
  <si>
    <t>Via Treviglio, 8, 24043 Caravaggio BG, Italy</t>
  </si>
  <si>
    <t>https://go.zoniq.io/327w8yza</t>
  </si>
  <si>
    <t>9946b4b80216</t>
  </si>
  <si>
    <t>u0nfg5kr</t>
  </si>
  <si>
    <t>92_300</t>
  </si>
  <si>
    <t>92</t>
  </si>
  <si>
    <t>Torino Caselle</t>
  </si>
  <si>
    <t>Via della Zecca, 13, 10072 Caselle Torinese TO, Italy</t>
  </si>
  <si>
    <t>https://go.zoniq.io/msp9vrpy</t>
  </si>
  <si>
    <t>6a23c4467acf</t>
  </si>
  <si>
    <t>u0j3jf2y</t>
  </si>
  <si>
    <t>80_300</t>
  </si>
  <si>
    <t>80</t>
  </si>
  <si>
    <t>Trento</t>
  </si>
  <si>
    <t>Via del Brennero, 113, 38121 Trento TN, Italy</t>
  </si>
  <si>
    <t>https://go.zoniq.io/y2b8usr9</t>
  </si>
  <si>
    <t>Provincia Autonoma di Trento</t>
  </si>
  <si>
    <t>1de88c04e5ef</t>
  </si>
  <si>
    <t>u0pyhvxz</t>
  </si>
  <si>
    <t>53_150</t>
  </si>
  <si>
    <t>95_150</t>
  </si>
  <si>
    <t>116_300</t>
  </si>
  <si>
    <t>116</t>
  </si>
  <si>
    <t>Benevento</t>
  </si>
  <si>
    <t>SS7, 134, 82100 Benevento BN, Italy</t>
  </si>
  <si>
    <t>https://go.zoniq.io/5n7yfwde</t>
  </si>
  <si>
    <t>0b88b04ffd8d</t>
  </si>
  <si>
    <t>sr63zv6t</t>
  </si>
  <si>
    <t>39_150</t>
  </si>
  <si>
    <t>113_300</t>
  </si>
  <si>
    <t>113</t>
  </si>
  <si>
    <t>Castel Mella</t>
  </si>
  <si>
    <t>Via Renolda, 5, 25030 Castel Mella BS, Italy</t>
  </si>
  <si>
    <t>https://go.zoniq.io/2p8fjcpu</t>
  </si>
  <si>
    <t>b7f696a5d2c5</t>
  </si>
  <si>
    <t>u0p4yty5</t>
  </si>
  <si>
    <t>86_300</t>
  </si>
  <si>
    <t>86</t>
  </si>
  <si>
    <t>Verbania</t>
  </si>
  <si>
    <t>Viale Sant'Anna, 1, 28922 Verbania VB, Italy</t>
  </si>
  <si>
    <t>https://go.zoniq.io/3v5an3a4</t>
  </si>
  <si>
    <t>Verbano-Cusio-Ossola</t>
  </si>
  <si>
    <t>c375bed9e3da</t>
  </si>
  <si>
    <t>u0nj69n2</t>
  </si>
  <si>
    <t>71_300</t>
  </si>
  <si>
    <t>71</t>
  </si>
  <si>
    <t>San Don√† di Piave</t>
  </si>
  <si>
    <t>Via Noventa, 132, 30027 San Donà di Piave VE, Italy</t>
  </si>
  <si>
    <t>https://go.zoniq.io/muka5de3</t>
  </si>
  <si>
    <t>05e772b643a0</t>
  </si>
  <si>
    <t>u20gttbt</t>
  </si>
  <si>
    <t>67_300</t>
  </si>
  <si>
    <t>67</t>
  </si>
  <si>
    <t>Rovereto</t>
  </si>
  <si>
    <t>Via del Garda, 57/b, 38068 Rovereto TN, Italy</t>
  </si>
  <si>
    <t>https://go.zoniq.io/2569pdtx</t>
  </si>
  <si>
    <t>6fa14aa2c100</t>
  </si>
  <si>
    <t>u0pufycm</t>
  </si>
  <si>
    <t>1_150</t>
  </si>
  <si>
    <t>9_300</t>
  </si>
  <si>
    <t>9</t>
  </si>
  <si>
    <t>Capriolo</t>
  </si>
  <si>
    <t>Via Bremola, 42, 25031 Capriolo BS, Italy</t>
  </si>
  <si>
    <t>https://go.zoniq.io/2p9es8rt</t>
  </si>
  <si>
    <t>f449eb51e057</t>
  </si>
  <si>
    <t>u0p5djs1</t>
  </si>
  <si>
    <t>112_300</t>
  </si>
  <si>
    <t>112</t>
  </si>
  <si>
    <t>Cavaria</t>
  </si>
  <si>
    <t>Via Crocetta, 22, 21044 Cavaria con Premezzo VA, Italy</t>
  </si>
  <si>
    <t>https://go.zoniq.io/ycke6k5d</t>
  </si>
  <si>
    <t>f70022272cbf</t>
  </si>
  <si>
    <t>u0n7bq1g</t>
  </si>
  <si>
    <t>26_300</t>
  </si>
  <si>
    <t>26</t>
  </si>
  <si>
    <t>Conegliano</t>
  </si>
  <si>
    <t>Via Villa Liccer, 1, 31020 San Fior TV, Italy</t>
  </si>
  <si>
    <t>https://go.zoniq.io/uy8w99y8</t>
  </si>
  <si>
    <t>0a883cd5600b</t>
  </si>
  <si>
    <t>u20v0v2c</t>
  </si>
  <si>
    <t>108_300</t>
  </si>
  <si>
    <t>108</t>
  </si>
  <si>
    <t>Guidonia via delle Genziane</t>
  </si>
  <si>
    <t>Via delle Genziane, 47, 00012 Guidonia Montecelio RM, Italy</t>
  </si>
  <si>
    <t>https://go.zoniq.io/e4c4ythu</t>
  </si>
  <si>
    <t>f09de7664d94</t>
  </si>
  <si>
    <t>sr3nc0pg</t>
  </si>
  <si>
    <t>122_300</t>
  </si>
  <si>
    <t>122</t>
  </si>
  <si>
    <t>Giulianova</t>
  </si>
  <si>
    <t>Via Galileo Galilei, 348, 64021 Giulianova TE, Italy</t>
  </si>
  <si>
    <t>https://go.zoniq.io/ycksr4we</t>
  </si>
  <si>
    <t>Abruzzo</t>
  </si>
  <si>
    <t>Teramo</t>
  </si>
  <si>
    <t>130ff83cbe75</t>
  </si>
  <si>
    <t>sr9gm9dm</t>
  </si>
  <si>
    <t>43_300</t>
  </si>
  <si>
    <t>43</t>
  </si>
  <si>
    <t>Lonato Del Garda</t>
  </si>
  <si>
    <t>Via Battaglie, n° 2, 25017 Lonato del Garda BS, Italy</t>
  </si>
  <si>
    <t>https://go.zoniq.io/yck987pk</t>
  </si>
  <si>
    <t>b3c571bda5ed</t>
  </si>
  <si>
    <t>u0p6rq7q</t>
  </si>
  <si>
    <t>46_300</t>
  </si>
  <si>
    <t>46</t>
  </si>
  <si>
    <t>Massa E Cozzile</t>
  </si>
  <si>
    <t>Via Camporcioni, 7, 51019 Massa e Cozzile PT, Italy</t>
  </si>
  <si>
    <t>https://go.zoniq.io/3w87exx7</t>
  </si>
  <si>
    <t>Pistoia</t>
  </si>
  <si>
    <t>e5b69b929cfa</t>
  </si>
  <si>
    <t>spz9sbm3</t>
  </si>
  <si>
    <t>30_300</t>
  </si>
  <si>
    <t>30</t>
  </si>
  <si>
    <t>Empoli</t>
  </si>
  <si>
    <t>Via Tosco Romagnola Sud, 130, 50053 Empoli FI, Italy</t>
  </si>
  <si>
    <t>https://go.zoniq.io/2p8vmwva</t>
  </si>
  <si>
    <t>ceef035c650e</t>
  </si>
  <si>
    <t>spzb9z54</t>
  </si>
  <si>
    <t>121_150</t>
  </si>
  <si>
    <t>114_150</t>
  </si>
  <si>
    <t>68_300</t>
  </si>
  <si>
    <t>68</t>
  </si>
  <si>
    <t>Rovigo</t>
  </si>
  <si>
    <t>Viale Unità Europea, 5, 45100 Punto 13 RO, Italy</t>
  </si>
  <si>
    <t>https://go.zoniq.io/2p89c5zk</t>
  </si>
  <si>
    <t>cdaa9830ea42</t>
  </si>
  <si>
    <t>u202hn05</t>
  </si>
  <si>
    <t>124_300</t>
  </si>
  <si>
    <t>124</t>
  </si>
  <si>
    <t>L'Aquila</t>
  </si>
  <si>
    <t>Via Onorevole Giuseppe Saragat, 10, 67100 L'Aquila AQ, Italy</t>
  </si>
  <si>
    <t>https://go.zoniq.io/39yue7br</t>
  </si>
  <si>
    <t>L’Aquila</t>
  </si>
  <si>
    <t>db6b64034094</t>
  </si>
  <si>
    <t>sr92zv4p</t>
  </si>
  <si>
    <t>51_300</t>
  </si>
  <si>
    <t>51</t>
  </si>
  <si>
    <t>Olbia</t>
  </si>
  <si>
    <t>Viale Aldo Moro, 447, 07026 Olbia SS, Italy</t>
  </si>
  <si>
    <t>https://go.zoniq.io/4nfj9znu</t>
  </si>
  <si>
    <t>Sassari</t>
  </si>
  <si>
    <t>47afd89908c2</t>
  </si>
  <si>
    <t>spqbbp7m</t>
  </si>
  <si>
    <t>36_300</t>
  </si>
  <si>
    <t>36</t>
  </si>
  <si>
    <t>Fucecchio</t>
  </si>
  <si>
    <t>via Strada Statale Provinciale 11, Circonvallazione, 13, 50054 Fucecchio FI, Italy</t>
  </si>
  <si>
    <t>https://go.zoniq.io/2p8ekjv5</t>
  </si>
  <si>
    <t>4dbbe577977a</t>
  </si>
  <si>
    <t>spz8vf51</t>
  </si>
  <si>
    <t>123_300</t>
  </si>
  <si>
    <t>123</t>
  </si>
  <si>
    <t>Imperia</t>
  </si>
  <si>
    <t>Via Giuseppe Airenti, 5, 18100 Imperia IM, Italy</t>
  </si>
  <si>
    <t>https://go.zoniq.io/yckvnwpc</t>
  </si>
  <si>
    <t>ee1547a5ad5d</t>
  </si>
  <si>
    <t>spv9w5vx</t>
  </si>
  <si>
    <t>14_300</t>
  </si>
  <si>
    <t>14</t>
  </si>
  <si>
    <t>Casalpusterlengo</t>
  </si>
  <si>
    <t>Via Amendola, 77, 26841 Casalpusterlengo LO, Italy</t>
  </si>
  <si>
    <t>https://go.zoniq.io/ydknrth8</t>
  </si>
  <si>
    <t>c312ee317712</t>
  </si>
  <si>
    <t>u0nc50q0</t>
  </si>
  <si>
    <t>118_300</t>
  </si>
  <si>
    <t>118</t>
  </si>
  <si>
    <t>Avezzano</t>
  </si>
  <si>
    <t>Via B. Cassinelli, SNC, 67051 Avezzano AQ, Italy</t>
  </si>
  <si>
    <t>https://go.zoniq.io/4tst98rp</t>
  </si>
  <si>
    <t>ba3a93f5bdaf</t>
  </si>
  <si>
    <t>sr3x1mj8</t>
  </si>
  <si>
    <t>19_300</t>
  </si>
  <si>
    <t>19</t>
  </si>
  <si>
    <t>Catanzaro Viale Crotone</t>
  </si>
  <si>
    <t>Viale Crotone, 185, 88100 Catanzaro CZ, Italy</t>
  </si>
  <si>
    <t>https://go.zoniq.io/ycks47wk</t>
  </si>
  <si>
    <t>Calabria</t>
  </si>
  <si>
    <t>Catanzaro</t>
  </si>
  <si>
    <t>020c27c06a00</t>
  </si>
  <si>
    <t>sqgufwm1</t>
  </si>
  <si>
    <t>69_150</t>
  </si>
  <si>
    <t>73_150</t>
  </si>
  <si>
    <t>85_150</t>
  </si>
  <si>
    <t>20_300</t>
  </si>
  <si>
    <t>20</t>
  </si>
  <si>
    <t>Ceriale</t>
  </si>
  <si>
    <t>SS 1, snc, 17023 Ceriale SV, Italy</t>
  </si>
  <si>
    <t>https://go.zoniq.io/4hp6vc2f</t>
  </si>
  <si>
    <t>Savona</t>
  </si>
  <si>
    <t>f73d9e74ea82</t>
  </si>
  <si>
    <t>spvfg1hh</t>
  </si>
  <si>
    <t>100_150</t>
  </si>
  <si>
    <t>98_150</t>
  </si>
  <si>
    <t>12_300</t>
  </si>
  <si>
    <t>12</t>
  </si>
  <si>
    <t>Casale Monferrato</t>
  </si>
  <si>
    <t>Via Madre Teresa di Calcutta, 7, 15033 Casale Monferrato AL, Italy</t>
  </si>
  <si>
    <t>https://go.zoniq.io/mr44p24u</t>
  </si>
  <si>
    <t>6d9d85b69ae2</t>
  </si>
  <si>
    <t>u0n08w71</t>
  </si>
  <si>
    <t>63_150</t>
  </si>
  <si>
    <t>79_300</t>
  </si>
  <si>
    <t>79</t>
  </si>
  <si>
    <t>Trecate</t>
  </si>
  <si>
    <t>Via Novara, 133, 28069 Trecate NO, Italy</t>
  </si>
  <si>
    <t>https://go.zoniq.io/39kypw2x</t>
  </si>
  <si>
    <t>062a761598d0</t>
  </si>
  <si>
    <t>u0n4qr08</t>
  </si>
  <si>
    <t>102_300</t>
  </si>
  <si>
    <t>102</t>
  </si>
  <si>
    <t>Oristano</t>
  </si>
  <si>
    <t>Via Cagliari, 456, 09170 Oristano OR, Italy</t>
  </si>
  <si>
    <t>https://go.zoniq.io/2p839vj7</t>
  </si>
  <si>
    <t>3cc6d9b3512e</t>
  </si>
  <si>
    <t>spn4gwjf</t>
  </si>
  <si>
    <t>18_150</t>
  </si>
  <si>
    <t>23_300</t>
  </si>
  <si>
    <t>23</t>
  </si>
  <si>
    <t>Cisterna di Latina</t>
  </si>
  <si>
    <t>Via Nettuno, 90, 04012 Cisterna di Latina LT, Italy</t>
  </si>
  <si>
    <t>https://go.zoniq.io/43yed2hp</t>
  </si>
  <si>
    <t>71b7807b625f</t>
  </si>
  <si>
    <t>sr3hecu1</t>
  </si>
  <si>
    <t>48_150</t>
  </si>
  <si>
    <t>76_300</t>
  </si>
  <si>
    <t>76</t>
  </si>
  <si>
    <t>Sora</t>
  </si>
  <si>
    <t>Viale S. Domenico, 58, 03039 Sora FR, Italy</t>
  </si>
  <si>
    <t>https://go.zoniq.io/7392sz6n</t>
  </si>
  <si>
    <t>Frosinone</t>
  </si>
  <si>
    <t>62bce6ce568d</t>
  </si>
  <si>
    <t>sr3tjpz9</t>
  </si>
  <si>
    <t>84_300</t>
  </si>
  <si>
    <t>84</t>
  </si>
  <si>
    <t>Velletri</t>
  </si>
  <si>
    <t>Viale dei Volsci, 2, 00049 Velletri RM, Italy</t>
  </si>
  <si>
    <t>https://go.zoniq.io/mvap3xnr</t>
  </si>
  <si>
    <t>87662e8aca58</t>
  </si>
  <si>
    <t>sr3j4vfs</t>
  </si>
  <si>
    <t>88_150</t>
  </si>
  <si>
    <t>17_300</t>
  </si>
  <si>
    <t>17</t>
  </si>
  <si>
    <t>Castelfranco Emilia</t>
  </si>
  <si>
    <t>BK Franchisee, Via Cartiera, 2, 41013 Castelfranco Emilia MO, Italy</t>
  </si>
  <si>
    <t>https://go.zoniq.io/25654me8</t>
  </si>
  <si>
    <t>9b05cb3d0a8d</t>
  </si>
  <si>
    <t>spzvepbb</t>
  </si>
  <si>
    <t>127_50</t>
  </si>
  <si>
    <t>38_300</t>
  </si>
  <si>
    <t>38</t>
  </si>
  <si>
    <t xml:space="preserve">Genzano </t>
  </si>
  <si>
    <t>Via Riccardo Lombardi, 12, 00045 Genzano di Roma RM, Italy</t>
  </si>
  <si>
    <t>https://go.zoniq.io/2p9cep5w</t>
  </si>
  <si>
    <t>953190cdd79c</t>
  </si>
  <si>
    <t>sr3j28n0</t>
  </si>
  <si>
    <t>91_300</t>
  </si>
  <si>
    <t>91</t>
  </si>
  <si>
    <t>Villaggio San Vincenzo</t>
  </si>
  <si>
    <t>Strada Provinciale della Principessa, 207, 57027 San Vincenzo LI, Italy</t>
  </si>
  <si>
    <t>https://go.zoniq.io/2p8m2bjw</t>
  </si>
  <si>
    <t>05b72a543e68</t>
  </si>
  <si>
    <t>spxmpc3b</t>
  </si>
  <si>
    <t>44_150</t>
  </si>
  <si>
    <t>29_150</t>
  </si>
  <si>
    <t>87_150</t>
  </si>
  <si>
    <t>50_150</t>
  </si>
  <si>
    <t>49_150</t>
  </si>
  <si>
    <t>99_150</t>
  </si>
  <si>
    <t>115_150</t>
  </si>
  <si>
    <t>47_150</t>
  </si>
  <si>
    <t>16_150</t>
  </si>
  <si>
    <t>4_300</t>
  </si>
  <si>
    <t>4</t>
  </si>
  <si>
    <t>Altavilla</t>
  </si>
  <si>
    <t>Via Tavernelle, 1/B, 36077 Altavilla Vicentina VI, Italy</t>
  </si>
  <si>
    <t>https://go.zoniq.io/y4b3yvya</t>
  </si>
  <si>
    <t>551ff2304aa4</t>
  </si>
  <si>
    <t>u204uyj9</t>
  </si>
  <si>
    <t>59_150</t>
  </si>
  <si>
    <t>106_150</t>
  </si>
  <si>
    <t>5_150</t>
  </si>
  <si>
    <t>129_150</t>
  </si>
  <si>
    <t>75_300</t>
  </si>
  <si>
    <t>75</t>
  </si>
  <si>
    <t>Siena</t>
  </si>
  <si>
    <t>Viale Pietro Toselli, 9A, 53100 Siena SI, Italy</t>
  </si>
  <si>
    <t>https://go.zoniq.io/4nza73ty</t>
  </si>
  <si>
    <t>7dbafe30b3d9</t>
  </si>
  <si>
    <t>sr8n6mew</t>
  </si>
  <si>
    <t>60_150</t>
  </si>
  <si>
    <t>33_150</t>
  </si>
  <si>
    <t>57_150</t>
  </si>
  <si>
    <t>126_150</t>
  </si>
  <si>
    <t>83_150</t>
  </si>
  <si>
    <t>97_50</t>
  </si>
  <si>
    <t>82_150</t>
  </si>
  <si>
    <t>65_50</t>
  </si>
  <si>
    <t>66_50</t>
  </si>
  <si>
    <t>81_150</t>
  </si>
  <si>
    <t>27_150</t>
  </si>
  <si>
    <t>77_150</t>
  </si>
  <si>
    <t>15_50</t>
  </si>
  <si>
    <t>41_150</t>
  </si>
  <si>
    <t>94_150</t>
  </si>
  <si>
    <t>7_150</t>
  </si>
  <si>
    <t>3_300</t>
  </si>
  <si>
    <t>3</t>
  </si>
  <si>
    <t>Retail Park, Via Vecchia Torino, 34, 15121 Alessandria AL, Italy</t>
  </si>
  <si>
    <t>https://go.zoniq.io/4xhpdssf</t>
  </si>
  <si>
    <t>1e1afb38e8d0</t>
  </si>
  <si>
    <t>spype8v6</t>
  </si>
  <si>
    <t>125_150</t>
  </si>
  <si>
    <t>89_150</t>
  </si>
  <si>
    <t>93_300</t>
  </si>
  <si>
    <t>93</t>
  </si>
  <si>
    <t>Sestu</t>
  </si>
  <si>
    <t>Località Scala Sa Perda, 1080, 09028 Sestu CA, Italy</t>
  </si>
  <si>
    <t>https://go.zoniq.io/2p9a8827</t>
  </si>
  <si>
    <t>1c8c6b9d9a5b</t>
  </si>
  <si>
    <t>snyrw62k</t>
  </si>
  <si>
    <t>8_150</t>
  </si>
  <si>
    <t>28_150</t>
  </si>
  <si>
    <t>55_150</t>
  </si>
  <si>
    <t>103_150</t>
  </si>
  <si>
    <t>120_150</t>
  </si>
  <si>
    <t>78_150</t>
  </si>
  <si>
    <t>11_150</t>
  </si>
  <si>
    <t>42_150</t>
  </si>
  <si>
    <t>54_150</t>
  </si>
  <si>
    <t>6_150</t>
  </si>
  <si>
    <t>96_150</t>
  </si>
  <si>
    <t>37_150</t>
  </si>
  <si>
    <t>58_150</t>
  </si>
  <si>
    <t>101_150</t>
  </si>
  <si>
    <t>72_50</t>
  </si>
  <si>
    <t>70_150</t>
  </si>
  <si>
    <t>25_150</t>
  </si>
  <si>
    <t>22_150</t>
  </si>
  <si>
    <t>32_150</t>
  </si>
  <si>
    <t>52_150</t>
  </si>
  <si>
    <t>119_150</t>
  </si>
  <si>
    <t>34_150</t>
  </si>
  <si>
    <t>40_150</t>
  </si>
  <si>
    <t>13_150</t>
  </si>
  <si>
    <t>64_150</t>
  </si>
  <si>
    <t>74_150</t>
  </si>
  <si>
    <t>35_150</t>
  </si>
  <si>
    <t>107_150</t>
  </si>
  <si>
    <t>111_150</t>
  </si>
  <si>
    <t>61_150</t>
  </si>
  <si>
    <t>24_150</t>
  </si>
  <si>
    <t>31_150</t>
  </si>
  <si>
    <t>56_50</t>
  </si>
  <si>
    <t>109_150</t>
  </si>
  <si>
    <t>104_150</t>
  </si>
  <si>
    <t>128_150</t>
  </si>
  <si>
    <t>105_150</t>
  </si>
  <si>
    <t>45_150</t>
  </si>
  <si>
    <t>117_150</t>
  </si>
  <si>
    <t>90_150</t>
  </si>
  <si>
    <t>110_150</t>
  </si>
  <si>
    <t>10_150</t>
  </si>
  <si>
    <t>92_150</t>
  </si>
  <si>
    <t>80_150</t>
  </si>
  <si>
    <t>62_50</t>
  </si>
  <si>
    <t>69_50</t>
  </si>
  <si>
    <t>116_150</t>
  </si>
  <si>
    <t>2_50</t>
  </si>
  <si>
    <t>113_150</t>
  </si>
  <si>
    <t>86_150</t>
  </si>
  <si>
    <t>71_150</t>
  </si>
  <si>
    <t>67_150</t>
  </si>
  <si>
    <t>9_150</t>
  </si>
  <si>
    <t>112_150</t>
  </si>
  <si>
    <t>26_150</t>
  </si>
  <si>
    <t>108_150</t>
  </si>
  <si>
    <t>1_50</t>
  </si>
  <si>
    <t>122_150</t>
  </si>
  <si>
    <t>43_150</t>
  </si>
  <si>
    <t>46_150</t>
  </si>
  <si>
    <t>30_150</t>
  </si>
  <si>
    <t>68_150</t>
  </si>
  <si>
    <t>21_50</t>
  </si>
  <si>
    <t>124_150</t>
  </si>
  <si>
    <t>51_150</t>
  </si>
  <si>
    <t>36_150</t>
  </si>
  <si>
    <t>123_150</t>
  </si>
  <si>
    <t>14_150</t>
  </si>
  <si>
    <t>118_150</t>
  </si>
  <si>
    <t>19_150</t>
  </si>
  <si>
    <t>20_150</t>
  </si>
  <si>
    <t>12_150</t>
  </si>
  <si>
    <t>79_150</t>
  </si>
  <si>
    <t>102_150</t>
  </si>
  <si>
    <t>95_50</t>
  </si>
  <si>
    <t>23_150</t>
  </si>
  <si>
    <t>76_150</t>
  </si>
  <si>
    <t>18_50</t>
  </si>
  <si>
    <t>53_50</t>
  </si>
  <si>
    <t>84_150</t>
  </si>
  <si>
    <t>17_150</t>
  </si>
  <si>
    <t>38_150</t>
  </si>
  <si>
    <t>96_50</t>
  </si>
  <si>
    <t>91_150</t>
  </si>
  <si>
    <t>100_50</t>
  </si>
  <si>
    <t>4_150</t>
  </si>
  <si>
    <t>121_50</t>
  </si>
  <si>
    <t>63_50</t>
  </si>
  <si>
    <t>39_50</t>
  </si>
  <si>
    <t>75_150</t>
  </si>
  <si>
    <t>49_50</t>
  </si>
  <si>
    <t>88_50</t>
  </si>
  <si>
    <t>3_150</t>
  </si>
  <si>
    <t>93_150</t>
  </si>
  <si>
    <t>126_50</t>
  </si>
  <si>
    <t>85_50</t>
  </si>
  <si>
    <t>106_50</t>
  </si>
  <si>
    <t>29_50</t>
  </si>
  <si>
    <t>59_50</t>
  </si>
  <si>
    <t>16_50</t>
  </si>
  <si>
    <t>74_50</t>
  </si>
  <si>
    <t>33_50</t>
  </si>
  <si>
    <t>77_50</t>
  </si>
  <si>
    <t>48_50</t>
  </si>
  <si>
    <t>50_50</t>
  </si>
  <si>
    <t>28_50</t>
  </si>
  <si>
    <t>22_50</t>
  </si>
  <si>
    <t>114_50</t>
  </si>
  <si>
    <t>73_50</t>
  </si>
  <si>
    <t>129_50</t>
  </si>
  <si>
    <t>60_50</t>
  </si>
  <si>
    <t>115_50</t>
  </si>
  <si>
    <t>87_50</t>
  </si>
  <si>
    <t>119_50</t>
  </si>
  <si>
    <t>8_50</t>
  </si>
  <si>
    <t>82_50</t>
  </si>
  <si>
    <t>42_50</t>
  </si>
  <si>
    <t>89_50</t>
  </si>
  <si>
    <t>125_50</t>
  </si>
  <si>
    <t>11_50</t>
  </si>
  <si>
    <t>120_50</t>
  </si>
  <si>
    <t>52_50</t>
  </si>
  <si>
    <t>104_50</t>
  </si>
  <si>
    <t>78_50</t>
  </si>
  <si>
    <t>70_50</t>
  </si>
  <si>
    <t>58_50</t>
  </si>
  <si>
    <t>54_50</t>
  </si>
  <si>
    <t>98_50</t>
  </si>
  <si>
    <t>10_50</t>
  </si>
  <si>
    <t>6_50</t>
  </si>
  <si>
    <t>94_50</t>
  </si>
  <si>
    <t>99_50</t>
  </si>
  <si>
    <t>32_50</t>
  </si>
  <si>
    <t>109_50</t>
  </si>
  <si>
    <t>13_50</t>
  </si>
  <si>
    <t>44_50</t>
  </si>
  <si>
    <t>27_50</t>
  </si>
  <si>
    <t>41_50</t>
  </si>
  <si>
    <t>37_50</t>
  </si>
  <si>
    <t>35_50</t>
  </si>
  <si>
    <t>7_50</t>
  </si>
  <si>
    <t>57_50</t>
  </si>
  <si>
    <t>55_50</t>
  </si>
  <si>
    <t>83_50</t>
  </si>
  <si>
    <t>34_50</t>
  </si>
  <si>
    <t>128_50</t>
  </si>
  <si>
    <t>40_50</t>
  </si>
  <si>
    <t>111_50</t>
  </si>
  <si>
    <t>81_50</t>
  </si>
  <si>
    <t>64_50</t>
  </si>
  <si>
    <t>116_50</t>
  </si>
  <si>
    <t>108_50</t>
  </si>
  <si>
    <t>24_50</t>
  </si>
  <si>
    <t>101_50</t>
  </si>
  <si>
    <t>47_50</t>
  </si>
  <si>
    <t>9_50</t>
  </si>
  <si>
    <t>105_50</t>
  </si>
  <si>
    <t>103_50</t>
  </si>
  <si>
    <t>80_50</t>
  </si>
  <si>
    <t>25_50</t>
  </si>
  <si>
    <t>45_50</t>
  </si>
  <si>
    <t>92_50</t>
  </si>
  <si>
    <t>61_50</t>
  </si>
  <si>
    <t>110_50</t>
  </si>
  <si>
    <t>86_50</t>
  </si>
  <si>
    <t>5_50</t>
  </si>
  <si>
    <t>90_50</t>
  </si>
  <si>
    <t>71_50</t>
  </si>
  <si>
    <t>118_50</t>
  </si>
  <si>
    <t>46_50</t>
  </si>
  <si>
    <t>68_50</t>
  </si>
  <si>
    <t>107_50</t>
  </si>
  <si>
    <t>67_50</t>
  </si>
  <si>
    <t>124_50</t>
  </si>
  <si>
    <t>31_50</t>
  </si>
  <si>
    <t>112_50</t>
  </si>
  <si>
    <t>43_50</t>
  </si>
  <si>
    <t>51_50</t>
  </si>
  <si>
    <t>117_50</t>
  </si>
  <si>
    <t>122_50</t>
  </si>
  <si>
    <t>113_50</t>
  </si>
  <si>
    <t>26_50</t>
  </si>
  <si>
    <t>23_50</t>
  </si>
  <si>
    <t>36_50</t>
  </si>
  <si>
    <t>38_50</t>
  </si>
  <si>
    <t>123_50</t>
  </si>
  <si>
    <t>14_50</t>
  </si>
  <si>
    <t>19_50</t>
  </si>
  <si>
    <t>84_50</t>
  </si>
  <si>
    <t>12_50</t>
  </si>
  <si>
    <t>20_50</t>
  </si>
  <si>
    <t>79_50</t>
  </si>
  <si>
    <t>76_50</t>
  </si>
  <si>
    <t>102_50</t>
  </si>
  <si>
    <t>30_50</t>
  </si>
  <si>
    <t>4_50</t>
  </si>
  <si>
    <t>17_50</t>
  </si>
  <si>
    <t>75_50</t>
  </si>
  <si>
    <t>3_50</t>
  </si>
  <si>
    <t>91_50</t>
  </si>
  <si>
    <t>93_50</t>
  </si>
  <si>
    <t>Util</t>
  </si>
  <si>
    <t>Util 2027</t>
  </si>
  <si>
    <t>Util 2030</t>
  </si>
  <si>
    <t>Util 2035</t>
  </si>
  <si>
    <t>Profitable</t>
  </si>
  <si>
    <t>Profitable cat</t>
  </si>
  <si>
    <t>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</si>
</sst>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E690"/>
        <bgColor rgb="FF69E69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9" fontId="0" fillId="0" borderId="0" xfId="2" applyFont="1"/>
    <xf numFmtId="9" fontId="2" fillId="2" borderId="0" xfId="2" applyFont="1" applyFill="1" applyAlignment="1">
      <alignment horizontal="center" vertical="center" wrapText="1"/>
    </xf>
    <xf numFmtId="0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.zoniq.io/yckpxdhc" TargetMode="External"/><Relationship Id="rId21" Type="http://schemas.openxmlformats.org/officeDocument/2006/relationships/hyperlink" Target="https://go.zoniq.io/44mbjyk4" TargetMode="External"/><Relationship Id="rId324" Type="http://schemas.openxmlformats.org/officeDocument/2006/relationships/hyperlink" Target="https://go.zoniq.io/ycks47wk" TargetMode="External"/><Relationship Id="rId531" Type="http://schemas.openxmlformats.org/officeDocument/2006/relationships/hyperlink" Target="https://go.zoniq.io/yckp8nft" TargetMode="External"/><Relationship Id="rId629" Type="http://schemas.openxmlformats.org/officeDocument/2006/relationships/hyperlink" Target="https://go.zoniq.io/2p9cep5w" TargetMode="External"/><Relationship Id="rId170" Type="http://schemas.openxmlformats.org/officeDocument/2006/relationships/hyperlink" Target="https://go.zoniq.io/2p688cn6" TargetMode="External"/><Relationship Id="rId268" Type="http://schemas.openxmlformats.org/officeDocument/2006/relationships/hyperlink" Target="https://go.zoniq.io/2p839vj7" TargetMode="External"/><Relationship Id="rId475" Type="http://schemas.openxmlformats.org/officeDocument/2006/relationships/hyperlink" Target="https://go.zoniq.io/4tst98rp" TargetMode="External"/><Relationship Id="rId32" Type="http://schemas.openxmlformats.org/officeDocument/2006/relationships/hyperlink" Target="https://go.zoniq.io/yx7vn3u6" TargetMode="External"/><Relationship Id="rId128" Type="http://schemas.openxmlformats.org/officeDocument/2006/relationships/hyperlink" Target="https://go.zoniq.io/44mbjyk4" TargetMode="External"/><Relationship Id="rId335" Type="http://schemas.openxmlformats.org/officeDocument/2006/relationships/hyperlink" Target="https://go.zoniq.io/2p99uwjw" TargetMode="External"/><Relationship Id="rId542" Type="http://schemas.openxmlformats.org/officeDocument/2006/relationships/hyperlink" Target="https://go.zoniq.io/mv7y2dfu" TargetMode="External"/><Relationship Id="rId181" Type="http://schemas.openxmlformats.org/officeDocument/2006/relationships/hyperlink" Target="https://go.zoniq.io/yckme28p" TargetMode="External"/><Relationship Id="rId402" Type="http://schemas.openxmlformats.org/officeDocument/2006/relationships/hyperlink" Target="https://go.zoniq.io/3kjjk37" TargetMode="External"/><Relationship Id="rId279" Type="http://schemas.openxmlformats.org/officeDocument/2006/relationships/hyperlink" Target="https://go.zoniq.io/2p99uwjw" TargetMode="External"/><Relationship Id="rId486" Type="http://schemas.openxmlformats.org/officeDocument/2006/relationships/hyperlink" Target="https://go.zoniq.io/uy8w99y8" TargetMode="External"/><Relationship Id="rId43" Type="http://schemas.openxmlformats.org/officeDocument/2006/relationships/hyperlink" Target="https://go.zoniq.io/2p8sa2jp" TargetMode="External"/><Relationship Id="rId139" Type="http://schemas.openxmlformats.org/officeDocument/2006/relationships/hyperlink" Target="https://go.zoniq.io/yc6vhcav" TargetMode="External"/><Relationship Id="rId346" Type="http://schemas.openxmlformats.org/officeDocument/2006/relationships/hyperlink" Target="https://go.zoniq.io/4zndks3x" TargetMode="External"/><Relationship Id="rId553" Type="http://schemas.openxmlformats.org/officeDocument/2006/relationships/hyperlink" Target="https://go.zoniq.io/3trndtcb" TargetMode="External"/><Relationship Id="rId192" Type="http://schemas.openxmlformats.org/officeDocument/2006/relationships/hyperlink" Target="https://go.zoniq.io/285zfaw2" TargetMode="External"/><Relationship Id="rId206" Type="http://schemas.openxmlformats.org/officeDocument/2006/relationships/hyperlink" Target="https://go.zoniq.io/mrwbp25b" TargetMode="External"/><Relationship Id="rId413" Type="http://schemas.openxmlformats.org/officeDocument/2006/relationships/hyperlink" Target="https://go.zoniq.io/2p84597r" TargetMode="External"/><Relationship Id="rId497" Type="http://schemas.openxmlformats.org/officeDocument/2006/relationships/hyperlink" Target="https://go.zoniq.io/2p89c5zk" TargetMode="External"/><Relationship Id="rId620" Type="http://schemas.openxmlformats.org/officeDocument/2006/relationships/hyperlink" Target="https://go.zoniq.io/ycke6k5d" TargetMode="External"/><Relationship Id="rId357" Type="http://schemas.openxmlformats.org/officeDocument/2006/relationships/hyperlink" Target="https://go.zoniq.io/yc35ftz2" TargetMode="External"/><Relationship Id="rId54" Type="http://schemas.openxmlformats.org/officeDocument/2006/relationships/hyperlink" Target="https://go.zoniq.io/mrt645cc" TargetMode="External"/><Relationship Id="rId217" Type="http://schemas.openxmlformats.org/officeDocument/2006/relationships/hyperlink" Target="https://go.zoniq.io/yck987pk" TargetMode="External"/><Relationship Id="rId564" Type="http://schemas.openxmlformats.org/officeDocument/2006/relationships/hyperlink" Target="https://go.zoniq.io/44jas9uj" TargetMode="External"/><Relationship Id="rId424" Type="http://schemas.openxmlformats.org/officeDocument/2006/relationships/hyperlink" Target="https://go.zoniq.io/ymxbxawe" TargetMode="External"/><Relationship Id="rId631" Type="http://schemas.openxmlformats.org/officeDocument/2006/relationships/hyperlink" Target="https://go.zoniq.io/ydknrth8" TargetMode="External"/><Relationship Id="rId270" Type="http://schemas.openxmlformats.org/officeDocument/2006/relationships/hyperlink" Target="https://go.zoniq.io/y4cnz7bt" TargetMode="External"/><Relationship Id="rId65" Type="http://schemas.openxmlformats.org/officeDocument/2006/relationships/hyperlink" Target="https://go.zoniq.io/2p8w386a" TargetMode="External"/><Relationship Id="rId130" Type="http://schemas.openxmlformats.org/officeDocument/2006/relationships/hyperlink" Target="https://go.zoniq.io/4zndks3x" TargetMode="External"/><Relationship Id="rId368" Type="http://schemas.openxmlformats.org/officeDocument/2006/relationships/hyperlink" Target="https://go.zoniq.io/ymxbxawe" TargetMode="External"/><Relationship Id="rId575" Type="http://schemas.openxmlformats.org/officeDocument/2006/relationships/hyperlink" Target="https://go.zoniq.io/4swrwcpd" TargetMode="External"/><Relationship Id="rId228" Type="http://schemas.openxmlformats.org/officeDocument/2006/relationships/hyperlink" Target="https://go.zoniq.io/2p89c5zk" TargetMode="External"/><Relationship Id="rId435" Type="http://schemas.openxmlformats.org/officeDocument/2006/relationships/hyperlink" Target="https://go.zoniq.io/ks86m228" TargetMode="External"/><Relationship Id="rId642" Type="http://schemas.openxmlformats.org/officeDocument/2006/relationships/hyperlink" Target="https://go.zoniq.io/4nza73ty" TargetMode="External"/><Relationship Id="rId281" Type="http://schemas.openxmlformats.org/officeDocument/2006/relationships/hyperlink" Target="https://go.zoniq.io/2p8jfj3z" TargetMode="External"/><Relationship Id="rId502" Type="http://schemas.openxmlformats.org/officeDocument/2006/relationships/hyperlink" Target="https://go.zoniq.io/2p8ekjv5" TargetMode="External"/><Relationship Id="rId76" Type="http://schemas.openxmlformats.org/officeDocument/2006/relationships/hyperlink" Target="https://go.zoniq.io/2p8jfj3z" TargetMode="External"/><Relationship Id="rId141" Type="http://schemas.openxmlformats.org/officeDocument/2006/relationships/hyperlink" Target="https://go.zoniq.io/2s3m66wn" TargetMode="External"/><Relationship Id="rId379" Type="http://schemas.openxmlformats.org/officeDocument/2006/relationships/hyperlink" Target="https://go.zoniq.io/mwwpufed" TargetMode="External"/><Relationship Id="rId586" Type="http://schemas.openxmlformats.org/officeDocument/2006/relationships/hyperlink" Target="https://go.zoniq.io/4zndks3x" TargetMode="External"/><Relationship Id="rId7" Type="http://schemas.openxmlformats.org/officeDocument/2006/relationships/hyperlink" Target="https://go.zoniq.io/44mbjyk4" TargetMode="External"/><Relationship Id="rId239" Type="http://schemas.openxmlformats.org/officeDocument/2006/relationships/hyperlink" Target="https://go.zoniq.io/2p9bpwyu" TargetMode="External"/><Relationship Id="rId446" Type="http://schemas.openxmlformats.org/officeDocument/2006/relationships/hyperlink" Target="https://go.zoniq.io/ym2zfmzt" TargetMode="External"/><Relationship Id="rId292" Type="http://schemas.openxmlformats.org/officeDocument/2006/relationships/hyperlink" Target="https://go.zoniq.io/yck987pk" TargetMode="External"/><Relationship Id="rId306" Type="http://schemas.openxmlformats.org/officeDocument/2006/relationships/hyperlink" Target="https://go.zoniq.io/ms9vsmwc" TargetMode="External"/><Relationship Id="rId87" Type="http://schemas.openxmlformats.org/officeDocument/2006/relationships/hyperlink" Target="https://go.zoniq.io/2p8dbpzr" TargetMode="External"/><Relationship Id="rId513" Type="http://schemas.openxmlformats.org/officeDocument/2006/relationships/hyperlink" Target="https://go.zoniq.io/39kypw2x" TargetMode="External"/><Relationship Id="rId597" Type="http://schemas.openxmlformats.org/officeDocument/2006/relationships/hyperlink" Target="https://go.zoniq.io/ym2zfmzt" TargetMode="External"/><Relationship Id="rId152" Type="http://schemas.openxmlformats.org/officeDocument/2006/relationships/hyperlink" Target="https://go.zoniq.io/bdfhe9cp" TargetMode="External"/><Relationship Id="rId457" Type="http://schemas.openxmlformats.org/officeDocument/2006/relationships/hyperlink" Target="https://go.zoniq.io/yck987pk" TargetMode="External"/><Relationship Id="rId14" Type="http://schemas.openxmlformats.org/officeDocument/2006/relationships/hyperlink" Target="https://go.zoniq.io/2p8ptmr5" TargetMode="External"/><Relationship Id="rId317" Type="http://schemas.openxmlformats.org/officeDocument/2006/relationships/hyperlink" Target="https://go.zoniq.io/2p26zyv3" TargetMode="External"/><Relationship Id="rId524" Type="http://schemas.openxmlformats.org/officeDocument/2006/relationships/hyperlink" Target="https://go.zoniq.io/2p9cep5w" TargetMode="External"/><Relationship Id="rId98" Type="http://schemas.openxmlformats.org/officeDocument/2006/relationships/hyperlink" Target="https://go.zoniq.io/42es8w3e" TargetMode="External"/><Relationship Id="rId163" Type="http://schemas.openxmlformats.org/officeDocument/2006/relationships/hyperlink" Target="https://go.zoniq.io/57f2r4su" TargetMode="External"/><Relationship Id="rId370" Type="http://schemas.openxmlformats.org/officeDocument/2006/relationships/hyperlink" Target="https://go.zoniq.io/myjdzx98" TargetMode="External"/><Relationship Id="rId230" Type="http://schemas.openxmlformats.org/officeDocument/2006/relationships/hyperlink" Target="https://go.zoniq.io/ym2zfmzt" TargetMode="External"/><Relationship Id="rId468" Type="http://schemas.openxmlformats.org/officeDocument/2006/relationships/hyperlink" Target="https://go.zoniq.io/4nfj9znu" TargetMode="External"/><Relationship Id="rId25" Type="http://schemas.openxmlformats.org/officeDocument/2006/relationships/hyperlink" Target="https://go.zoniq.io/yb6tj5dc" TargetMode="External"/><Relationship Id="rId328" Type="http://schemas.openxmlformats.org/officeDocument/2006/relationships/hyperlink" Target="https://go.zoniq.io/y4cnz7bt" TargetMode="External"/><Relationship Id="rId535" Type="http://schemas.openxmlformats.org/officeDocument/2006/relationships/hyperlink" Target="https://go.zoniq.io/2p26zyv3" TargetMode="External"/><Relationship Id="rId174" Type="http://schemas.openxmlformats.org/officeDocument/2006/relationships/hyperlink" Target="https://go.zoniq.io/327w8yza" TargetMode="External"/><Relationship Id="rId381" Type="http://schemas.openxmlformats.org/officeDocument/2006/relationships/hyperlink" Target="https://go.zoniq.io/2p8dbpzr" TargetMode="External"/><Relationship Id="rId602" Type="http://schemas.openxmlformats.org/officeDocument/2006/relationships/hyperlink" Target="https://go.zoniq.io/2p688cn6" TargetMode="External"/><Relationship Id="rId241" Type="http://schemas.openxmlformats.org/officeDocument/2006/relationships/hyperlink" Target="https://go.zoniq.io/4tst98rp" TargetMode="External"/><Relationship Id="rId479" Type="http://schemas.openxmlformats.org/officeDocument/2006/relationships/hyperlink" Target="https://go.zoniq.io/2p8fjcpu" TargetMode="External"/><Relationship Id="rId36" Type="http://schemas.openxmlformats.org/officeDocument/2006/relationships/hyperlink" Target="https://go.zoniq.io/yckkfccs" TargetMode="External"/><Relationship Id="rId339" Type="http://schemas.openxmlformats.org/officeDocument/2006/relationships/hyperlink" Target="https://go.zoniq.io/4nza73ty" TargetMode="External"/><Relationship Id="rId546" Type="http://schemas.openxmlformats.org/officeDocument/2006/relationships/hyperlink" Target="https://go.zoniq.io/4vzzjfbc" TargetMode="External"/><Relationship Id="rId101" Type="http://schemas.openxmlformats.org/officeDocument/2006/relationships/hyperlink" Target="https://go.zoniq.io/44jas9uj" TargetMode="External"/><Relationship Id="rId185" Type="http://schemas.openxmlformats.org/officeDocument/2006/relationships/hyperlink" Target="https://go.zoniq.io/3u4yykus" TargetMode="External"/><Relationship Id="rId406" Type="http://schemas.openxmlformats.org/officeDocument/2006/relationships/hyperlink" Target="https://go.zoniq.io/5by9wn4h" TargetMode="External"/><Relationship Id="rId392" Type="http://schemas.openxmlformats.org/officeDocument/2006/relationships/hyperlink" Target="https://go.zoniq.io/2p9cecup" TargetMode="External"/><Relationship Id="rId613" Type="http://schemas.openxmlformats.org/officeDocument/2006/relationships/hyperlink" Target="https://go.zoniq.io/4tst98rp" TargetMode="External"/><Relationship Id="rId252" Type="http://schemas.openxmlformats.org/officeDocument/2006/relationships/hyperlink" Target="https://go.zoniq.io/2p8sa2jp" TargetMode="External"/><Relationship Id="rId47" Type="http://schemas.openxmlformats.org/officeDocument/2006/relationships/hyperlink" Target="https://go.zoniq.io/2p8s5x2t" TargetMode="External"/><Relationship Id="rId112" Type="http://schemas.openxmlformats.org/officeDocument/2006/relationships/hyperlink" Target="https://go.zoniq.io/2f69576w" TargetMode="External"/><Relationship Id="rId557" Type="http://schemas.openxmlformats.org/officeDocument/2006/relationships/hyperlink" Target="https://go.zoniq.io/zvt6ufcf" TargetMode="External"/><Relationship Id="rId196" Type="http://schemas.openxmlformats.org/officeDocument/2006/relationships/hyperlink" Target="https://go.zoniq.io/3trndtcb" TargetMode="External"/><Relationship Id="rId417" Type="http://schemas.openxmlformats.org/officeDocument/2006/relationships/hyperlink" Target="https://go.zoniq.io/2p8bmr3f" TargetMode="External"/><Relationship Id="rId459" Type="http://schemas.openxmlformats.org/officeDocument/2006/relationships/hyperlink" Target="https://go.zoniq.io/2p84597r" TargetMode="External"/><Relationship Id="rId624" Type="http://schemas.openxmlformats.org/officeDocument/2006/relationships/hyperlink" Target="https://go.zoniq.io/ycksr4we" TargetMode="External"/><Relationship Id="rId16" Type="http://schemas.openxmlformats.org/officeDocument/2006/relationships/hyperlink" Target="https://go.zoniq.io/2p84d6ej" TargetMode="External"/><Relationship Id="rId221" Type="http://schemas.openxmlformats.org/officeDocument/2006/relationships/hyperlink" Target="https://go.zoniq.io/2p9cecup" TargetMode="External"/><Relationship Id="rId263" Type="http://schemas.openxmlformats.org/officeDocument/2006/relationships/hyperlink" Target="https://go.zoniq.io/2p8w386a" TargetMode="External"/><Relationship Id="rId319" Type="http://schemas.openxmlformats.org/officeDocument/2006/relationships/hyperlink" Target="https://go.zoniq.io/2p9dry72" TargetMode="External"/><Relationship Id="rId470" Type="http://schemas.openxmlformats.org/officeDocument/2006/relationships/hyperlink" Target="https://go.zoniq.io/44mbjyk4" TargetMode="External"/><Relationship Id="rId526" Type="http://schemas.openxmlformats.org/officeDocument/2006/relationships/hyperlink" Target="https://go.zoniq.io/2p8m2bjw" TargetMode="External"/><Relationship Id="rId58" Type="http://schemas.openxmlformats.org/officeDocument/2006/relationships/hyperlink" Target="https://go.zoniq.io/2p9ccsw9" TargetMode="External"/><Relationship Id="rId123" Type="http://schemas.openxmlformats.org/officeDocument/2006/relationships/hyperlink" Target="https://go.zoniq.io/y74euw8f" TargetMode="External"/><Relationship Id="rId330" Type="http://schemas.openxmlformats.org/officeDocument/2006/relationships/hyperlink" Target="https://go.zoniq.io/2p88rcwu" TargetMode="External"/><Relationship Id="rId568" Type="http://schemas.openxmlformats.org/officeDocument/2006/relationships/hyperlink" Target="https://go.zoniq.io/5fyxct6s" TargetMode="External"/><Relationship Id="rId165" Type="http://schemas.openxmlformats.org/officeDocument/2006/relationships/hyperlink" Target="https://go.zoniq.io/2p84597r" TargetMode="External"/><Relationship Id="rId372" Type="http://schemas.openxmlformats.org/officeDocument/2006/relationships/hyperlink" Target="https://go.zoniq.io/yet63yxt" TargetMode="External"/><Relationship Id="rId428" Type="http://schemas.openxmlformats.org/officeDocument/2006/relationships/hyperlink" Target="https://go.zoniq.io/mrwbp25b" TargetMode="External"/><Relationship Id="rId635" Type="http://schemas.openxmlformats.org/officeDocument/2006/relationships/hyperlink" Target="https://go.zoniq.io/4hp6vc2f" TargetMode="External"/><Relationship Id="rId232" Type="http://schemas.openxmlformats.org/officeDocument/2006/relationships/hyperlink" Target="https://go.zoniq.io/39yue7br" TargetMode="External"/><Relationship Id="rId274" Type="http://schemas.openxmlformats.org/officeDocument/2006/relationships/hyperlink" Target="https://go.zoniq.io/2p8fjcpu" TargetMode="External"/><Relationship Id="rId481" Type="http://schemas.openxmlformats.org/officeDocument/2006/relationships/hyperlink" Target="https://go.zoniq.io/muka5de3" TargetMode="External"/><Relationship Id="rId27" Type="http://schemas.openxmlformats.org/officeDocument/2006/relationships/hyperlink" Target="https://go.zoniq.io/mrt645cc" TargetMode="External"/><Relationship Id="rId69" Type="http://schemas.openxmlformats.org/officeDocument/2006/relationships/hyperlink" Target="https://go.zoniq.io/yckkfccs" TargetMode="External"/><Relationship Id="rId134" Type="http://schemas.openxmlformats.org/officeDocument/2006/relationships/hyperlink" Target="https://go.zoniq.io/mwwpufed" TargetMode="External"/><Relationship Id="rId537" Type="http://schemas.openxmlformats.org/officeDocument/2006/relationships/hyperlink" Target="https://go.zoniq.io/4xhpdssf" TargetMode="External"/><Relationship Id="rId579" Type="http://schemas.openxmlformats.org/officeDocument/2006/relationships/hyperlink" Target="https://go.zoniq.io/yc6vhcav" TargetMode="External"/><Relationship Id="rId80" Type="http://schemas.openxmlformats.org/officeDocument/2006/relationships/hyperlink" Target="https://go.zoniq.io/y39xr239" TargetMode="External"/><Relationship Id="rId176" Type="http://schemas.openxmlformats.org/officeDocument/2006/relationships/hyperlink" Target="https://go.zoniq.io/42es8w3e" TargetMode="External"/><Relationship Id="rId341" Type="http://schemas.openxmlformats.org/officeDocument/2006/relationships/hyperlink" Target="https://go.zoniq.io/5fyxct6s" TargetMode="External"/><Relationship Id="rId383" Type="http://schemas.openxmlformats.org/officeDocument/2006/relationships/hyperlink" Target="https://go.zoniq.io/2p9a8827" TargetMode="External"/><Relationship Id="rId439" Type="http://schemas.openxmlformats.org/officeDocument/2006/relationships/hyperlink" Target="https://go.zoniq.io/bdhrf8pn" TargetMode="External"/><Relationship Id="rId590" Type="http://schemas.openxmlformats.org/officeDocument/2006/relationships/hyperlink" Target="https://go.zoniq.io/2p9bpwyu" TargetMode="External"/><Relationship Id="rId604" Type="http://schemas.openxmlformats.org/officeDocument/2006/relationships/hyperlink" Target="https://go.zoniq.io/285zfaw2" TargetMode="External"/><Relationship Id="rId201" Type="http://schemas.openxmlformats.org/officeDocument/2006/relationships/hyperlink" Target="https://go.zoniq.io/bdfhe9cp" TargetMode="External"/><Relationship Id="rId243" Type="http://schemas.openxmlformats.org/officeDocument/2006/relationships/hyperlink" Target="https://go.zoniq.io/yzmt5rcz" TargetMode="External"/><Relationship Id="rId285" Type="http://schemas.openxmlformats.org/officeDocument/2006/relationships/hyperlink" Target="https://go.zoniq.io/uy8w99y8" TargetMode="External"/><Relationship Id="rId450" Type="http://schemas.openxmlformats.org/officeDocument/2006/relationships/hyperlink" Target="https://go.zoniq.io/ytk5tse8" TargetMode="External"/><Relationship Id="rId506" Type="http://schemas.openxmlformats.org/officeDocument/2006/relationships/hyperlink" Target="https://go.zoniq.io/mvap3xnr" TargetMode="External"/><Relationship Id="rId38" Type="http://schemas.openxmlformats.org/officeDocument/2006/relationships/hyperlink" Target="https://go.zoniq.io/2p8jfj3z" TargetMode="External"/><Relationship Id="rId103" Type="http://schemas.openxmlformats.org/officeDocument/2006/relationships/hyperlink" Target="https://go.zoniq.io/3kjjk37" TargetMode="External"/><Relationship Id="rId310" Type="http://schemas.openxmlformats.org/officeDocument/2006/relationships/hyperlink" Target="https://go.zoniq.io/myjdzx98" TargetMode="External"/><Relationship Id="rId492" Type="http://schemas.openxmlformats.org/officeDocument/2006/relationships/hyperlink" Target="https://go.zoniq.io/3w87exx7" TargetMode="External"/><Relationship Id="rId548" Type="http://schemas.openxmlformats.org/officeDocument/2006/relationships/hyperlink" Target="https://go.zoniq.io/2p8jfj3z" TargetMode="External"/><Relationship Id="rId91" Type="http://schemas.openxmlformats.org/officeDocument/2006/relationships/hyperlink" Target="https://go.zoniq.io/5n8h3dcs" TargetMode="External"/><Relationship Id="rId145" Type="http://schemas.openxmlformats.org/officeDocument/2006/relationships/hyperlink" Target="https://go.zoniq.io/2p94jr7w" TargetMode="External"/><Relationship Id="rId187" Type="http://schemas.openxmlformats.org/officeDocument/2006/relationships/hyperlink" Target="https://go.zoniq.io/4uehr8d5" TargetMode="External"/><Relationship Id="rId352" Type="http://schemas.openxmlformats.org/officeDocument/2006/relationships/hyperlink" Target="https://go.zoniq.io/2p87r6ed" TargetMode="External"/><Relationship Id="rId394" Type="http://schemas.openxmlformats.org/officeDocument/2006/relationships/hyperlink" Target="https://go.zoniq.io/2p688cn6" TargetMode="External"/><Relationship Id="rId408" Type="http://schemas.openxmlformats.org/officeDocument/2006/relationships/hyperlink" Target="https://go.zoniq.io/57f2r4su" TargetMode="External"/><Relationship Id="rId615" Type="http://schemas.openxmlformats.org/officeDocument/2006/relationships/hyperlink" Target="https://go.zoniq.io/2p89c5zk" TargetMode="External"/><Relationship Id="rId212" Type="http://schemas.openxmlformats.org/officeDocument/2006/relationships/hyperlink" Target="https://go.zoniq.io/2p8w386a" TargetMode="External"/><Relationship Id="rId254" Type="http://schemas.openxmlformats.org/officeDocument/2006/relationships/hyperlink" Target="https://go.zoniq.io/2p9ccsw9" TargetMode="External"/><Relationship Id="rId49" Type="http://schemas.openxmlformats.org/officeDocument/2006/relationships/hyperlink" Target="https://go.zoniq.io/2p92sxkt" TargetMode="External"/><Relationship Id="rId114" Type="http://schemas.openxmlformats.org/officeDocument/2006/relationships/hyperlink" Target="https://go.zoniq.io/2p9yffpy" TargetMode="External"/><Relationship Id="rId296" Type="http://schemas.openxmlformats.org/officeDocument/2006/relationships/hyperlink" Target="https://go.zoniq.io/yc35ftz2" TargetMode="External"/><Relationship Id="rId461" Type="http://schemas.openxmlformats.org/officeDocument/2006/relationships/hyperlink" Target="https://go.zoniq.io/ycktruan" TargetMode="External"/><Relationship Id="rId517" Type="http://schemas.openxmlformats.org/officeDocument/2006/relationships/hyperlink" Target="https://go.zoniq.io/43yed2hp" TargetMode="External"/><Relationship Id="rId559" Type="http://schemas.openxmlformats.org/officeDocument/2006/relationships/hyperlink" Target="https://go.zoniq.io/4ys879w4" TargetMode="External"/><Relationship Id="rId60" Type="http://schemas.openxmlformats.org/officeDocument/2006/relationships/hyperlink" Target="https://go.zoniq.io/4n62sy35" TargetMode="External"/><Relationship Id="rId156" Type="http://schemas.openxmlformats.org/officeDocument/2006/relationships/hyperlink" Target="https://go.zoniq.io/bdhurene" TargetMode="External"/><Relationship Id="rId198" Type="http://schemas.openxmlformats.org/officeDocument/2006/relationships/hyperlink" Target="https://go.zoniq.io/3v5an3a4" TargetMode="External"/><Relationship Id="rId321" Type="http://schemas.openxmlformats.org/officeDocument/2006/relationships/hyperlink" Target="https://go.zoniq.io/4tst98rp" TargetMode="External"/><Relationship Id="rId363" Type="http://schemas.openxmlformats.org/officeDocument/2006/relationships/hyperlink" Target="https://go.zoniq.io/2p94jr7w" TargetMode="External"/><Relationship Id="rId419" Type="http://schemas.openxmlformats.org/officeDocument/2006/relationships/hyperlink" Target="https://go.zoniq.io/285zfaw2" TargetMode="External"/><Relationship Id="rId570" Type="http://schemas.openxmlformats.org/officeDocument/2006/relationships/hyperlink" Target="https://go.zoniq.io/2f69576w" TargetMode="External"/><Relationship Id="rId626" Type="http://schemas.openxmlformats.org/officeDocument/2006/relationships/hyperlink" Target="https://go.zoniq.io/uy8w99y8" TargetMode="External"/><Relationship Id="rId223" Type="http://schemas.openxmlformats.org/officeDocument/2006/relationships/hyperlink" Target="https://go.zoniq.io/2p8vmwva" TargetMode="External"/><Relationship Id="rId430" Type="http://schemas.openxmlformats.org/officeDocument/2006/relationships/hyperlink" Target="https://go.zoniq.io/mwwpufed" TargetMode="External"/><Relationship Id="rId18" Type="http://schemas.openxmlformats.org/officeDocument/2006/relationships/hyperlink" Target="https://go.zoniq.io/bdfhe9cp" TargetMode="External"/><Relationship Id="rId265" Type="http://schemas.openxmlformats.org/officeDocument/2006/relationships/hyperlink" Target="https://go.zoniq.io/2p92sxkt" TargetMode="External"/><Relationship Id="rId472" Type="http://schemas.openxmlformats.org/officeDocument/2006/relationships/hyperlink" Target="https://go.zoniq.io/yckvnwpc" TargetMode="External"/><Relationship Id="rId528" Type="http://schemas.openxmlformats.org/officeDocument/2006/relationships/hyperlink" Target="https://go.zoniq.io/2p8cbwy4" TargetMode="External"/><Relationship Id="rId125" Type="http://schemas.openxmlformats.org/officeDocument/2006/relationships/hyperlink" Target="https://go.zoniq.io/yet63yxt" TargetMode="External"/><Relationship Id="rId167" Type="http://schemas.openxmlformats.org/officeDocument/2006/relationships/hyperlink" Target="https://go.zoniq.io/2p88rcwu" TargetMode="External"/><Relationship Id="rId332" Type="http://schemas.openxmlformats.org/officeDocument/2006/relationships/hyperlink" Target="https://go.zoniq.io/2p9yffpy" TargetMode="External"/><Relationship Id="rId374" Type="http://schemas.openxmlformats.org/officeDocument/2006/relationships/hyperlink" Target="https://go.zoniq.io/2e37wnmt" TargetMode="External"/><Relationship Id="rId581" Type="http://schemas.openxmlformats.org/officeDocument/2006/relationships/hyperlink" Target="https://go.zoniq.io/2p5uz7zt" TargetMode="External"/><Relationship Id="rId71" Type="http://schemas.openxmlformats.org/officeDocument/2006/relationships/hyperlink" Target="https://go.zoniq.io/2p94jr7w" TargetMode="External"/><Relationship Id="rId234" Type="http://schemas.openxmlformats.org/officeDocument/2006/relationships/hyperlink" Target="https://go.zoniq.io/ytk5tse8" TargetMode="External"/><Relationship Id="rId637" Type="http://schemas.openxmlformats.org/officeDocument/2006/relationships/hyperlink" Target="https://go.zoniq.io/7392sz6n" TargetMode="External"/><Relationship Id="rId2" Type="http://schemas.openxmlformats.org/officeDocument/2006/relationships/hyperlink" Target="https://go.zoniq.io/5n7txx77" TargetMode="External"/><Relationship Id="rId29" Type="http://schemas.openxmlformats.org/officeDocument/2006/relationships/hyperlink" Target="https://go.zoniq.io/2p9ccsw9" TargetMode="External"/><Relationship Id="rId276" Type="http://schemas.openxmlformats.org/officeDocument/2006/relationships/hyperlink" Target="https://go.zoniq.io/3v5an3a4" TargetMode="External"/><Relationship Id="rId441" Type="http://schemas.openxmlformats.org/officeDocument/2006/relationships/hyperlink" Target="https://go.zoniq.io/muka5de3" TargetMode="External"/><Relationship Id="rId483" Type="http://schemas.openxmlformats.org/officeDocument/2006/relationships/hyperlink" Target="https://go.zoniq.io/2p9es8rt" TargetMode="External"/><Relationship Id="rId539" Type="http://schemas.openxmlformats.org/officeDocument/2006/relationships/hyperlink" Target="https://go.zoniq.io/3wawtuf7" TargetMode="External"/><Relationship Id="rId40" Type="http://schemas.openxmlformats.org/officeDocument/2006/relationships/hyperlink" Target="https://go.zoniq.io/yckp8nft" TargetMode="External"/><Relationship Id="rId136" Type="http://schemas.openxmlformats.org/officeDocument/2006/relationships/hyperlink" Target="https://go.zoniq.io/mr3tc89u" TargetMode="External"/><Relationship Id="rId178" Type="http://schemas.openxmlformats.org/officeDocument/2006/relationships/hyperlink" Target="https://go.zoniq.io/44jas9uj" TargetMode="External"/><Relationship Id="rId301" Type="http://schemas.openxmlformats.org/officeDocument/2006/relationships/hyperlink" Target="https://go.zoniq.io/2p9cep5w" TargetMode="External"/><Relationship Id="rId343" Type="http://schemas.openxmlformats.org/officeDocument/2006/relationships/hyperlink" Target="https://go.zoniq.io/44jas9uj" TargetMode="External"/><Relationship Id="rId550" Type="http://schemas.openxmlformats.org/officeDocument/2006/relationships/hyperlink" Target="https://go.zoniq.io/2p88rcwu" TargetMode="External"/><Relationship Id="rId82" Type="http://schemas.openxmlformats.org/officeDocument/2006/relationships/hyperlink" Target="https://go.zoniq.io/2p93wr7b" TargetMode="External"/><Relationship Id="rId203" Type="http://schemas.openxmlformats.org/officeDocument/2006/relationships/hyperlink" Target="https://go.zoniq.io/yet63yxt" TargetMode="External"/><Relationship Id="rId385" Type="http://schemas.openxmlformats.org/officeDocument/2006/relationships/hyperlink" Target="https://go.zoniq.io/25654me8" TargetMode="External"/><Relationship Id="rId592" Type="http://schemas.openxmlformats.org/officeDocument/2006/relationships/hyperlink" Target="https://go.zoniq.io/22p6vkdk" TargetMode="External"/><Relationship Id="rId606" Type="http://schemas.openxmlformats.org/officeDocument/2006/relationships/hyperlink" Target="https://go.zoniq.io/msp9vrpy" TargetMode="External"/><Relationship Id="rId245" Type="http://schemas.openxmlformats.org/officeDocument/2006/relationships/hyperlink" Target="https://go.zoniq.io/2p878fyp" TargetMode="External"/><Relationship Id="rId287" Type="http://schemas.openxmlformats.org/officeDocument/2006/relationships/hyperlink" Target="https://go.zoniq.io/4vzzjfbc" TargetMode="External"/><Relationship Id="rId410" Type="http://schemas.openxmlformats.org/officeDocument/2006/relationships/hyperlink" Target="https://go.zoniq.io/4uehr8d5" TargetMode="External"/><Relationship Id="rId452" Type="http://schemas.openxmlformats.org/officeDocument/2006/relationships/hyperlink" Target="https://go.zoniq.io/ycksr4we" TargetMode="External"/><Relationship Id="rId494" Type="http://schemas.openxmlformats.org/officeDocument/2006/relationships/hyperlink" Target="https://go.zoniq.io/2p839vj7" TargetMode="External"/><Relationship Id="rId508" Type="http://schemas.openxmlformats.org/officeDocument/2006/relationships/hyperlink" Target="https://go.zoniq.io/ycks47wk" TargetMode="External"/><Relationship Id="rId105" Type="http://schemas.openxmlformats.org/officeDocument/2006/relationships/hyperlink" Target="https://go.zoniq.io/yc4m6r4b" TargetMode="External"/><Relationship Id="rId147" Type="http://schemas.openxmlformats.org/officeDocument/2006/relationships/hyperlink" Target="https://go.zoniq.io/2p5uz7zt" TargetMode="External"/><Relationship Id="rId312" Type="http://schemas.openxmlformats.org/officeDocument/2006/relationships/hyperlink" Target="https://go.zoniq.io/39yue7br" TargetMode="External"/><Relationship Id="rId354" Type="http://schemas.openxmlformats.org/officeDocument/2006/relationships/hyperlink" Target="https://go.zoniq.io/2p839vj7" TargetMode="External"/><Relationship Id="rId51" Type="http://schemas.openxmlformats.org/officeDocument/2006/relationships/hyperlink" Target="https://go.zoniq.io/98n363t7" TargetMode="External"/><Relationship Id="rId93" Type="http://schemas.openxmlformats.org/officeDocument/2006/relationships/hyperlink" Target="https://go.zoniq.io/2p688cn6" TargetMode="External"/><Relationship Id="rId189" Type="http://schemas.openxmlformats.org/officeDocument/2006/relationships/hyperlink" Target="https://go.zoniq.io/2p85c3z9" TargetMode="External"/><Relationship Id="rId396" Type="http://schemas.openxmlformats.org/officeDocument/2006/relationships/hyperlink" Target="https://go.zoniq.io/bdhrf8pn" TargetMode="External"/><Relationship Id="rId561" Type="http://schemas.openxmlformats.org/officeDocument/2006/relationships/hyperlink" Target="https://go.zoniq.io/3kjjk37" TargetMode="External"/><Relationship Id="rId617" Type="http://schemas.openxmlformats.org/officeDocument/2006/relationships/hyperlink" Target="https://go.zoniq.io/2569pdtx" TargetMode="External"/><Relationship Id="rId214" Type="http://schemas.openxmlformats.org/officeDocument/2006/relationships/hyperlink" Target="https://go.zoniq.io/e4c4ythu" TargetMode="External"/><Relationship Id="rId256" Type="http://schemas.openxmlformats.org/officeDocument/2006/relationships/hyperlink" Target="https://go.zoniq.io/2p8s5x2t" TargetMode="External"/><Relationship Id="rId298" Type="http://schemas.openxmlformats.org/officeDocument/2006/relationships/hyperlink" Target="https://go.zoniq.io/25654me8" TargetMode="External"/><Relationship Id="rId421" Type="http://schemas.openxmlformats.org/officeDocument/2006/relationships/hyperlink" Target="https://go.zoniq.io/yckpxdhc" TargetMode="External"/><Relationship Id="rId463" Type="http://schemas.openxmlformats.org/officeDocument/2006/relationships/hyperlink" Target="https://go.zoniq.io/ya8ndktb" TargetMode="External"/><Relationship Id="rId519" Type="http://schemas.openxmlformats.org/officeDocument/2006/relationships/hyperlink" Target="https://go.zoniq.io/7392sz6n" TargetMode="External"/><Relationship Id="rId116" Type="http://schemas.openxmlformats.org/officeDocument/2006/relationships/hyperlink" Target="https://go.zoniq.io/285zfaw2" TargetMode="External"/><Relationship Id="rId158" Type="http://schemas.openxmlformats.org/officeDocument/2006/relationships/hyperlink" Target="https://go.zoniq.io/2p8bax7j" TargetMode="External"/><Relationship Id="rId323" Type="http://schemas.openxmlformats.org/officeDocument/2006/relationships/hyperlink" Target="https://go.zoniq.io/2p92sxkt" TargetMode="External"/><Relationship Id="rId530" Type="http://schemas.openxmlformats.org/officeDocument/2006/relationships/hyperlink" Target="https://go.zoniq.io/y4b3yvya" TargetMode="External"/><Relationship Id="rId20" Type="http://schemas.openxmlformats.org/officeDocument/2006/relationships/hyperlink" Target="https://go.zoniq.io/2p93wr7b" TargetMode="External"/><Relationship Id="rId62" Type="http://schemas.openxmlformats.org/officeDocument/2006/relationships/hyperlink" Target="https://go.zoniq.io/2p8cbwy4" TargetMode="External"/><Relationship Id="rId365" Type="http://schemas.openxmlformats.org/officeDocument/2006/relationships/hyperlink" Target="https://go.zoniq.io/yckpxdhc" TargetMode="External"/><Relationship Id="rId572" Type="http://schemas.openxmlformats.org/officeDocument/2006/relationships/hyperlink" Target="https://go.zoniq.io/yx7vn3u6" TargetMode="External"/><Relationship Id="rId628" Type="http://schemas.openxmlformats.org/officeDocument/2006/relationships/hyperlink" Target="https://go.zoniq.io/2p8ekjv5" TargetMode="External"/><Relationship Id="rId225" Type="http://schemas.openxmlformats.org/officeDocument/2006/relationships/hyperlink" Target="https://go.zoniq.io/22p6vkdk" TargetMode="External"/><Relationship Id="rId267" Type="http://schemas.openxmlformats.org/officeDocument/2006/relationships/hyperlink" Target="https://go.zoniq.io/26c6y29y" TargetMode="External"/><Relationship Id="rId432" Type="http://schemas.openxmlformats.org/officeDocument/2006/relationships/hyperlink" Target="https://go.zoniq.io/5n7yfwde" TargetMode="External"/><Relationship Id="rId474" Type="http://schemas.openxmlformats.org/officeDocument/2006/relationships/hyperlink" Target="https://go.zoniq.io/mrt645cc" TargetMode="External"/><Relationship Id="rId127" Type="http://schemas.openxmlformats.org/officeDocument/2006/relationships/hyperlink" Target="https://go.zoniq.io/2p93wr7b" TargetMode="External"/><Relationship Id="rId31" Type="http://schemas.openxmlformats.org/officeDocument/2006/relationships/hyperlink" Target="https://go.zoniq.io/2p8cbwy4" TargetMode="External"/><Relationship Id="rId73" Type="http://schemas.openxmlformats.org/officeDocument/2006/relationships/hyperlink" Target="https://go.zoniq.io/yc364a59" TargetMode="External"/><Relationship Id="rId169" Type="http://schemas.openxmlformats.org/officeDocument/2006/relationships/hyperlink" Target="https://go.zoniq.io/5n8h3dcs" TargetMode="External"/><Relationship Id="rId334" Type="http://schemas.openxmlformats.org/officeDocument/2006/relationships/hyperlink" Target="https://go.zoniq.io/3894ebkz" TargetMode="External"/><Relationship Id="rId376" Type="http://schemas.openxmlformats.org/officeDocument/2006/relationships/hyperlink" Target="https://go.zoniq.io/2p9dry72" TargetMode="External"/><Relationship Id="rId541" Type="http://schemas.openxmlformats.org/officeDocument/2006/relationships/hyperlink" Target="https://go.zoniq.io/3894ebkz" TargetMode="External"/><Relationship Id="rId583" Type="http://schemas.openxmlformats.org/officeDocument/2006/relationships/hyperlink" Target="https://go.zoniq.io/4uehr8d5" TargetMode="External"/><Relationship Id="rId639" Type="http://schemas.openxmlformats.org/officeDocument/2006/relationships/hyperlink" Target="https://go.zoniq.io/2p8vmwva" TargetMode="External"/><Relationship Id="rId4" Type="http://schemas.openxmlformats.org/officeDocument/2006/relationships/hyperlink" Target="https://go.zoniq.io/yc364a59" TargetMode="External"/><Relationship Id="rId180" Type="http://schemas.openxmlformats.org/officeDocument/2006/relationships/hyperlink" Target="https://go.zoniq.io/y2b8usr9" TargetMode="External"/><Relationship Id="rId236" Type="http://schemas.openxmlformats.org/officeDocument/2006/relationships/hyperlink" Target="https://go.zoniq.io/yckvnwpc" TargetMode="External"/><Relationship Id="rId278" Type="http://schemas.openxmlformats.org/officeDocument/2006/relationships/hyperlink" Target="https://go.zoniq.io/2569pdtx" TargetMode="External"/><Relationship Id="rId401" Type="http://schemas.openxmlformats.org/officeDocument/2006/relationships/hyperlink" Target="https://go.zoniq.io/44jas9uj" TargetMode="External"/><Relationship Id="rId443" Type="http://schemas.openxmlformats.org/officeDocument/2006/relationships/hyperlink" Target="https://go.zoniq.io/2p9es8rt" TargetMode="External"/><Relationship Id="rId303" Type="http://schemas.openxmlformats.org/officeDocument/2006/relationships/hyperlink" Target="https://go.zoniq.io/2p89c5zk" TargetMode="External"/><Relationship Id="rId485" Type="http://schemas.openxmlformats.org/officeDocument/2006/relationships/hyperlink" Target="https://go.zoniq.io/ycke6k5d" TargetMode="External"/><Relationship Id="rId42" Type="http://schemas.openxmlformats.org/officeDocument/2006/relationships/hyperlink" Target="https://go.zoniq.io/yc42aeu5" TargetMode="External"/><Relationship Id="rId84" Type="http://schemas.openxmlformats.org/officeDocument/2006/relationships/hyperlink" Target="https://go.zoniq.io/2dpku8s6" TargetMode="External"/><Relationship Id="rId138" Type="http://schemas.openxmlformats.org/officeDocument/2006/relationships/hyperlink" Target="https://go.zoniq.io/3u4yykus" TargetMode="External"/><Relationship Id="rId345" Type="http://schemas.openxmlformats.org/officeDocument/2006/relationships/hyperlink" Target="https://go.zoniq.io/3kjjk37" TargetMode="External"/><Relationship Id="rId387" Type="http://schemas.openxmlformats.org/officeDocument/2006/relationships/hyperlink" Target="https://go.zoniq.io/2p88uxs5" TargetMode="External"/><Relationship Id="rId510" Type="http://schemas.openxmlformats.org/officeDocument/2006/relationships/hyperlink" Target="https://go.zoniq.io/2p8m2bjw" TargetMode="External"/><Relationship Id="rId552" Type="http://schemas.openxmlformats.org/officeDocument/2006/relationships/hyperlink" Target="https://go.zoniq.io/yb6tj5dc" TargetMode="External"/><Relationship Id="rId594" Type="http://schemas.openxmlformats.org/officeDocument/2006/relationships/hyperlink" Target="https://go.zoniq.io/2s3m66wn" TargetMode="External"/><Relationship Id="rId608" Type="http://schemas.openxmlformats.org/officeDocument/2006/relationships/hyperlink" Target="https://go.zoniq.io/ya8ndktb" TargetMode="External"/><Relationship Id="rId191" Type="http://schemas.openxmlformats.org/officeDocument/2006/relationships/hyperlink" Target="https://go.zoniq.io/bdm8zzkv" TargetMode="External"/><Relationship Id="rId205" Type="http://schemas.openxmlformats.org/officeDocument/2006/relationships/hyperlink" Target="https://go.zoniq.io/ycke6k5d" TargetMode="External"/><Relationship Id="rId247" Type="http://schemas.openxmlformats.org/officeDocument/2006/relationships/hyperlink" Target="https://go.zoniq.io/ya8ndktb" TargetMode="External"/><Relationship Id="rId412" Type="http://schemas.openxmlformats.org/officeDocument/2006/relationships/hyperlink" Target="https://go.zoniq.io/2f69576w" TargetMode="External"/><Relationship Id="rId107" Type="http://schemas.openxmlformats.org/officeDocument/2006/relationships/hyperlink" Target="https://go.zoniq.io/2p87r6ed" TargetMode="External"/><Relationship Id="rId289" Type="http://schemas.openxmlformats.org/officeDocument/2006/relationships/hyperlink" Target="https://go.zoniq.io/ycksr4we" TargetMode="External"/><Relationship Id="rId454" Type="http://schemas.openxmlformats.org/officeDocument/2006/relationships/hyperlink" Target="https://go.zoniq.io/5by9wn4h" TargetMode="External"/><Relationship Id="rId496" Type="http://schemas.openxmlformats.org/officeDocument/2006/relationships/hyperlink" Target="https://go.zoniq.io/2p8vmwva" TargetMode="External"/><Relationship Id="rId11" Type="http://schemas.openxmlformats.org/officeDocument/2006/relationships/hyperlink" Target="https://go.zoniq.io/5n7txx77" TargetMode="External"/><Relationship Id="rId53" Type="http://schemas.openxmlformats.org/officeDocument/2006/relationships/hyperlink" Target="https://go.zoniq.io/2p8bmr3f" TargetMode="External"/><Relationship Id="rId149" Type="http://schemas.openxmlformats.org/officeDocument/2006/relationships/hyperlink" Target="https://go.zoniq.io/22p6vkdk" TargetMode="External"/><Relationship Id="rId314" Type="http://schemas.openxmlformats.org/officeDocument/2006/relationships/hyperlink" Target="https://go.zoniq.io/4nfj9znu" TargetMode="External"/><Relationship Id="rId356" Type="http://schemas.openxmlformats.org/officeDocument/2006/relationships/hyperlink" Target="https://go.zoniq.io/2f69576w" TargetMode="External"/><Relationship Id="rId398" Type="http://schemas.openxmlformats.org/officeDocument/2006/relationships/hyperlink" Target="https://go.zoniq.io/ym2zfmzt" TargetMode="External"/><Relationship Id="rId521" Type="http://schemas.openxmlformats.org/officeDocument/2006/relationships/hyperlink" Target="https://go.zoniq.io/2p8ptmr5" TargetMode="External"/><Relationship Id="rId563" Type="http://schemas.openxmlformats.org/officeDocument/2006/relationships/hyperlink" Target="https://go.zoniq.io/2p9dry72" TargetMode="External"/><Relationship Id="rId619" Type="http://schemas.openxmlformats.org/officeDocument/2006/relationships/hyperlink" Target="https://go.zoniq.io/bdhurene" TargetMode="External"/><Relationship Id="rId95" Type="http://schemas.openxmlformats.org/officeDocument/2006/relationships/hyperlink" Target="https://go.zoniq.io/mv7y2dfu" TargetMode="External"/><Relationship Id="rId160" Type="http://schemas.openxmlformats.org/officeDocument/2006/relationships/hyperlink" Target="https://go.zoniq.io/2p8dbpzr" TargetMode="External"/><Relationship Id="rId216" Type="http://schemas.openxmlformats.org/officeDocument/2006/relationships/hyperlink" Target="https://go.zoniq.io/2s3m66wn" TargetMode="External"/><Relationship Id="rId423" Type="http://schemas.openxmlformats.org/officeDocument/2006/relationships/hyperlink" Target="https://go.zoniq.io/msp9vrpy" TargetMode="External"/><Relationship Id="rId258" Type="http://schemas.openxmlformats.org/officeDocument/2006/relationships/hyperlink" Target="https://go.zoniq.io/y2b8usr9" TargetMode="External"/><Relationship Id="rId465" Type="http://schemas.openxmlformats.org/officeDocument/2006/relationships/hyperlink" Target="https://go.zoniq.io/2p89c5zk" TargetMode="External"/><Relationship Id="rId630" Type="http://schemas.openxmlformats.org/officeDocument/2006/relationships/hyperlink" Target="https://go.zoniq.io/yckvnwpc" TargetMode="External"/><Relationship Id="rId22" Type="http://schemas.openxmlformats.org/officeDocument/2006/relationships/hyperlink" Target="https://go.zoniq.io/2dpku8s6" TargetMode="External"/><Relationship Id="rId64" Type="http://schemas.openxmlformats.org/officeDocument/2006/relationships/hyperlink" Target="https://go.zoniq.io/yx7vn3u6" TargetMode="External"/><Relationship Id="rId118" Type="http://schemas.openxmlformats.org/officeDocument/2006/relationships/hyperlink" Target="https://go.zoniq.io/3894ebkz" TargetMode="External"/><Relationship Id="rId325" Type="http://schemas.openxmlformats.org/officeDocument/2006/relationships/hyperlink" Target="https://go.zoniq.io/4ys879w4" TargetMode="External"/><Relationship Id="rId367" Type="http://schemas.openxmlformats.org/officeDocument/2006/relationships/hyperlink" Target="https://go.zoniq.io/ms9vsmwc" TargetMode="External"/><Relationship Id="rId532" Type="http://schemas.openxmlformats.org/officeDocument/2006/relationships/hyperlink" Target="https://go.zoniq.io/2p8w386a" TargetMode="External"/><Relationship Id="rId574" Type="http://schemas.openxmlformats.org/officeDocument/2006/relationships/hyperlink" Target="https://go.zoniq.io/yc4m6r4b" TargetMode="External"/><Relationship Id="rId171" Type="http://schemas.openxmlformats.org/officeDocument/2006/relationships/hyperlink" Target="https://go.zoniq.io/yckp8nft" TargetMode="External"/><Relationship Id="rId227" Type="http://schemas.openxmlformats.org/officeDocument/2006/relationships/hyperlink" Target="https://go.zoniq.io/bdhrf8pn" TargetMode="External"/><Relationship Id="rId269" Type="http://schemas.openxmlformats.org/officeDocument/2006/relationships/hyperlink" Target="https://go.zoniq.io/98n363t7" TargetMode="External"/><Relationship Id="rId434" Type="http://schemas.openxmlformats.org/officeDocument/2006/relationships/hyperlink" Target="https://go.zoniq.io/2p88uxs5" TargetMode="External"/><Relationship Id="rId476" Type="http://schemas.openxmlformats.org/officeDocument/2006/relationships/hyperlink" Target="https://go.zoniq.io/5n7yfwde" TargetMode="External"/><Relationship Id="rId641" Type="http://schemas.openxmlformats.org/officeDocument/2006/relationships/hyperlink" Target="https://go.zoniq.io/25654me8" TargetMode="External"/><Relationship Id="rId33" Type="http://schemas.openxmlformats.org/officeDocument/2006/relationships/hyperlink" Target="https://go.zoniq.io/2p8w386a" TargetMode="External"/><Relationship Id="rId129" Type="http://schemas.openxmlformats.org/officeDocument/2006/relationships/hyperlink" Target="https://go.zoniq.io/2dpku8s6" TargetMode="External"/><Relationship Id="rId280" Type="http://schemas.openxmlformats.org/officeDocument/2006/relationships/hyperlink" Target="https://go.zoniq.io/2p9es8rt" TargetMode="External"/><Relationship Id="rId336" Type="http://schemas.openxmlformats.org/officeDocument/2006/relationships/hyperlink" Target="https://go.zoniq.io/4hp6vc2f" TargetMode="External"/><Relationship Id="rId501" Type="http://schemas.openxmlformats.org/officeDocument/2006/relationships/hyperlink" Target="https://go.zoniq.io/4nfj9znu" TargetMode="External"/><Relationship Id="rId543" Type="http://schemas.openxmlformats.org/officeDocument/2006/relationships/hyperlink" Target="https://go.zoniq.io/2p9yffpy" TargetMode="External"/><Relationship Id="rId75" Type="http://schemas.openxmlformats.org/officeDocument/2006/relationships/hyperlink" Target="https://go.zoniq.io/yc42aeu5" TargetMode="External"/><Relationship Id="rId140" Type="http://schemas.openxmlformats.org/officeDocument/2006/relationships/hyperlink" Target="https://go.zoniq.io/yc35ftz2" TargetMode="External"/><Relationship Id="rId182" Type="http://schemas.openxmlformats.org/officeDocument/2006/relationships/hyperlink" Target="https://go.zoniq.io/2p8ptmr5" TargetMode="External"/><Relationship Id="rId378" Type="http://schemas.openxmlformats.org/officeDocument/2006/relationships/hyperlink" Target="https://go.zoniq.io/5bvjrewp" TargetMode="External"/><Relationship Id="rId403" Type="http://schemas.openxmlformats.org/officeDocument/2006/relationships/hyperlink" Target="https://go.zoniq.io/ytk5tse8" TargetMode="External"/><Relationship Id="rId585" Type="http://schemas.openxmlformats.org/officeDocument/2006/relationships/hyperlink" Target="https://go.zoniq.io/2e37wnmt" TargetMode="External"/><Relationship Id="rId6" Type="http://schemas.openxmlformats.org/officeDocument/2006/relationships/hyperlink" Target="https://go.zoniq.io/2p93wr7b" TargetMode="External"/><Relationship Id="rId238" Type="http://schemas.openxmlformats.org/officeDocument/2006/relationships/hyperlink" Target="https://go.zoniq.io/5by9wn4h" TargetMode="External"/><Relationship Id="rId445" Type="http://schemas.openxmlformats.org/officeDocument/2006/relationships/hyperlink" Target="https://go.zoniq.io/ycke6k5d" TargetMode="External"/><Relationship Id="rId487" Type="http://schemas.openxmlformats.org/officeDocument/2006/relationships/hyperlink" Target="https://go.zoniq.io/mr44p24u" TargetMode="External"/><Relationship Id="rId610" Type="http://schemas.openxmlformats.org/officeDocument/2006/relationships/hyperlink" Target="https://go.zoniq.io/2p99uwjw" TargetMode="External"/><Relationship Id="rId291" Type="http://schemas.openxmlformats.org/officeDocument/2006/relationships/hyperlink" Target="https://go.zoniq.io/3wawtuf7" TargetMode="External"/><Relationship Id="rId305" Type="http://schemas.openxmlformats.org/officeDocument/2006/relationships/hyperlink" Target="https://go.zoniq.io/2p5uz7zt" TargetMode="External"/><Relationship Id="rId347" Type="http://schemas.openxmlformats.org/officeDocument/2006/relationships/hyperlink" Target="https://go.zoniq.io/yckme28p" TargetMode="External"/><Relationship Id="rId512" Type="http://schemas.openxmlformats.org/officeDocument/2006/relationships/hyperlink" Target="https://go.zoniq.io/mr44p24u" TargetMode="External"/><Relationship Id="rId44" Type="http://schemas.openxmlformats.org/officeDocument/2006/relationships/hyperlink" Target="https://go.zoniq.io/mv7y2dfu" TargetMode="External"/><Relationship Id="rId86" Type="http://schemas.openxmlformats.org/officeDocument/2006/relationships/hyperlink" Target="https://go.zoniq.io/mr3tc89u" TargetMode="External"/><Relationship Id="rId151" Type="http://schemas.openxmlformats.org/officeDocument/2006/relationships/hyperlink" Target="https://go.zoniq.io/myjdzx98" TargetMode="External"/><Relationship Id="rId389" Type="http://schemas.openxmlformats.org/officeDocument/2006/relationships/hyperlink" Target="https://go.zoniq.io/2p9cep5w" TargetMode="External"/><Relationship Id="rId554" Type="http://schemas.openxmlformats.org/officeDocument/2006/relationships/hyperlink" Target="https://go.zoniq.io/4n62sy35" TargetMode="External"/><Relationship Id="rId596" Type="http://schemas.openxmlformats.org/officeDocument/2006/relationships/hyperlink" Target="https://go.zoniq.io/e4c4ythu" TargetMode="External"/><Relationship Id="rId193" Type="http://schemas.openxmlformats.org/officeDocument/2006/relationships/hyperlink" Target="https://go.zoniq.io/yckpxdhc" TargetMode="External"/><Relationship Id="rId207" Type="http://schemas.openxmlformats.org/officeDocument/2006/relationships/hyperlink" Target="https://go.zoniq.io/5bvjrewp" TargetMode="External"/><Relationship Id="rId249" Type="http://schemas.openxmlformats.org/officeDocument/2006/relationships/hyperlink" Target="https://go.zoniq.io/msp9vrpy" TargetMode="External"/><Relationship Id="rId414" Type="http://schemas.openxmlformats.org/officeDocument/2006/relationships/hyperlink" Target="https://go.zoniq.io/yzmt5rcz" TargetMode="External"/><Relationship Id="rId456" Type="http://schemas.openxmlformats.org/officeDocument/2006/relationships/hyperlink" Target="https://go.zoniq.io/57f2r4su" TargetMode="External"/><Relationship Id="rId498" Type="http://schemas.openxmlformats.org/officeDocument/2006/relationships/hyperlink" Target="https://go.zoniq.io/y39xr239" TargetMode="External"/><Relationship Id="rId621" Type="http://schemas.openxmlformats.org/officeDocument/2006/relationships/hyperlink" Target="https://go.zoniq.io/yck987pk" TargetMode="External"/><Relationship Id="rId13" Type="http://schemas.openxmlformats.org/officeDocument/2006/relationships/hyperlink" Target="https://go.zoniq.io/2p8bmr3f" TargetMode="External"/><Relationship Id="rId109" Type="http://schemas.openxmlformats.org/officeDocument/2006/relationships/hyperlink" Target="https://go.zoniq.io/98n363t7" TargetMode="External"/><Relationship Id="rId260" Type="http://schemas.openxmlformats.org/officeDocument/2006/relationships/hyperlink" Target="https://go.zoniq.io/2p8cbwy4" TargetMode="External"/><Relationship Id="rId316" Type="http://schemas.openxmlformats.org/officeDocument/2006/relationships/hyperlink" Target="https://go.zoniq.io/2p8ekjv5" TargetMode="External"/><Relationship Id="rId523" Type="http://schemas.openxmlformats.org/officeDocument/2006/relationships/hyperlink" Target="https://go.zoniq.io/25654me8" TargetMode="External"/><Relationship Id="rId55" Type="http://schemas.openxmlformats.org/officeDocument/2006/relationships/hyperlink" Target="https://go.zoniq.io/3trndtcb" TargetMode="External"/><Relationship Id="rId97" Type="http://schemas.openxmlformats.org/officeDocument/2006/relationships/hyperlink" Target="https://go.zoniq.io/2p8s5x2t" TargetMode="External"/><Relationship Id="rId120" Type="http://schemas.openxmlformats.org/officeDocument/2006/relationships/hyperlink" Target="https://go.zoniq.io/2p99uwjw" TargetMode="External"/><Relationship Id="rId358" Type="http://schemas.openxmlformats.org/officeDocument/2006/relationships/hyperlink" Target="https://go.zoniq.io/2p85c3z9" TargetMode="External"/><Relationship Id="rId565" Type="http://schemas.openxmlformats.org/officeDocument/2006/relationships/hyperlink" Target="https://go.zoniq.io/42es8w3e" TargetMode="External"/><Relationship Id="rId162" Type="http://schemas.openxmlformats.org/officeDocument/2006/relationships/hyperlink" Target="https://go.zoniq.io/2p9bpwyu" TargetMode="External"/><Relationship Id="rId218" Type="http://schemas.openxmlformats.org/officeDocument/2006/relationships/hyperlink" Target="https://go.zoniq.io/2p88uxs5" TargetMode="External"/><Relationship Id="rId425" Type="http://schemas.openxmlformats.org/officeDocument/2006/relationships/hyperlink" Target="https://go.zoniq.io/4nza73ty" TargetMode="External"/><Relationship Id="rId467" Type="http://schemas.openxmlformats.org/officeDocument/2006/relationships/hyperlink" Target="https://go.zoniq.io/39yue7br" TargetMode="External"/><Relationship Id="rId632" Type="http://schemas.openxmlformats.org/officeDocument/2006/relationships/hyperlink" Target="https://go.zoniq.io/ycks47wk" TargetMode="External"/><Relationship Id="rId271" Type="http://schemas.openxmlformats.org/officeDocument/2006/relationships/hyperlink" Target="https://go.zoniq.io/yckkfccs" TargetMode="External"/><Relationship Id="rId24" Type="http://schemas.openxmlformats.org/officeDocument/2006/relationships/hyperlink" Target="https://go.zoniq.io/yckp8nft" TargetMode="External"/><Relationship Id="rId66" Type="http://schemas.openxmlformats.org/officeDocument/2006/relationships/hyperlink" Target="https://go.zoniq.io/4zndks3x" TargetMode="External"/><Relationship Id="rId131" Type="http://schemas.openxmlformats.org/officeDocument/2006/relationships/hyperlink" Target="https://go.zoniq.io/mrwbp25b" TargetMode="External"/><Relationship Id="rId327" Type="http://schemas.openxmlformats.org/officeDocument/2006/relationships/hyperlink" Target="https://go.zoniq.io/98n363t7" TargetMode="External"/><Relationship Id="rId369" Type="http://schemas.openxmlformats.org/officeDocument/2006/relationships/hyperlink" Target="https://go.zoniq.io/5n7txx77" TargetMode="External"/><Relationship Id="rId534" Type="http://schemas.openxmlformats.org/officeDocument/2006/relationships/hyperlink" Target="https://go.zoniq.io/4nza73ty" TargetMode="External"/><Relationship Id="rId576" Type="http://schemas.openxmlformats.org/officeDocument/2006/relationships/hyperlink" Target="https://go.zoniq.io/2p92sxkt" TargetMode="External"/><Relationship Id="rId173" Type="http://schemas.openxmlformats.org/officeDocument/2006/relationships/hyperlink" Target="https://go.zoniq.io/yb6tj5dc" TargetMode="External"/><Relationship Id="rId229" Type="http://schemas.openxmlformats.org/officeDocument/2006/relationships/hyperlink" Target="https://go.zoniq.io/2p8jfj3z" TargetMode="External"/><Relationship Id="rId380" Type="http://schemas.openxmlformats.org/officeDocument/2006/relationships/hyperlink" Target="https://go.zoniq.io/mvap3xnr" TargetMode="External"/><Relationship Id="rId436" Type="http://schemas.openxmlformats.org/officeDocument/2006/relationships/hyperlink" Target="https://go.zoniq.io/2p9cecup" TargetMode="External"/><Relationship Id="rId601" Type="http://schemas.openxmlformats.org/officeDocument/2006/relationships/hyperlink" Target="https://go.zoniq.io/57f2r4su" TargetMode="External"/><Relationship Id="rId643" Type="http://schemas.openxmlformats.org/officeDocument/2006/relationships/hyperlink" Target="https://go.zoniq.io/4xhpdssf" TargetMode="External"/><Relationship Id="rId240" Type="http://schemas.openxmlformats.org/officeDocument/2006/relationships/hyperlink" Target="https://go.zoniq.io/57f2r4su" TargetMode="External"/><Relationship Id="rId478" Type="http://schemas.openxmlformats.org/officeDocument/2006/relationships/hyperlink" Target="https://go.zoniq.io/2dpku8s6" TargetMode="External"/><Relationship Id="rId35" Type="http://schemas.openxmlformats.org/officeDocument/2006/relationships/hyperlink" Target="https://go.zoniq.io/2p84d6ej" TargetMode="External"/><Relationship Id="rId77" Type="http://schemas.openxmlformats.org/officeDocument/2006/relationships/hyperlink" Target="https://go.zoniq.io/5n7txx77" TargetMode="External"/><Relationship Id="rId100" Type="http://schemas.openxmlformats.org/officeDocument/2006/relationships/hyperlink" Target="https://go.zoniq.io/5fyxct6s" TargetMode="External"/><Relationship Id="rId282" Type="http://schemas.openxmlformats.org/officeDocument/2006/relationships/hyperlink" Target="https://go.zoniq.io/ycke6k5d" TargetMode="External"/><Relationship Id="rId338" Type="http://schemas.openxmlformats.org/officeDocument/2006/relationships/hyperlink" Target="https://go.zoniq.io/42es8w3e" TargetMode="External"/><Relationship Id="rId503" Type="http://schemas.openxmlformats.org/officeDocument/2006/relationships/hyperlink" Target="https://go.zoniq.io/yckvnwpc" TargetMode="External"/><Relationship Id="rId545" Type="http://schemas.openxmlformats.org/officeDocument/2006/relationships/hyperlink" Target="https://go.zoniq.io/2p88uxs5" TargetMode="External"/><Relationship Id="rId587" Type="http://schemas.openxmlformats.org/officeDocument/2006/relationships/hyperlink" Target="https://go.zoniq.io/5n8h3dcs" TargetMode="External"/><Relationship Id="rId8" Type="http://schemas.openxmlformats.org/officeDocument/2006/relationships/hyperlink" Target="https://go.zoniq.io/2dpku8s6" TargetMode="External"/><Relationship Id="rId142" Type="http://schemas.openxmlformats.org/officeDocument/2006/relationships/hyperlink" Target="https://go.zoniq.io/2p88uxs5" TargetMode="External"/><Relationship Id="rId184" Type="http://schemas.openxmlformats.org/officeDocument/2006/relationships/hyperlink" Target="https://go.zoniq.io/2p87r6ed" TargetMode="External"/><Relationship Id="rId391" Type="http://schemas.openxmlformats.org/officeDocument/2006/relationships/hyperlink" Target="https://go.zoniq.io/2p8m2bjw" TargetMode="External"/><Relationship Id="rId405" Type="http://schemas.openxmlformats.org/officeDocument/2006/relationships/hyperlink" Target="https://go.zoniq.io/yc4m6r4b" TargetMode="External"/><Relationship Id="rId447" Type="http://schemas.openxmlformats.org/officeDocument/2006/relationships/hyperlink" Target="https://go.zoniq.io/bdhurene" TargetMode="External"/><Relationship Id="rId612" Type="http://schemas.openxmlformats.org/officeDocument/2006/relationships/hyperlink" Target="https://go.zoniq.io/muka5de3" TargetMode="External"/><Relationship Id="rId251" Type="http://schemas.openxmlformats.org/officeDocument/2006/relationships/hyperlink" Target="https://go.zoniq.io/3trndtcb" TargetMode="External"/><Relationship Id="rId489" Type="http://schemas.openxmlformats.org/officeDocument/2006/relationships/hyperlink" Target="https://go.zoniq.io/bdfhe9cp" TargetMode="External"/><Relationship Id="rId46" Type="http://schemas.openxmlformats.org/officeDocument/2006/relationships/hyperlink" Target="https://go.zoniq.io/zvt6ufcf" TargetMode="External"/><Relationship Id="rId293" Type="http://schemas.openxmlformats.org/officeDocument/2006/relationships/hyperlink" Target="https://go.zoniq.io/327u3xh4" TargetMode="External"/><Relationship Id="rId307" Type="http://schemas.openxmlformats.org/officeDocument/2006/relationships/hyperlink" Target="https://go.zoniq.io/2p8sa2jp" TargetMode="External"/><Relationship Id="rId349" Type="http://schemas.openxmlformats.org/officeDocument/2006/relationships/hyperlink" Target="https://go.zoniq.io/3wawtuf7" TargetMode="External"/><Relationship Id="rId514" Type="http://schemas.openxmlformats.org/officeDocument/2006/relationships/hyperlink" Target="https://go.zoniq.io/2p839vj7" TargetMode="External"/><Relationship Id="rId556" Type="http://schemas.openxmlformats.org/officeDocument/2006/relationships/hyperlink" Target="https://go.zoniq.io/26c6y29y" TargetMode="External"/><Relationship Id="rId88" Type="http://schemas.openxmlformats.org/officeDocument/2006/relationships/hyperlink" Target="https://go.zoniq.io/2p878fyp" TargetMode="External"/><Relationship Id="rId111" Type="http://schemas.openxmlformats.org/officeDocument/2006/relationships/hyperlink" Target="https://go.zoniq.io/y4cnz7bt" TargetMode="External"/><Relationship Id="rId153" Type="http://schemas.openxmlformats.org/officeDocument/2006/relationships/hyperlink" Target="https://go.zoniq.io/4swrwcpd" TargetMode="External"/><Relationship Id="rId195" Type="http://schemas.openxmlformats.org/officeDocument/2006/relationships/hyperlink" Target="https://go.zoniq.io/ymxbxawe" TargetMode="External"/><Relationship Id="rId209" Type="http://schemas.openxmlformats.org/officeDocument/2006/relationships/hyperlink" Target="https://go.zoniq.io/2p8cbwy4" TargetMode="External"/><Relationship Id="rId360" Type="http://schemas.openxmlformats.org/officeDocument/2006/relationships/hyperlink" Target="https://go.zoniq.io/43yed2hp" TargetMode="External"/><Relationship Id="rId416" Type="http://schemas.openxmlformats.org/officeDocument/2006/relationships/hyperlink" Target="https://go.zoniq.io/ycktruan" TargetMode="External"/><Relationship Id="rId598" Type="http://schemas.openxmlformats.org/officeDocument/2006/relationships/hyperlink" Target="https://go.zoniq.io/2p85c3z9" TargetMode="External"/><Relationship Id="rId220" Type="http://schemas.openxmlformats.org/officeDocument/2006/relationships/hyperlink" Target="https://go.zoniq.io/3w87exx7" TargetMode="External"/><Relationship Id="rId458" Type="http://schemas.openxmlformats.org/officeDocument/2006/relationships/hyperlink" Target="https://go.zoniq.io/3w87exx7" TargetMode="External"/><Relationship Id="rId623" Type="http://schemas.openxmlformats.org/officeDocument/2006/relationships/hyperlink" Target="https://go.zoniq.io/yzmt5rcz" TargetMode="External"/><Relationship Id="rId15" Type="http://schemas.openxmlformats.org/officeDocument/2006/relationships/hyperlink" Target="https://go.zoniq.io/3u4yykus" TargetMode="External"/><Relationship Id="rId57" Type="http://schemas.openxmlformats.org/officeDocument/2006/relationships/hyperlink" Target="https://go.zoniq.io/3894ebkz" TargetMode="External"/><Relationship Id="rId262" Type="http://schemas.openxmlformats.org/officeDocument/2006/relationships/hyperlink" Target="https://go.zoniq.io/mr44p24u" TargetMode="External"/><Relationship Id="rId318" Type="http://schemas.openxmlformats.org/officeDocument/2006/relationships/hyperlink" Target="https://go.zoniq.io/yckvnwpc" TargetMode="External"/><Relationship Id="rId525" Type="http://schemas.openxmlformats.org/officeDocument/2006/relationships/hyperlink" Target="https://go.zoniq.io/2p87r6ed" TargetMode="External"/><Relationship Id="rId567" Type="http://schemas.openxmlformats.org/officeDocument/2006/relationships/hyperlink" Target="https://go.zoniq.io/5by9wn4h" TargetMode="External"/><Relationship Id="rId99" Type="http://schemas.openxmlformats.org/officeDocument/2006/relationships/hyperlink" Target="https://go.zoniq.io/2p26zyv3" TargetMode="External"/><Relationship Id="rId122" Type="http://schemas.openxmlformats.org/officeDocument/2006/relationships/hyperlink" Target="https://go.zoniq.io/4n62sy35" TargetMode="External"/><Relationship Id="rId164" Type="http://schemas.openxmlformats.org/officeDocument/2006/relationships/hyperlink" Target="https://go.zoniq.io/4ys879w4" TargetMode="External"/><Relationship Id="rId371" Type="http://schemas.openxmlformats.org/officeDocument/2006/relationships/hyperlink" Target="https://go.zoniq.io/4swrwcpd" TargetMode="External"/><Relationship Id="rId427" Type="http://schemas.openxmlformats.org/officeDocument/2006/relationships/hyperlink" Target="https://go.zoniq.io/y2b8usr9" TargetMode="External"/><Relationship Id="rId469" Type="http://schemas.openxmlformats.org/officeDocument/2006/relationships/hyperlink" Target="https://go.zoniq.io/y2b8usr9" TargetMode="External"/><Relationship Id="rId634" Type="http://schemas.openxmlformats.org/officeDocument/2006/relationships/hyperlink" Target="https://go.zoniq.io/mr44p24u" TargetMode="External"/><Relationship Id="rId26" Type="http://schemas.openxmlformats.org/officeDocument/2006/relationships/hyperlink" Target="https://go.zoniq.io/2p8bax7j" TargetMode="External"/><Relationship Id="rId231" Type="http://schemas.openxmlformats.org/officeDocument/2006/relationships/hyperlink" Target="https://go.zoniq.io/bdhurene" TargetMode="External"/><Relationship Id="rId273" Type="http://schemas.openxmlformats.org/officeDocument/2006/relationships/hyperlink" Target="https://go.zoniq.io/2p9yffpy" TargetMode="External"/><Relationship Id="rId329" Type="http://schemas.openxmlformats.org/officeDocument/2006/relationships/hyperlink" Target="https://go.zoniq.io/y4b3yvya" TargetMode="External"/><Relationship Id="rId480" Type="http://schemas.openxmlformats.org/officeDocument/2006/relationships/hyperlink" Target="https://go.zoniq.io/3v5an3a4" TargetMode="External"/><Relationship Id="rId536" Type="http://schemas.openxmlformats.org/officeDocument/2006/relationships/hyperlink" Target="https://go.zoniq.io/2p878fyp" TargetMode="External"/><Relationship Id="rId68" Type="http://schemas.openxmlformats.org/officeDocument/2006/relationships/hyperlink" Target="https://go.zoniq.io/327u3xh4" TargetMode="External"/><Relationship Id="rId133" Type="http://schemas.openxmlformats.org/officeDocument/2006/relationships/hyperlink" Target="https://go.zoniq.io/5bvjrewp" TargetMode="External"/><Relationship Id="rId175" Type="http://schemas.openxmlformats.org/officeDocument/2006/relationships/hyperlink" Target="https://go.zoniq.io/msp9vrpy" TargetMode="External"/><Relationship Id="rId340" Type="http://schemas.openxmlformats.org/officeDocument/2006/relationships/hyperlink" Target="https://go.zoniq.io/y74euw8f" TargetMode="External"/><Relationship Id="rId578" Type="http://schemas.openxmlformats.org/officeDocument/2006/relationships/hyperlink" Target="https://go.zoniq.io/ytk5tse8" TargetMode="External"/><Relationship Id="rId200" Type="http://schemas.openxmlformats.org/officeDocument/2006/relationships/hyperlink" Target="https://go.zoniq.io/2569pdtx" TargetMode="External"/><Relationship Id="rId382" Type="http://schemas.openxmlformats.org/officeDocument/2006/relationships/hyperlink" Target="https://go.zoniq.io/yc6vhcav" TargetMode="External"/><Relationship Id="rId438" Type="http://schemas.openxmlformats.org/officeDocument/2006/relationships/hyperlink" Target="https://go.zoniq.io/2p8fjcpu" TargetMode="External"/><Relationship Id="rId603" Type="http://schemas.openxmlformats.org/officeDocument/2006/relationships/hyperlink" Target="https://go.zoniq.io/y2b8usr9" TargetMode="External"/><Relationship Id="rId645" Type="http://schemas.openxmlformats.org/officeDocument/2006/relationships/hyperlink" Target="https://go.zoniq.io/2p9a8827" TargetMode="External"/><Relationship Id="rId242" Type="http://schemas.openxmlformats.org/officeDocument/2006/relationships/hyperlink" Target="https://go.zoniq.io/2p84597r" TargetMode="External"/><Relationship Id="rId284" Type="http://schemas.openxmlformats.org/officeDocument/2006/relationships/hyperlink" Target="https://go.zoniq.io/y74euw8f" TargetMode="External"/><Relationship Id="rId491" Type="http://schemas.openxmlformats.org/officeDocument/2006/relationships/hyperlink" Target="https://go.zoniq.io/yck987pk" TargetMode="External"/><Relationship Id="rId505" Type="http://schemas.openxmlformats.org/officeDocument/2006/relationships/hyperlink" Target="https://go.zoniq.io/4tst98rp" TargetMode="External"/><Relationship Id="rId37" Type="http://schemas.openxmlformats.org/officeDocument/2006/relationships/hyperlink" Target="https://go.zoniq.io/bdfhe9cp" TargetMode="External"/><Relationship Id="rId79" Type="http://schemas.openxmlformats.org/officeDocument/2006/relationships/hyperlink" Target="https://go.zoniq.io/4swrwcpd" TargetMode="External"/><Relationship Id="rId102" Type="http://schemas.openxmlformats.org/officeDocument/2006/relationships/hyperlink" Target="https://go.zoniq.io/2p8bax7j" TargetMode="External"/><Relationship Id="rId144" Type="http://schemas.openxmlformats.org/officeDocument/2006/relationships/hyperlink" Target="https://go.zoniq.io/2p84d6ej" TargetMode="External"/><Relationship Id="rId547" Type="http://schemas.openxmlformats.org/officeDocument/2006/relationships/hyperlink" Target="https://go.zoniq.io/ms9vsmwc" TargetMode="External"/><Relationship Id="rId589" Type="http://schemas.openxmlformats.org/officeDocument/2006/relationships/hyperlink" Target="https://go.zoniq.io/5bvjrewp" TargetMode="External"/><Relationship Id="rId90" Type="http://schemas.openxmlformats.org/officeDocument/2006/relationships/hyperlink" Target="https://go.zoniq.io/2p88rcwu" TargetMode="External"/><Relationship Id="rId186" Type="http://schemas.openxmlformats.org/officeDocument/2006/relationships/hyperlink" Target="https://go.zoniq.io/5n7yfwde" TargetMode="External"/><Relationship Id="rId351" Type="http://schemas.openxmlformats.org/officeDocument/2006/relationships/hyperlink" Target="https://go.zoniq.io/39kypw2x" TargetMode="External"/><Relationship Id="rId393" Type="http://schemas.openxmlformats.org/officeDocument/2006/relationships/hyperlink" Target="https://go.zoniq.io/5n8h3dcs" TargetMode="External"/><Relationship Id="rId407" Type="http://schemas.openxmlformats.org/officeDocument/2006/relationships/hyperlink" Target="https://go.zoniq.io/2p9bpwyu" TargetMode="External"/><Relationship Id="rId449" Type="http://schemas.openxmlformats.org/officeDocument/2006/relationships/hyperlink" Target="https://go.zoniq.io/uy8w99y8" TargetMode="External"/><Relationship Id="rId614" Type="http://schemas.openxmlformats.org/officeDocument/2006/relationships/hyperlink" Target="https://go.zoniq.io/3w87exx7" TargetMode="External"/><Relationship Id="rId211" Type="http://schemas.openxmlformats.org/officeDocument/2006/relationships/hyperlink" Target="https://go.zoniq.io/yx7vn3u6" TargetMode="External"/><Relationship Id="rId253" Type="http://schemas.openxmlformats.org/officeDocument/2006/relationships/hyperlink" Target="https://go.zoniq.io/mv7y2dfu" TargetMode="External"/><Relationship Id="rId295" Type="http://schemas.openxmlformats.org/officeDocument/2006/relationships/hyperlink" Target="https://go.zoniq.io/3w87exx7" TargetMode="External"/><Relationship Id="rId309" Type="http://schemas.openxmlformats.org/officeDocument/2006/relationships/hyperlink" Target="https://go.zoniq.io/zvt6ufcf" TargetMode="External"/><Relationship Id="rId460" Type="http://schemas.openxmlformats.org/officeDocument/2006/relationships/hyperlink" Target="https://go.zoniq.io/yzmt5rcz" TargetMode="External"/><Relationship Id="rId516" Type="http://schemas.openxmlformats.org/officeDocument/2006/relationships/hyperlink" Target="https://go.zoniq.io/3u4yykus" TargetMode="External"/><Relationship Id="rId48" Type="http://schemas.openxmlformats.org/officeDocument/2006/relationships/hyperlink" Target="https://go.zoniq.io/2p26zyv3" TargetMode="External"/><Relationship Id="rId113" Type="http://schemas.openxmlformats.org/officeDocument/2006/relationships/hyperlink" Target="https://go.zoniq.io/2p85c3z9" TargetMode="External"/><Relationship Id="rId320" Type="http://schemas.openxmlformats.org/officeDocument/2006/relationships/hyperlink" Target="https://go.zoniq.io/ydknrth8" TargetMode="External"/><Relationship Id="rId558" Type="http://schemas.openxmlformats.org/officeDocument/2006/relationships/hyperlink" Target="https://go.zoniq.io/mrwbp25b" TargetMode="External"/><Relationship Id="rId155" Type="http://schemas.openxmlformats.org/officeDocument/2006/relationships/hyperlink" Target="https://go.zoniq.io/ym2zfmzt" TargetMode="External"/><Relationship Id="rId197" Type="http://schemas.openxmlformats.org/officeDocument/2006/relationships/hyperlink" Target="https://go.zoniq.io/2p8fjcpu" TargetMode="External"/><Relationship Id="rId362" Type="http://schemas.openxmlformats.org/officeDocument/2006/relationships/hyperlink" Target="https://go.zoniq.io/bdm8zzkv" TargetMode="External"/><Relationship Id="rId418" Type="http://schemas.openxmlformats.org/officeDocument/2006/relationships/hyperlink" Target="https://go.zoniq.io/bdm8zzkv" TargetMode="External"/><Relationship Id="rId625" Type="http://schemas.openxmlformats.org/officeDocument/2006/relationships/hyperlink" Target="https://go.zoniq.io/2p8fjcpu" TargetMode="External"/><Relationship Id="rId222" Type="http://schemas.openxmlformats.org/officeDocument/2006/relationships/hyperlink" Target="https://go.zoniq.io/yckkfccs" TargetMode="External"/><Relationship Id="rId264" Type="http://schemas.openxmlformats.org/officeDocument/2006/relationships/hyperlink" Target="https://go.zoniq.io/5n7yfwde" TargetMode="External"/><Relationship Id="rId471" Type="http://schemas.openxmlformats.org/officeDocument/2006/relationships/hyperlink" Target="https://go.zoniq.io/2p8ekjv5" TargetMode="External"/><Relationship Id="rId17" Type="http://schemas.openxmlformats.org/officeDocument/2006/relationships/hyperlink" Target="https://go.zoniq.io/yc364a59" TargetMode="External"/><Relationship Id="rId59" Type="http://schemas.openxmlformats.org/officeDocument/2006/relationships/hyperlink" Target="https://go.zoniq.io/2p99uwjw" TargetMode="External"/><Relationship Id="rId124" Type="http://schemas.openxmlformats.org/officeDocument/2006/relationships/hyperlink" Target="https://go.zoniq.io/y39xr239" TargetMode="External"/><Relationship Id="rId527" Type="http://schemas.openxmlformats.org/officeDocument/2006/relationships/hyperlink" Target="https://go.zoniq.io/4xhpdssf" TargetMode="External"/><Relationship Id="rId569" Type="http://schemas.openxmlformats.org/officeDocument/2006/relationships/hyperlink" Target="https://go.zoniq.io/bdm8zzkv" TargetMode="External"/><Relationship Id="rId70" Type="http://schemas.openxmlformats.org/officeDocument/2006/relationships/hyperlink" Target="https://go.zoniq.io/yc35ftz2" TargetMode="External"/><Relationship Id="rId166" Type="http://schemas.openxmlformats.org/officeDocument/2006/relationships/hyperlink" Target="https://go.zoniq.io/yzmt5rcz" TargetMode="External"/><Relationship Id="rId331" Type="http://schemas.openxmlformats.org/officeDocument/2006/relationships/hyperlink" Target="https://go.zoniq.io/5n8h3dcs" TargetMode="External"/><Relationship Id="rId373" Type="http://schemas.openxmlformats.org/officeDocument/2006/relationships/hyperlink" Target="https://go.zoniq.io/7392sz6n" TargetMode="External"/><Relationship Id="rId429" Type="http://schemas.openxmlformats.org/officeDocument/2006/relationships/hyperlink" Target="https://go.zoniq.io/5bvjrewp" TargetMode="External"/><Relationship Id="rId580" Type="http://schemas.openxmlformats.org/officeDocument/2006/relationships/hyperlink" Target="https://go.zoniq.io/2p8sa2jp" TargetMode="External"/><Relationship Id="rId636" Type="http://schemas.openxmlformats.org/officeDocument/2006/relationships/hyperlink" Target="https://go.zoniq.io/39kypw2x" TargetMode="External"/><Relationship Id="rId1" Type="http://schemas.openxmlformats.org/officeDocument/2006/relationships/hyperlink" Target="https://go.zoniq.io/yc42aeu5" TargetMode="External"/><Relationship Id="rId233" Type="http://schemas.openxmlformats.org/officeDocument/2006/relationships/hyperlink" Target="https://go.zoniq.io/4nfj9znu" TargetMode="External"/><Relationship Id="rId440" Type="http://schemas.openxmlformats.org/officeDocument/2006/relationships/hyperlink" Target="https://go.zoniq.io/3v5an3a4" TargetMode="External"/><Relationship Id="rId28" Type="http://schemas.openxmlformats.org/officeDocument/2006/relationships/hyperlink" Target="https://go.zoniq.io/3trndtcb" TargetMode="External"/><Relationship Id="rId275" Type="http://schemas.openxmlformats.org/officeDocument/2006/relationships/hyperlink" Target="https://go.zoniq.io/3894ebkz" TargetMode="External"/><Relationship Id="rId300" Type="http://schemas.openxmlformats.org/officeDocument/2006/relationships/hyperlink" Target="https://go.zoniq.io/yc42aeu5" TargetMode="External"/><Relationship Id="rId482" Type="http://schemas.openxmlformats.org/officeDocument/2006/relationships/hyperlink" Target="https://go.zoniq.io/2569pdtx" TargetMode="External"/><Relationship Id="rId538" Type="http://schemas.openxmlformats.org/officeDocument/2006/relationships/hyperlink" Target="https://go.zoniq.io/2p9a8827" TargetMode="External"/><Relationship Id="rId81" Type="http://schemas.openxmlformats.org/officeDocument/2006/relationships/hyperlink" Target="https://go.zoniq.io/2e37wnmt" TargetMode="External"/><Relationship Id="rId135" Type="http://schemas.openxmlformats.org/officeDocument/2006/relationships/hyperlink" Target="https://go.zoniq.io/3wawtuf7" TargetMode="External"/><Relationship Id="rId177" Type="http://schemas.openxmlformats.org/officeDocument/2006/relationships/hyperlink" Target="https://go.zoniq.io/5fyxct6s" TargetMode="External"/><Relationship Id="rId342" Type="http://schemas.openxmlformats.org/officeDocument/2006/relationships/hyperlink" Target="https://go.zoniq.io/4vzzjfbc" TargetMode="External"/><Relationship Id="rId384" Type="http://schemas.openxmlformats.org/officeDocument/2006/relationships/hyperlink" Target="https://go.zoniq.io/2s3m66wn" TargetMode="External"/><Relationship Id="rId591" Type="http://schemas.openxmlformats.org/officeDocument/2006/relationships/hyperlink" Target="https://go.zoniq.io/mwwpufed" TargetMode="External"/><Relationship Id="rId605" Type="http://schemas.openxmlformats.org/officeDocument/2006/relationships/hyperlink" Target="https://go.zoniq.io/2p84597r" TargetMode="External"/><Relationship Id="rId202" Type="http://schemas.openxmlformats.org/officeDocument/2006/relationships/hyperlink" Target="https://go.zoniq.io/2p9ccsw9" TargetMode="External"/><Relationship Id="rId244" Type="http://schemas.openxmlformats.org/officeDocument/2006/relationships/hyperlink" Target="https://go.zoniq.io/ycktruan" TargetMode="External"/><Relationship Id="rId39" Type="http://schemas.openxmlformats.org/officeDocument/2006/relationships/hyperlink" Target="https://go.zoniq.io/2p878fyp" TargetMode="External"/><Relationship Id="rId286" Type="http://schemas.openxmlformats.org/officeDocument/2006/relationships/hyperlink" Target="https://go.zoniq.io/7392sz6n" TargetMode="External"/><Relationship Id="rId451" Type="http://schemas.openxmlformats.org/officeDocument/2006/relationships/hyperlink" Target="https://go.zoniq.io/e4c4ythu" TargetMode="External"/><Relationship Id="rId493" Type="http://schemas.openxmlformats.org/officeDocument/2006/relationships/hyperlink" Target="https://go.zoniq.io/39kypw2x" TargetMode="External"/><Relationship Id="rId507" Type="http://schemas.openxmlformats.org/officeDocument/2006/relationships/hyperlink" Target="https://go.zoniq.io/25654me8" TargetMode="External"/><Relationship Id="rId549" Type="http://schemas.openxmlformats.org/officeDocument/2006/relationships/hyperlink" Target="https://go.zoniq.io/2p8s5x2t" TargetMode="External"/><Relationship Id="rId50" Type="http://schemas.openxmlformats.org/officeDocument/2006/relationships/hyperlink" Target="https://go.zoniq.io/26c6y29y" TargetMode="External"/><Relationship Id="rId104" Type="http://schemas.openxmlformats.org/officeDocument/2006/relationships/hyperlink" Target="https://go.zoniq.io/yckme28p" TargetMode="External"/><Relationship Id="rId146" Type="http://schemas.openxmlformats.org/officeDocument/2006/relationships/hyperlink" Target="https://go.zoniq.io/2p9cecup" TargetMode="External"/><Relationship Id="rId188" Type="http://schemas.openxmlformats.org/officeDocument/2006/relationships/hyperlink" Target="https://go.zoniq.io/2f69576w" TargetMode="External"/><Relationship Id="rId311" Type="http://schemas.openxmlformats.org/officeDocument/2006/relationships/hyperlink" Target="https://go.zoniq.io/2p8s5x2t" TargetMode="External"/><Relationship Id="rId353" Type="http://schemas.openxmlformats.org/officeDocument/2006/relationships/hyperlink" Target="https://go.zoniq.io/mr3tc89u" TargetMode="External"/><Relationship Id="rId395" Type="http://schemas.openxmlformats.org/officeDocument/2006/relationships/hyperlink" Target="https://go.zoniq.io/22p6vkdk" TargetMode="External"/><Relationship Id="rId409" Type="http://schemas.openxmlformats.org/officeDocument/2006/relationships/hyperlink" Target="https://go.zoniq.io/2p87r6ed" TargetMode="External"/><Relationship Id="rId560" Type="http://schemas.openxmlformats.org/officeDocument/2006/relationships/hyperlink" Target="https://go.zoniq.io/yc35ftz2" TargetMode="External"/><Relationship Id="rId92" Type="http://schemas.openxmlformats.org/officeDocument/2006/relationships/hyperlink" Target="https://go.zoniq.io/2p8bmr3f" TargetMode="External"/><Relationship Id="rId213" Type="http://schemas.openxmlformats.org/officeDocument/2006/relationships/hyperlink" Target="https://go.zoniq.io/yc6vhcav" TargetMode="External"/><Relationship Id="rId420" Type="http://schemas.openxmlformats.org/officeDocument/2006/relationships/hyperlink" Target="https://go.zoniq.io/ya8ndktb" TargetMode="External"/><Relationship Id="rId616" Type="http://schemas.openxmlformats.org/officeDocument/2006/relationships/hyperlink" Target="https://go.zoniq.io/2p9cecup" TargetMode="External"/><Relationship Id="rId255" Type="http://schemas.openxmlformats.org/officeDocument/2006/relationships/hyperlink" Target="https://go.zoniq.io/zvt6ufcf" TargetMode="External"/><Relationship Id="rId297" Type="http://schemas.openxmlformats.org/officeDocument/2006/relationships/hyperlink" Target="https://go.zoniq.io/2p878fyp" TargetMode="External"/><Relationship Id="rId462" Type="http://schemas.openxmlformats.org/officeDocument/2006/relationships/hyperlink" Target="https://go.zoniq.io/2p8vmwva" TargetMode="External"/><Relationship Id="rId518" Type="http://schemas.openxmlformats.org/officeDocument/2006/relationships/hyperlink" Target="https://go.zoniq.io/4nza73ty" TargetMode="External"/><Relationship Id="rId115" Type="http://schemas.openxmlformats.org/officeDocument/2006/relationships/hyperlink" Target="https://go.zoniq.io/bdm8zzkv" TargetMode="External"/><Relationship Id="rId157" Type="http://schemas.openxmlformats.org/officeDocument/2006/relationships/hyperlink" Target="https://go.zoniq.io/2p9dry72" TargetMode="External"/><Relationship Id="rId322" Type="http://schemas.openxmlformats.org/officeDocument/2006/relationships/hyperlink" Target="https://go.zoniq.io/2p8dbpzr" TargetMode="External"/><Relationship Id="rId364" Type="http://schemas.openxmlformats.org/officeDocument/2006/relationships/hyperlink" Target="https://go.zoniq.io/285zfaw2" TargetMode="External"/><Relationship Id="rId61" Type="http://schemas.openxmlformats.org/officeDocument/2006/relationships/hyperlink" Target="https://go.zoniq.io/y74euw8f" TargetMode="External"/><Relationship Id="rId199" Type="http://schemas.openxmlformats.org/officeDocument/2006/relationships/hyperlink" Target="https://go.zoniq.io/muka5de3" TargetMode="External"/><Relationship Id="rId571" Type="http://schemas.openxmlformats.org/officeDocument/2006/relationships/hyperlink" Target="https://go.zoniq.io/yckme28p" TargetMode="External"/><Relationship Id="rId627" Type="http://schemas.openxmlformats.org/officeDocument/2006/relationships/hyperlink" Target="https://go.zoniq.io/43yed2hp" TargetMode="External"/><Relationship Id="rId19" Type="http://schemas.openxmlformats.org/officeDocument/2006/relationships/hyperlink" Target="https://go.zoniq.io/y39xr239" TargetMode="External"/><Relationship Id="rId224" Type="http://schemas.openxmlformats.org/officeDocument/2006/relationships/hyperlink" Target="https://go.zoniq.io/yckp8nft" TargetMode="External"/><Relationship Id="rId266" Type="http://schemas.openxmlformats.org/officeDocument/2006/relationships/hyperlink" Target="https://go.zoniq.io/39kypw2x" TargetMode="External"/><Relationship Id="rId431" Type="http://schemas.openxmlformats.org/officeDocument/2006/relationships/hyperlink" Target="https://go.zoniq.io/yc6vhcav" TargetMode="External"/><Relationship Id="rId473" Type="http://schemas.openxmlformats.org/officeDocument/2006/relationships/hyperlink" Target="https://go.zoniq.io/ydknrth8" TargetMode="External"/><Relationship Id="rId529" Type="http://schemas.openxmlformats.org/officeDocument/2006/relationships/hyperlink" Target="https://go.zoniq.io/2p9a8827" TargetMode="External"/><Relationship Id="rId30" Type="http://schemas.openxmlformats.org/officeDocument/2006/relationships/hyperlink" Target="https://go.zoniq.io/2p8ptmr5" TargetMode="External"/><Relationship Id="rId126" Type="http://schemas.openxmlformats.org/officeDocument/2006/relationships/hyperlink" Target="https://go.zoniq.io/4vzzjfbc" TargetMode="External"/><Relationship Id="rId168" Type="http://schemas.openxmlformats.org/officeDocument/2006/relationships/hyperlink" Target="https://go.zoniq.io/ycktruan" TargetMode="External"/><Relationship Id="rId333" Type="http://schemas.openxmlformats.org/officeDocument/2006/relationships/hyperlink" Target="https://go.zoniq.io/2p688cn6" TargetMode="External"/><Relationship Id="rId540" Type="http://schemas.openxmlformats.org/officeDocument/2006/relationships/hyperlink" Target="https://go.zoniq.io/2p9ccsw9" TargetMode="External"/><Relationship Id="rId72" Type="http://schemas.openxmlformats.org/officeDocument/2006/relationships/hyperlink" Target="https://go.zoniq.io/2p5uz7zt" TargetMode="External"/><Relationship Id="rId375" Type="http://schemas.openxmlformats.org/officeDocument/2006/relationships/hyperlink" Target="https://go.zoniq.io/4xhpdssf" TargetMode="External"/><Relationship Id="rId582" Type="http://schemas.openxmlformats.org/officeDocument/2006/relationships/hyperlink" Target="https://go.zoniq.io/myjdzx98" TargetMode="External"/><Relationship Id="rId638" Type="http://schemas.openxmlformats.org/officeDocument/2006/relationships/hyperlink" Target="https://go.zoniq.io/2p839vj7" TargetMode="External"/><Relationship Id="rId3" Type="http://schemas.openxmlformats.org/officeDocument/2006/relationships/hyperlink" Target="https://go.zoniq.io/2p8bmr3f" TargetMode="External"/><Relationship Id="rId235" Type="http://schemas.openxmlformats.org/officeDocument/2006/relationships/hyperlink" Target="https://go.zoniq.io/2p8ekjv5" TargetMode="External"/><Relationship Id="rId277" Type="http://schemas.openxmlformats.org/officeDocument/2006/relationships/hyperlink" Target="https://go.zoniq.io/muka5de3" TargetMode="External"/><Relationship Id="rId400" Type="http://schemas.openxmlformats.org/officeDocument/2006/relationships/hyperlink" Target="https://go.zoniq.io/5fyxct6s" TargetMode="External"/><Relationship Id="rId442" Type="http://schemas.openxmlformats.org/officeDocument/2006/relationships/hyperlink" Target="https://go.zoniq.io/2569pdtx" TargetMode="External"/><Relationship Id="rId484" Type="http://schemas.openxmlformats.org/officeDocument/2006/relationships/hyperlink" Target="https://go.zoniq.io/4hp6vc2f" TargetMode="External"/><Relationship Id="rId137" Type="http://schemas.openxmlformats.org/officeDocument/2006/relationships/hyperlink" Target="https://go.zoniq.io/327u3xh4" TargetMode="External"/><Relationship Id="rId302" Type="http://schemas.openxmlformats.org/officeDocument/2006/relationships/hyperlink" Target="https://go.zoniq.io/2p94jr7w" TargetMode="External"/><Relationship Id="rId344" Type="http://schemas.openxmlformats.org/officeDocument/2006/relationships/hyperlink" Target="https://go.zoniq.io/mr44p24u" TargetMode="External"/><Relationship Id="rId41" Type="http://schemas.openxmlformats.org/officeDocument/2006/relationships/hyperlink" Target="https://go.zoniq.io/yb6tj5dc" TargetMode="External"/><Relationship Id="rId83" Type="http://schemas.openxmlformats.org/officeDocument/2006/relationships/hyperlink" Target="https://go.zoniq.io/44mbjyk4" TargetMode="External"/><Relationship Id="rId179" Type="http://schemas.openxmlformats.org/officeDocument/2006/relationships/hyperlink" Target="https://go.zoniq.io/3kjjk37" TargetMode="External"/><Relationship Id="rId386" Type="http://schemas.openxmlformats.org/officeDocument/2006/relationships/hyperlink" Target="https://go.zoniq.io/4ys879w4" TargetMode="External"/><Relationship Id="rId551" Type="http://schemas.openxmlformats.org/officeDocument/2006/relationships/hyperlink" Target="https://go.zoniq.io/yckpxdhc" TargetMode="External"/><Relationship Id="rId593" Type="http://schemas.openxmlformats.org/officeDocument/2006/relationships/hyperlink" Target="https://go.zoniq.io/2p94jr7w" TargetMode="External"/><Relationship Id="rId607" Type="http://schemas.openxmlformats.org/officeDocument/2006/relationships/hyperlink" Target="https://go.zoniq.io/bdhrf8pn" TargetMode="External"/><Relationship Id="rId190" Type="http://schemas.openxmlformats.org/officeDocument/2006/relationships/hyperlink" Target="https://go.zoniq.io/2p84d6ej" TargetMode="External"/><Relationship Id="rId204" Type="http://schemas.openxmlformats.org/officeDocument/2006/relationships/hyperlink" Target="https://go.zoniq.io/2p9es8rt" TargetMode="External"/><Relationship Id="rId246" Type="http://schemas.openxmlformats.org/officeDocument/2006/relationships/hyperlink" Target="https://go.zoniq.io/ycks47wk" TargetMode="External"/><Relationship Id="rId288" Type="http://schemas.openxmlformats.org/officeDocument/2006/relationships/hyperlink" Target="https://go.zoniq.io/e4c4ythu" TargetMode="External"/><Relationship Id="rId411" Type="http://schemas.openxmlformats.org/officeDocument/2006/relationships/hyperlink" Target="https://go.zoniq.io/y4b3yvya" TargetMode="External"/><Relationship Id="rId453" Type="http://schemas.openxmlformats.org/officeDocument/2006/relationships/hyperlink" Target="https://go.zoniq.io/2p9a8827" TargetMode="External"/><Relationship Id="rId509" Type="http://schemas.openxmlformats.org/officeDocument/2006/relationships/hyperlink" Target="https://go.zoniq.io/2p9cep5w" TargetMode="External"/><Relationship Id="rId106" Type="http://schemas.openxmlformats.org/officeDocument/2006/relationships/hyperlink" Target="https://go.zoniq.io/2p92sxkt" TargetMode="External"/><Relationship Id="rId313" Type="http://schemas.openxmlformats.org/officeDocument/2006/relationships/hyperlink" Target="https://go.zoniq.io/4swrwcpd" TargetMode="External"/><Relationship Id="rId495" Type="http://schemas.openxmlformats.org/officeDocument/2006/relationships/hyperlink" Target="https://go.zoniq.io/43yed2hp" TargetMode="External"/><Relationship Id="rId10" Type="http://schemas.openxmlformats.org/officeDocument/2006/relationships/hyperlink" Target="https://go.zoniq.io/yc42aeu5" TargetMode="External"/><Relationship Id="rId52" Type="http://schemas.openxmlformats.org/officeDocument/2006/relationships/hyperlink" Target="https://go.zoniq.io/y4cnz7bt" TargetMode="External"/><Relationship Id="rId94" Type="http://schemas.openxmlformats.org/officeDocument/2006/relationships/hyperlink" Target="https://go.zoniq.io/2p8sa2jp" TargetMode="External"/><Relationship Id="rId148" Type="http://schemas.openxmlformats.org/officeDocument/2006/relationships/hyperlink" Target="https://go.zoniq.io/ms9vsmwc" TargetMode="External"/><Relationship Id="rId355" Type="http://schemas.openxmlformats.org/officeDocument/2006/relationships/hyperlink" Target="https://go.zoniq.io/4uehr8d5" TargetMode="External"/><Relationship Id="rId397" Type="http://schemas.openxmlformats.org/officeDocument/2006/relationships/hyperlink" Target="https://go.zoniq.io/42es8w3e" TargetMode="External"/><Relationship Id="rId520" Type="http://schemas.openxmlformats.org/officeDocument/2006/relationships/hyperlink" Target="https://go.zoniq.io/yckkfccs" TargetMode="External"/><Relationship Id="rId562" Type="http://schemas.openxmlformats.org/officeDocument/2006/relationships/hyperlink" Target="https://go.zoniq.io/2p8dbpzr" TargetMode="External"/><Relationship Id="rId618" Type="http://schemas.openxmlformats.org/officeDocument/2006/relationships/hyperlink" Target="https://go.zoniq.io/39yue7br" TargetMode="External"/><Relationship Id="rId215" Type="http://schemas.openxmlformats.org/officeDocument/2006/relationships/hyperlink" Target="https://go.zoniq.io/ycksr4we" TargetMode="External"/><Relationship Id="rId257" Type="http://schemas.openxmlformats.org/officeDocument/2006/relationships/hyperlink" Target="https://go.zoniq.io/4hp6vc2f" TargetMode="External"/><Relationship Id="rId422" Type="http://schemas.openxmlformats.org/officeDocument/2006/relationships/hyperlink" Target="https://go.zoniq.io/327w8yza" TargetMode="External"/><Relationship Id="rId464" Type="http://schemas.openxmlformats.org/officeDocument/2006/relationships/hyperlink" Target="https://go.zoniq.io/327w8yza" TargetMode="External"/><Relationship Id="rId299" Type="http://schemas.openxmlformats.org/officeDocument/2006/relationships/hyperlink" Target="https://go.zoniq.io/2p8vmwva" TargetMode="External"/><Relationship Id="rId63" Type="http://schemas.openxmlformats.org/officeDocument/2006/relationships/hyperlink" Target="https://go.zoniq.io/4vzzjfbc" TargetMode="External"/><Relationship Id="rId159" Type="http://schemas.openxmlformats.org/officeDocument/2006/relationships/hyperlink" Target="https://go.zoniq.io/ytk5tse8" TargetMode="External"/><Relationship Id="rId366" Type="http://schemas.openxmlformats.org/officeDocument/2006/relationships/hyperlink" Target="https://go.zoniq.io/2p5uz7zt" TargetMode="External"/><Relationship Id="rId573" Type="http://schemas.openxmlformats.org/officeDocument/2006/relationships/hyperlink" Target="https://go.zoniq.io/327w8yza" TargetMode="External"/><Relationship Id="rId226" Type="http://schemas.openxmlformats.org/officeDocument/2006/relationships/hyperlink" Target="https://go.zoniq.io/yb6tj5dc" TargetMode="External"/><Relationship Id="rId433" Type="http://schemas.openxmlformats.org/officeDocument/2006/relationships/hyperlink" Target="https://go.zoniq.io/2s3m66wn" TargetMode="External"/><Relationship Id="rId640" Type="http://schemas.openxmlformats.org/officeDocument/2006/relationships/hyperlink" Target="https://go.zoniq.io/y4b3yvya" TargetMode="External"/><Relationship Id="rId74" Type="http://schemas.openxmlformats.org/officeDocument/2006/relationships/hyperlink" Target="https://go.zoniq.io/ms9vsmwc" TargetMode="External"/><Relationship Id="rId377" Type="http://schemas.openxmlformats.org/officeDocument/2006/relationships/hyperlink" Target="https://go.zoniq.io/mrwbp25b" TargetMode="External"/><Relationship Id="rId500" Type="http://schemas.openxmlformats.org/officeDocument/2006/relationships/hyperlink" Target="https://go.zoniq.io/7392sz6n" TargetMode="External"/><Relationship Id="rId584" Type="http://schemas.openxmlformats.org/officeDocument/2006/relationships/hyperlink" Target="https://go.zoniq.io/ks86m228" TargetMode="External"/><Relationship Id="rId5" Type="http://schemas.openxmlformats.org/officeDocument/2006/relationships/hyperlink" Target="https://go.zoniq.io/y39xr239" TargetMode="External"/><Relationship Id="rId237" Type="http://schemas.openxmlformats.org/officeDocument/2006/relationships/hyperlink" Target="https://go.zoniq.io/ydknrth8" TargetMode="External"/><Relationship Id="rId444" Type="http://schemas.openxmlformats.org/officeDocument/2006/relationships/hyperlink" Target="https://go.zoniq.io/4xhpdssf" TargetMode="External"/><Relationship Id="rId290" Type="http://schemas.openxmlformats.org/officeDocument/2006/relationships/hyperlink" Target="https://go.zoniq.io/4zndks3x" TargetMode="External"/><Relationship Id="rId304" Type="http://schemas.openxmlformats.org/officeDocument/2006/relationships/hyperlink" Target="https://go.zoniq.io/2p8m2bjw" TargetMode="External"/><Relationship Id="rId388" Type="http://schemas.openxmlformats.org/officeDocument/2006/relationships/hyperlink" Target="https://go.zoniq.io/ks86m228" TargetMode="External"/><Relationship Id="rId511" Type="http://schemas.openxmlformats.org/officeDocument/2006/relationships/hyperlink" Target="https://go.zoniq.io/4hp6vc2f" TargetMode="External"/><Relationship Id="rId609" Type="http://schemas.openxmlformats.org/officeDocument/2006/relationships/hyperlink" Target="https://go.zoniq.io/3v5an3a4" TargetMode="External"/><Relationship Id="rId85" Type="http://schemas.openxmlformats.org/officeDocument/2006/relationships/hyperlink" Target="https://go.zoniq.io/2p9dry72" TargetMode="External"/><Relationship Id="rId150" Type="http://schemas.openxmlformats.org/officeDocument/2006/relationships/hyperlink" Target="https://go.zoniq.io/bdhrf8pn" TargetMode="External"/><Relationship Id="rId595" Type="http://schemas.openxmlformats.org/officeDocument/2006/relationships/hyperlink" Target="https://go.zoniq.io/5n7yfwde" TargetMode="External"/><Relationship Id="rId248" Type="http://schemas.openxmlformats.org/officeDocument/2006/relationships/hyperlink" Target="https://go.zoniq.io/327w8yza" TargetMode="External"/><Relationship Id="rId455" Type="http://schemas.openxmlformats.org/officeDocument/2006/relationships/hyperlink" Target="https://go.zoniq.io/2p9bpwyu" TargetMode="External"/><Relationship Id="rId12" Type="http://schemas.openxmlformats.org/officeDocument/2006/relationships/hyperlink" Target="https://go.zoniq.io/2p8bax7j" TargetMode="External"/><Relationship Id="rId108" Type="http://schemas.openxmlformats.org/officeDocument/2006/relationships/hyperlink" Target="https://go.zoniq.io/26c6y29y" TargetMode="External"/><Relationship Id="rId315" Type="http://schemas.openxmlformats.org/officeDocument/2006/relationships/hyperlink" Target="https://go.zoniq.io/2e37wnmt" TargetMode="External"/><Relationship Id="rId522" Type="http://schemas.openxmlformats.org/officeDocument/2006/relationships/hyperlink" Target="https://go.zoniq.io/mvap3xnr" TargetMode="External"/><Relationship Id="rId96" Type="http://schemas.openxmlformats.org/officeDocument/2006/relationships/hyperlink" Target="https://go.zoniq.io/zvt6ufcf" TargetMode="External"/><Relationship Id="rId161" Type="http://schemas.openxmlformats.org/officeDocument/2006/relationships/hyperlink" Target="https://go.zoniq.io/5by9wn4h" TargetMode="External"/><Relationship Id="rId399" Type="http://schemas.openxmlformats.org/officeDocument/2006/relationships/hyperlink" Target="https://go.zoniq.io/bdhurene" TargetMode="External"/><Relationship Id="rId259" Type="http://schemas.openxmlformats.org/officeDocument/2006/relationships/hyperlink" Target="https://go.zoniq.io/2p26zyv3" TargetMode="External"/><Relationship Id="rId466" Type="http://schemas.openxmlformats.org/officeDocument/2006/relationships/hyperlink" Target="https://go.zoniq.io/msp9vrpy" TargetMode="External"/><Relationship Id="rId23" Type="http://schemas.openxmlformats.org/officeDocument/2006/relationships/hyperlink" Target="https://go.zoniq.io/mr3tc89u" TargetMode="External"/><Relationship Id="rId119" Type="http://schemas.openxmlformats.org/officeDocument/2006/relationships/hyperlink" Target="https://go.zoniq.io/yc364a59" TargetMode="External"/><Relationship Id="rId326" Type="http://schemas.openxmlformats.org/officeDocument/2006/relationships/hyperlink" Target="https://go.zoniq.io/26c6y29y" TargetMode="External"/><Relationship Id="rId533" Type="http://schemas.openxmlformats.org/officeDocument/2006/relationships/hyperlink" Target="https://go.zoniq.io/2p84d6ej" TargetMode="External"/><Relationship Id="rId172" Type="http://schemas.openxmlformats.org/officeDocument/2006/relationships/hyperlink" Target="https://go.zoniq.io/ya8ndktb" TargetMode="External"/><Relationship Id="rId477" Type="http://schemas.openxmlformats.org/officeDocument/2006/relationships/hyperlink" Target="https://go.zoniq.io/ycks47wk" TargetMode="External"/><Relationship Id="rId600" Type="http://schemas.openxmlformats.org/officeDocument/2006/relationships/hyperlink" Target="https://go.zoniq.io/2p9es8rt" TargetMode="External"/><Relationship Id="rId337" Type="http://schemas.openxmlformats.org/officeDocument/2006/relationships/hyperlink" Target="https://go.zoniq.io/4n62sy35" TargetMode="External"/><Relationship Id="rId34" Type="http://schemas.openxmlformats.org/officeDocument/2006/relationships/hyperlink" Target="https://go.zoniq.io/3u4yykus" TargetMode="External"/><Relationship Id="rId544" Type="http://schemas.openxmlformats.org/officeDocument/2006/relationships/hyperlink" Target="https://go.zoniq.io/y4cnz7bt" TargetMode="External"/><Relationship Id="rId183" Type="http://schemas.openxmlformats.org/officeDocument/2006/relationships/hyperlink" Target="https://go.zoniq.io/yc4m6r4b" TargetMode="External"/><Relationship Id="rId390" Type="http://schemas.openxmlformats.org/officeDocument/2006/relationships/hyperlink" Target="https://go.zoniq.io/2p88rcwu" TargetMode="External"/><Relationship Id="rId404" Type="http://schemas.openxmlformats.org/officeDocument/2006/relationships/hyperlink" Target="https://go.zoniq.io/yckme28p" TargetMode="External"/><Relationship Id="rId611" Type="http://schemas.openxmlformats.org/officeDocument/2006/relationships/hyperlink" Target="https://go.zoniq.io/ycktruan" TargetMode="External"/><Relationship Id="rId250" Type="http://schemas.openxmlformats.org/officeDocument/2006/relationships/hyperlink" Target="https://go.zoniq.io/mrt645cc" TargetMode="External"/><Relationship Id="rId488" Type="http://schemas.openxmlformats.org/officeDocument/2006/relationships/hyperlink" Target="https://go.zoniq.io/e4c4ythu" TargetMode="External"/><Relationship Id="rId45" Type="http://schemas.openxmlformats.org/officeDocument/2006/relationships/hyperlink" Target="https://go.zoniq.io/5n7txx77" TargetMode="External"/><Relationship Id="rId110" Type="http://schemas.openxmlformats.org/officeDocument/2006/relationships/hyperlink" Target="https://go.zoniq.io/4uehr8d5" TargetMode="External"/><Relationship Id="rId348" Type="http://schemas.openxmlformats.org/officeDocument/2006/relationships/hyperlink" Target="https://go.zoniq.io/yc4m6r4b" TargetMode="External"/><Relationship Id="rId555" Type="http://schemas.openxmlformats.org/officeDocument/2006/relationships/hyperlink" Target="https://go.zoniq.io/y74euw8f" TargetMode="External"/><Relationship Id="rId194" Type="http://schemas.openxmlformats.org/officeDocument/2006/relationships/hyperlink" Target="https://go.zoniq.io/mrt645cc" TargetMode="External"/><Relationship Id="rId208" Type="http://schemas.openxmlformats.org/officeDocument/2006/relationships/hyperlink" Target="https://go.zoniq.io/mwwpufed" TargetMode="External"/><Relationship Id="rId415" Type="http://schemas.openxmlformats.org/officeDocument/2006/relationships/hyperlink" Target="https://go.zoniq.io/2p85c3z9" TargetMode="External"/><Relationship Id="rId622" Type="http://schemas.openxmlformats.org/officeDocument/2006/relationships/hyperlink" Target="https://go.zoniq.io/4nfj9znu" TargetMode="External"/><Relationship Id="rId261" Type="http://schemas.openxmlformats.org/officeDocument/2006/relationships/hyperlink" Target="https://go.zoniq.io/yx7vn3u6" TargetMode="External"/><Relationship Id="rId499" Type="http://schemas.openxmlformats.org/officeDocument/2006/relationships/hyperlink" Target="https://go.zoniq.io/39yue7br" TargetMode="External"/><Relationship Id="rId56" Type="http://schemas.openxmlformats.org/officeDocument/2006/relationships/hyperlink" Target="https://go.zoniq.io/2p9yffpy" TargetMode="External"/><Relationship Id="rId359" Type="http://schemas.openxmlformats.org/officeDocument/2006/relationships/hyperlink" Target="https://go.zoniq.io/yc364a59" TargetMode="External"/><Relationship Id="rId566" Type="http://schemas.openxmlformats.org/officeDocument/2006/relationships/hyperlink" Target="https://go.zoniq.io/yet63yxt" TargetMode="External"/><Relationship Id="rId121" Type="http://schemas.openxmlformats.org/officeDocument/2006/relationships/hyperlink" Target="https://go.zoniq.io/ymxbxawe" TargetMode="External"/><Relationship Id="rId219" Type="http://schemas.openxmlformats.org/officeDocument/2006/relationships/hyperlink" Target="https://go.zoniq.io/ks86m228" TargetMode="External"/><Relationship Id="rId426" Type="http://schemas.openxmlformats.org/officeDocument/2006/relationships/hyperlink" Target="https://go.zoniq.io/yet63yxt" TargetMode="External"/><Relationship Id="rId633" Type="http://schemas.openxmlformats.org/officeDocument/2006/relationships/hyperlink" Target="https://go.zoniq.io/mvap3xnr" TargetMode="External"/><Relationship Id="rId67" Type="http://schemas.openxmlformats.org/officeDocument/2006/relationships/hyperlink" Target="https://go.zoniq.io/3wawtuf7" TargetMode="External"/><Relationship Id="rId272" Type="http://schemas.openxmlformats.org/officeDocument/2006/relationships/hyperlink" Target="https://go.zoniq.io/43yed2hp" TargetMode="External"/><Relationship Id="rId577" Type="http://schemas.openxmlformats.org/officeDocument/2006/relationships/hyperlink" Target="https://go.zoniq.io/ymxbxawe" TargetMode="External"/><Relationship Id="rId132" Type="http://schemas.openxmlformats.org/officeDocument/2006/relationships/hyperlink" Target="https://go.zoniq.io/2p8ptmr5" TargetMode="External"/><Relationship Id="rId437" Type="http://schemas.openxmlformats.org/officeDocument/2006/relationships/hyperlink" Target="https://go.zoniq.io/22p6vkdk" TargetMode="External"/><Relationship Id="rId644" Type="http://schemas.openxmlformats.org/officeDocument/2006/relationships/hyperlink" Target="https://go.zoniq.io/2p8m2bjw" TargetMode="External"/><Relationship Id="rId283" Type="http://schemas.openxmlformats.org/officeDocument/2006/relationships/hyperlink" Target="https://go.zoniq.io/4n62sy35" TargetMode="External"/><Relationship Id="rId490" Type="http://schemas.openxmlformats.org/officeDocument/2006/relationships/hyperlink" Target="https://go.zoniq.io/ycksr4we" TargetMode="External"/><Relationship Id="rId504" Type="http://schemas.openxmlformats.org/officeDocument/2006/relationships/hyperlink" Target="https://go.zoniq.io/ydknrth8" TargetMode="External"/><Relationship Id="rId78" Type="http://schemas.openxmlformats.org/officeDocument/2006/relationships/hyperlink" Target="https://go.zoniq.io/myjdzx98" TargetMode="External"/><Relationship Id="rId143" Type="http://schemas.openxmlformats.org/officeDocument/2006/relationships/hyperlink" Target="https://go.zoniq.io/ks86m228" TargetMode="External"/><Relationship Id="rId350" Type="http://schemas.openxmlformats.org/officeDocument/2006/relationships/hyperlink" Target="https://go.zoniq.io/327u3xh4" TargetMode="External"/><Relationship Id="rId588" Type="http://schemas.openxmlformats.org/officeDocument/2006/relationships/hyperlink" Target="https://go.zoniq.io/327u3xh4" TargetMode="External"/><Relationship Id="rId9" Type="http://schemas.openxmlformats.org/officeDocument/2006/relationships/hyperlink" Target="https://go.zoniq.io/mr3tc89u" TargetMode="External"/><Relationship Id="rId210" Type="http://schemas.openxmlformats.org/officeDocument/2006/relationships/hyperlink" Target="https://go.zoniq.io/uy8w99y8" TargetMode="External"/><Relationship Id="rId448" Type="http://schemas.openxmlformats.org/officeDocument/2006/relationships/hyperlink" Target="https://go.zoniq.io/2p8bax7j" TargetMode="External"/><Relationship Id="rId294" Type="http://schemas.openxmlformats.org/officeDocument/2006/relationships/hyperlink" Target="https://go.zoniq.io/mvap3xnr" TargetMode="External"/><Relationship Id="rId308" Type="http://schemas.openxmlformats.org/officeDocument/2006/relationships/hyperlink" Target="https://go.zoniq.io/mv7y2dfu" TargetMode="External"/><Relationship Id="rId515" Type="http://schemas.openxmlformats.org/officeDocument/2006/relationships/hyperlink" Target="https://go.zoniq.io/y4b3yvya" TargetMode="External"/><Relationship Id="rId89" Type="http://schemas.openxmlformats.org/officeDocument/2006/relationships/hyperlink" Target="https://go.zoniq.io/4ys879w4" TargetMode="External"/><Relationship Id="rId154" Type="http://schemas.openxmlformats.org/officeDocument/2006/relationships/hyperlink" Target="https://go.zoniq.io/2e37wnmt" TargetMode="External"/><Relationship Id="rId361" Type="http://schemas.openxmlformats.org/officeDocument/2006/relationships/hyperlink" Target="https://go.zoniq.io/2p93wr7b" TargetMode="External"/><Relationship Id="rId599" Type="http://schemas.openxmlformats.org/officeDocument/2006/relationships/hyperlink" Target="https://go.zoniq.io/98n363t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46"/>
  <sheetViews>
    <sheetView tabSelected="1" topLeftCell="C1" workbookViewId="0">
      <pane ySplit="1" topLeftCell="A2" activePane="bottomLeft" state="frozen"/>
      <selection pane="bottomLeft" activeCell="H2" sqref="H2:H646"/>
    </sheetView>
  </sheetViews>
  <sheetFormatPr baseColWidth="10" defaultColWidth="8.83203125" defaultRowHeight="15" x14ac:dyDescent="0.2"/>
  <cols>
    <col min="1" max="2" width="13" customWidth="1"/>
    <col min="3" max="3" width="28" customWidth="1"/>
    <col min="4" max="4" width="14" customWidth="1"/>
    <col min="5" max="5" width="84" customWidth="1"/>
    <col min="6" max="11" width="13" customWidth="1"/>
    <col min="12" max="12" width="13" style="4" customWidth="1"/>
    <col min="13" max="24" width="13" customWidth="1"/>
    <col min="25" max="25" width="29" customWidth="1"/>
    <col min="26" max="26" width="18" customWidth="1"/>
    <col min="27" max="27" width="19" customWidth="1"/>
    <col min="28" max="28" width="16" customWidth="1"/>
    <col min="29" max="29" width="23" customWidth="1"/>
    <col min="30" max="30" width="32" customWidth="1"/>
    <col min="31" max="66" width="13" customWidth="1"/>
    <col min="67" max="67" width="7" customWidth="1"/>
    <col min="68" max="68" width="12" customWidth="1"/>
    <col min="69" max="69" width="29" customWidth="1"/>
    <col min="70" max="70" width="22" customWidth="1"/>
    <col min="71" max="82" width="13" customWidth="1"/>
  </cols>
  <sheetData>
    <row r="1" spans="1:82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1305</v>
      </c>
      <c r="I1" s="1" t="s">
        <v>7</v>
      </c>
      <c r="J1" s="1" t="s">
        <v>1299</v>
      </c>
      <c r="K1" s="1" t="s">
        <v>8</v>
      </c>
      <c r="L1" s="5" t="s">
        <v>1300</v>
      </c>
      <c r="M1" s="1" t="s">
        <v>9</v>
      </c>
      <c r="N1" s="1" t="s">
        <v>1301</v>
      </c>
      <c r="O1" s="1" t="s">
        <v>10</v>
      </c>
      <c r="P1" s="1" t="s">
        <v>1302</v>
      </c>
      <c r="Q1" s="1" t="s">
        <v>1303</v>
      </c>
      <c r="R1" s="1" t="s">
        <v>1304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</row>
    <row r="2" spans="1:82" ht="16" x14ac:dyDescent="0.2">
      <c r="A2" t="s">
        <v>75</v>
      </c>
      <c r="B2" t="s">
        <v>76</v>
      </c>
      <c r="C2" t="s">
        <v>77</v>
      </c>
      <c r="D2" t="s">
        <v>78</v>
      </c>
      <c r="E2" t="s">
        <v>79</v>
      </c>
      <c r="F2">
        <v>6</v>
      </c>
      <c r="G2">
        <v>300</v>
      </c>
      <c r="H2" t="str">
        <f>F2&amp;"x"&amp;G2</f>
        <v>6x300</v>
      </c>
      <c r="I2">
        <v>953</v>
      </c>
      <c r="J2" s="4">
        <f>IF($G2=300,I2/75/$F2/24,IF($G2=150,I2/65/$F2/24,I2/40/$F2/24))</f>
        <v>8.8240740740740745E-2</v>
      </c>
      <c r="K2">
        <v>1439</v>
      </c>
      <c r="L2" s="4">
        <f>IF($G2=300,K2/75/$F2/24,IF($G2=150,K2/65/$F2/24,K2/40/$F2/24))</f>
        <v>0.13324074074074074</v>
      </c>
      <c r="M2">
        <v>2183</v>
      </c>
      <c r="N2" s="4">
        <f>IF($G2=300,M2/75/$F2/24,IF($G2=150,M2/65/$F2/24,M2/40/$F2/24))</f>
        <v>0.20212962962962963</v>
      </c>
      <c r="O2">
        <v>4356</v>
      </c>
      <c r="P2" s="4">
        <f>IF($G2=300,O2/75/$F2/24,IF($G2=150,O2/65/$F2/24,O2/40/$F2/24))</f>
        <v>0.40333333333333332</v>
      </c>
      <c r="Q2" s="6">
        <f t="shared" ref="Q2:Q65" si="0">IF(J2&gt;=0.13,2026,IF(L2&gt;=0.14,2027,IF(N2&gt;=0.14,2030,IF(P2&gt;=0.14,2035,"later"))))</f>
        <v>2030</v>
      </c>
      <c r="R2" s="6">
        <f>IF(Q2=2026,1,IF(Q2=2027,2,IF(Q2=2030,3,IF(Q2=2035,4,666))))</f>
        <v>3</v>
      </c>
      <c r="S2">
        <v>304</v>
      </c>
      <c r="T2">
        <v>210</v>
      </c>
      <c r="U2">
        <v>430</v>
      </c>
      <c r="V2">
        <v>-62</v>
      </c>
      <c r="W2">
        <v>10</v>
      </c>
      <c r="X2">
        <v>104</v>
      </c>
      <c r="Y2" s="2" t="s">
        <v>80</v>
      </c>
      <c r="Z2">
        <v>41.845640000000003</v>
      </c>
      <c r="AA2">
        <v>12.45519</v>
      </c>
      <c r="AB2" t="s">
        <v>78</v>
      </c>
      <c r="AC2" t="s">
        <v>81</v>
      </c>
      <c r="AD2" t="s">
        <v>82</v>
      </c>
      <c r="AE2">
        <v>100705</v>
      </c>
      <c r="AF2">
        <v>0</v>
      </c>
      <c r="AG2">
        <v>0</v>
      </c>
      <c r="AH2">
        <v>74554</v>
      </c>
      <c r="AI2">
        <v>26151</v>
      </c>
      <c r="AJ2">
        <v>0</v>
      </c>
      <c r="AK2">
        <v>0</v>
      </c>
      <c r="AL2">
        <v>28817</v>
      </c>
      <c r="AM2">
        <v>98100</v>
      </c>
      <c r="AN2">
        <v>496116</v>
      </c>
      <c r="AO2">
        <v>1471161</v>
      </c>
      <c r="AP2">
        <v>2</v>
      </c>
      <c r="AQ2">
        <v>1</v>
      </c>
      <c r="AR2">
        <v>8</v>
      </c>
      <c r="AS2">
        <v>11</v>
      </c>
      <c r="AT2">
        <v>2</v>
      </c>
      <c r="AU2">
        <v>32</v>
      </c>
      <c r="AV2">
        <v>4</v>
      </c>
      <c r="AW2">
        <v>0</v>
      </c>
      <c r="AX2">
        <v>0</v>
      </c>
      <c r="AY2">
        <v>0</v>
      </c>
      <c r="AZ2">
        <v>0</v>
      </c>
      <c r="BA2">
        <v>26</v>
      </c>
      <c r="BB2">
        <v>125</v>
      </c>
      <c r="BC2">
        <v>12</v>
      </c>
      <c r="BD2">
        <v>4</v>
      </c>
      <c r="BE2">
        <v>0</v>
      </c>
      <c r="BF2">
        <v>6</v>
      </c>
      <c r="BG2">
        <v>0</v>
      </c>
      <c r="BH2">
        <v>18</v>
      </c>
      <c r="BI2">
        <v>0</v>
      </c>
      <c r="BJ2">
        <v>41.845581600000003</v>
      </c>
      <c r="BK2">
        <v>12.4555323</v>
      </c>
      <c r="BL2">
        <v>1800</v>
      </c>
      <c r="BM2" t="s">
        <v>83</v>
      </c>
      <c r="BN2" t="s">
        <v>84</v>
      </c>
      <c r="BO2" t="s">
        <v>85</v>
      </c>
      <c r="BP2" t="s">
        <v>86</v>
      </c>
      <c r="BQ2" t="s">
        <v>87</v>
      </c>
      <c r="BR2" t="s">
        <v>88</v>
      </c>
      <c r="BS2">
        <v>2396992</v>
      </c>
      <c r="BT2">
        <v>0</v>
      </c>
      <c r="BU2">
        <v>0</v>
      </c>
      <c r="BV2">
        <v>1717057</v>
      </c>
      <c r="BW2">
        <v>679935</v>
      </c>
      <c r="BX2">
        <v>0</v>
      </c>
      <c r="BY2">
        <v>0</v>
      </c>
      <c r="BZ2">
        <v>1</v>
      </c>
      <c r="CA2" t="s">
        <v>89</v>
      </c>
      <c r="CB2" t="s">
        <v>90</v>
      </c>
      <c r="CC2" s="3">
        <v>46092.557106481479</v>
      </c>
      <c r="CD2" t="s">
        <v>91</v>
      </c>
    </row>
    <row r="3" spans="1:82" ht="16" x14ac:dyDescent="0.2">
      <c r="A3" t="s">
        <v>92</v>
      </c>
      <c r="B3" t="s">
        <v>93</v>
      </c>
      <c r="C3" t="s">
        <v>94</v>
      </c>
      <c r="D3" t="s">
        <v>78</v>
      </c>
      <c r="E3" t="s">
        <v>95</v>
      </c>
      <c r="F3">
        <v>6</v>
      </c>
      <c r="G3">
        <v>300</v>
      </c>
      <c r="H3" t="str">
        <f t="shared" ref="H3:H66" si="1">F3&amp;"x"&amp;G3</f>
        <v>6x300</v>
      </c>
      <c r="I3">
        <v>947</v>
      </c>
      <c r="J3" s="4">
        <f t="shared" ref="J3:J66" si="2">IF($G3=300,I3/75/$F3/24,IF($G3=150,I3/65/$F3/24,I3/40/$F3/24))</f>
        <v>8.7685185185185185E-2</v>
      </c>
      <c r="K3">
        <v>1431</v>
      </c>
      <c r="L3" s="4">
        <f t="shared" ref="L3:L66" si="3">IF($G3=300,K3/75/$F3/24,IF($G3=150,K3/65/$F3/24,K3/40/$F3/24))</f>
        <v>0.13249999999999998</v>
      </c>
      <c r="M3">
        <v>2170</v>
      </c>
      <c r="N3" s="4">
        <f t="shared" ref="N3:N66" si="4">IF($G3=300,M3/75/$F3/24,IF($G3=150,M3/65/$F3/24,M3/40/$F3/24))</f>
        <v>0.20092592592592592</v>
      </c>
      <c r="O3">
        <v>4330</v>
      </c>
      <c r="P3" s="4">
        <f t="shared" ref="P3:P66" si="5">IF($G3=300,O3/75/$F3/24,IF($G3=150,O3/65/$F3/24,O3/40/$F3/24))</f>
        <v>0.40092592592592591</v>
      </c>
      <c r="Q3" s="6">
        <f t="shared" si="0"/>
        <v>2030</v>
      </c>
      <c r="R3" s="6">
        <f t="shared" ref="R3:R66" si="6">IF(Q3=2026,1,IF(Q3=2027,2,IF(Q3=2030,3,IF(Q3=2035,4,666))))</f>
        <v>3</v>
      </c>
      <c r="S3">
        <v>304</v>
      </c>
      <c r="T3">
        <v>208</v>
      </c>
      <c r="U3">
        <v>369</v>
      </c>
      <c r="V3">
        <v>-11</v>
      </c>
      <c r="W3">
        <v>7</v>
      </c>
      <c r="X3">
        <v>119</v>
      </c>
      <c r="Y3" s="2" t="s">
        <v>96</v>
      </c>
      <c r="Z3">
        <v>40.896721239999998</v>
      </c>
      <c r="AA3">
        <v>14.3147612</v>
      </c>
      <c r="AB3" t="s">
        <v>78</v>
      </c>
      <c r="AC3" t="s">
        <v>81</v>
      </c>
      <c r="AD3" t="s">
        <v>82</v>
      </c>
      <c r="AE3">
        <v>174151</v>
      </c>
      <c r="AF3">
        <v>73019</v>
      </c>
      <c r="AG3">
        <v>0</v>
      </c>
      <c r="AH3">
        <v>34253</v>
      </c>
      <c r="AI3">
        <v>38783</v>
      </c>
      <c r="AJ3">
        <v>28096</v>
      </c>
      <c r="AK3">
        <v>0</v>
      </c>
      <c r="AL3">
        <v>6507</v>
      </c>
      <c r="AM3">
        <v>39527</v>
      </c>
      <c r="AN3">
        <v>428090</v>
      </c>
      <c r="AO3">
        <v>1634812</v>
      </c>
      <c r="AP3">
        <v>0</v>
      </c>
      <c r="AQ3">
        <v>0</v>
      </c>
      <c r="AR3">
        <v>6</v>
      </c>
      <c r="AS3">
        <v>17</v>
      </c>
      <c r="AT3">
        <v>0</v>
      </c>
      <c r="AU3">
        <v>28</v>
      </c>
      <c r="AV3">
        <v>2</v>
      </c>
      <c r="AW3">
        <v>2</v>
      </c>
      <c r="AX3">
        <v>1</v>
      </c>
      <c r="AY3">
        <v>0</v>
      </c>
      <c r="AZ3">
        <v>2</v>
      </c>
      <c r="BA3">
        <v>9</v>
      </c>
      <c r="BB3">
        <v>25</v>
      </c>
      <c r="BC3">
        <v>3</v>
      </c>
      <c r="BD3">
        <v>2</v>
      </c>
      <c r="BE3">
        <v>0</v>
      </c>
      <c r="BF3">
        <v>5</v>
      </c>
      <c r="BG3">
        <v>0</v>
      </c>
      <c r="BH3">
        <v>13</v>
      </c>
      <c r="BI3">
        <v>4</v>
      </c>
      <c r="BJ3">
        <v>40.8967223</v>
      </c>
      <c r="BK3">
        <v>14.314826699999999</v>
      </c>
      <c r="BL3">
        <v>1800</v>
      </c>
      <c r="BM3" t="s">
        <v>83</v>
      </c>
      <c r="BN3" t="s">
        <v>84</v>
      </c>
      <c r="BO3" t="s">
        <v>85</v>
      </c>
      <c r="BP3" t="s">
        <v>97</v>
      </c>
      <c r="BQ3" t="s">
        <v>98</v>
      </c>
      <c r="BR3" t="s">
        <v>99</v>
      </c>
      <c r="BS3">
        <v>3995417</v>
      </c>
      <c r="BT3">
        <v>1972656</v>
      </c>
      <c r="BU3">
        <v>0</v>
      </c>
      <c r="BV3">
        <v>685094</v>
      </c>
      <c r="BW3">
        <v>775688</v>
      </c>
      <c r="BX3">
        <v>561979</v>
      </c>
      <c r="BY3">
        <v>0</v>
      </c>
      <c r="BZ3">
        <v>1</v>
      </c>
      <c r="CA3" t="s">
        <v>100</v>
      </c>
      <c r="CB3" t="s">
        <v>101</v>
      </c>
      <c r="CC3" s="3">
        <v>46092.557106481479</v>
      </c>
      <c r="CD3" t="s">
        <v>91</v>
      </c>
    </row>
    <row r="4" spans="1:82" ht="16" x14ac:dyDescent="0.2">
      <c r="A4" t="s">
        <v>102</v>
      </c>
      <c r="B4" t="s">
        <v>103</v>
      </c>
      <c r="C4" t="s">
        <v>104</v>
      </c>
      <c r="D4" t="s">
        <v>78</v>
      </c>
      <c r="E4" t="s">
        <v>105</v>
      </c>
      <c r="F4">
        <v>6</v>
      </c>
      <c r="G4">
        <v>300</v>
      </c>
      <c r="H4" t="str">
        <f t="shared" si="1"/>
        <v>6x300</v>
      </c>
      <c r="I4">
        <v>894</v>
      </c>
      <c r="J4" s="4">
        <f t="shared" si="2"/>
        <v>8.277777777777777E-2</v>
      </c>
      <c r="K4">
        <v>1350</v>
      </c>
      <c r="L4" s="4">
        <f t="shared" si="3"/>
        <v>0.125</v>
      </c>
      <c r="M4">
        <v>2048</v>
      </c>
      <c r="N4" s="4">
        <f t="shared" si="4"/>
        <v>0.18962962962962962</v>
      </c>
      <c r="O4">
        <v>4086</v>
      </c>
      <c r="P4" s="4">
        <f t="shared" si="5"/>
        <v>0.37833333333333335</v>
      </c>
      <c r="Q4" s="6">
        <f t="shared" si="0"/>
        <v>2030</v>
      </c>
      <c r="R4" s="6">
        <f t="shared" si="6"/>
        <v>3</v>
      </c>
      <c r="S4">
        <v>304</v>
      </c>
      <c r="T4">
        <v>420</v>
      </c>
      <c r="U4">
        <v>-8</v>
      </c>
      <c r="V4">
        <v>-18</v>
      </c>
      <c r="W4">
        <v>109</v>
      </c>
      <c r="X4">
        <v>149</v>
      </c>
      <c r="Y4" s="2" t="s">
        <v>106</v>
      </c>
      <c r="Z4">
        <v>45.391072917237899</v>
      </c>
      <c r="AA4">
        <v>9.2583023742203796</v>
      </c>
      <c r="AB4" t="s">
        <v>78</v>
      </c>
      <c r="AC4" t="s">
        <v>81</v>
      </c>
      <c r="AD4" t="s">
        <v>82</v>
      </c>
      <c r="AE4">
        <v>253575</v>
      </c>
      <c r="AF4">
        <v>206515</v>
      </c>
      <c r="AG4">
        <v>0</v>
      </c>
      <c r="AH4">
        <v>18444</v>
      </c>
      <c r="AI4">
        <v>0</v>
      </c>
      <c r="AJ4">
        <v>27264</v>
      </c>
      <c r="AK4">
        <v>1352</v>
      </c>
      <c r="AL4">
        <v>2181</v>
      </c>
      <c r="AM4">
        <v>18962</v>
      </c>
      <c r="AN4">
        <v>105149</v>
      </c>
      <c r="AO4">
        <v>693672</v>
      </c>
      <c r="AP4">
        <v>0</v>
      </c>
      <c r="AQ4">
        <v>0</v>
      </c>
      <c r="AR4">
        <v>1</v>
      </c>
      <c r="AS4">
        <v>2</v>
      </c>
      <c r="AT4">
        <v>2</v>
      </c>
      <c r="AU4">
        <v>11</v>
      </c>
      <c r="AV4">
        <v>0</v>
      </c>
      <c r="AW4">
        <v>1</v>
      </c>
      <c r="AX4">
        <v>0</v>
      </c>
      <c r="AY4">
        <v>0</v>
      </c>
      <c r="AZ4">
        <v>1</v>
      </c>
      <c r="BA4">
        <v>18</v>
      </c>
      <c r="BB4">
        <v>32</v>
      </c>
      <c r="BC4">
        <v>9</v>
      </c>
      <c r="BD4">
        <v>2</v>
      </c>
      <c r="BE4">
        <v>16</v>
      </c>
      <c r="BF4">
        <v>4</v>
      </c>
      <c r="BG4">
        <v>16</v>
      </c>
      <c r="BH4">
        <v>4</v>
      </c>
      <c r="BI4">
        <v>16</v>
      </c>
      <c r="BJ4">
        <v>45.3910999</v>
      </c>
      <c r="BK4">
        <v>9.2583499000000007</v>
      </c>
      <c r="BL4">
        <v>1800</v>
      </c>
      <c r="BM4" t="s">
        <v>83</v>
      </c>
      <c r="BN4" t="s">
        <v>84</v>
      </c>
      <c r="BO4" t="s">
        <v>85</v>
      </c>
      <c r="BP4" t="s">
        <v>107</v>
      </c>
      <c r="BQ4" t="s">
        <v>108</v>
      </c>
      <c r="BR4" t="s">
        <v>109</v>
      </c>
      <c r="BS4">
        <v>5349455</v>
      </c>
      <c r="BT4">
        <v>4473679</v>
      </c>
      <c r="BU4">
        <v>0</v>
      </c>
      <c r="BV4">
        <v>368881</v>
      </c>
      <c r="BW4">
        <v>0</v>
      </c>
      <c r="BX4">
        <v>479842</v>
      </c>
      <c r="BY4">
        <v>27053</v>
      </c>
      <c r="BZ4">
        <v>1</v>
      </c>
      <c r="CA4" t="s">
        <v>110</v>
      </c>
      <c r="CB4" t="s">
        <v>111</v>
      </c>
      <c r="CC4" s="3">
        <v>46092.557106481479</v>
      </c>
      <c r="CD4" t="s">
        <v>91</v>
      </c>
    </row>
    <row r="5" spans="1:82" ht="16" x14ac:dyDescent="0.2">
      <c r="A5" t="s">
        <v>112</v>
      </c>
      <c r="B5" t="s">
        <v>113</v>
      </c>
      <c r="C5" t="s">
        <v>114</v>
      </c>
      <c r="D5" t="s">
        <v>78</v>
      </c>
      <c r="E5" t="s">
        <v>115</v>
      </c>
      <c r="F5">
        <v>6</v>
      </c>
      <c r="G5">
        <v>300</v>
      </c>
      <c r="H5" t="str">
        <f t="shared" si="1"/>
        <v>6x300</v>
      </c>
      <c r="I5">
        <v>826</v>
      </c>
      <c r="J5" s="4">
        <f t="shared" si="2"/>
        <v>7.6481481481481484E-2</v>
      </c>
      <c r="K5">
        <v>1247</v>
      </c>
      <c r="L5" s="4">
        <f t="shared" si="3"/>
        <v>0.11546296296296295</v>
      </c>
      <c r="M5">
        <v>1891</v>
      </c>
      <c r="N5" s="4">
        <f t="shared" si="4"/>
        <v>0.17509259259259261</v>
      </c>
      <c r="O5">
        <v>3775</v>
      </c>
      <c r="P5" s="4">
        <f t="shared" si="5"/>
        <v>0.34953703703703703</v>
      </c>
      <c r="Q5" s="6">
        <f t="shared" si="0"/>
        <v>2030</v>
      </c>
      <c r="R5" s="6">
        <f t="shared" si="6"/>
        <v>3</v>
      </c>
      <c r="S5">
        <v>304</v>
      </c>
      <c r="T5">
        <v>80</v>
      </c>
      <c r="U5">
        <v>426</v>
      </c>
      <c r="V5">
        <v>21</v>
      </c>
      <c r="W5">
        <v>-58</v>
      </c>
      <c r="X5">
        <v>88</v>
      </c>
      <c r="Y5" s="2" t="s">
        <v>116</v>
      </c>
      <c r="Z5">
        <v>41.928870099999997</v>
      </c>
      <c r="AA5">
        <v>12.4264882</v>
      </c>
      <c r="AB5" t="s">
        <v>78</v>
      </c>
      <c r="AC5" t="s">
        <v>81</v>
      </c>
      <c r="AD5" t="s">
        <v>82</v>
      </c>
      <c r="AE5">
        <v>71743</v>
      </c>
      <c r="AF5">
        <v>0</v>
      </c>
      <c r="AG5">
        <v>0</v>
      </c>
      <c r="AH5">
        <v>0</v>
      </c>
      <c r="AI5">
        <v>11849</v>
      </c>
      <c r="AJ5">
        <v>43407</v>
      </c>
      <c r="AK5">
        <v>16487</v>
      </c>
      <c r="AL5">
        <v>28995</v>
      </c>
      <c r="AM5">
        <v>101869</v>
      </c>
      <c r="AN5">
        <v>455657</v>
      </c>
      <c r="AO5">
        <v>1386162</v>
      </c>
      <c r="AP5">
        <v>1</v>
      </c>
      <c r="AQ5">
        <v>0</v>
      </c>
      <c r="AR5">
        <v>11</v>
      </c>
      <c r="AS5">
        <v>7</v>
      </c>
      <c r="AT5">
        <v>2</v>
      </c>
      <c r="AU5">
        <v>21</v>
      </c>
      <c r="AV5">
        <v>12</v>
      </c>
      <c r="AW5">
        <v>0</v>
      </c>
      <c r="AX5">
        <v>4</v>
      </c>
      <c r="AY5">
        <v>1</v>
      </c>
      <c r="AZ5">
        <v>1</v>
      </c>
      <c r="BA5">
        <v>6</v>
      </c>
      <c r="BB5">
        <v>51</v>
      </c>
      <c r="BC5">
        <v>6</v>
      </c>
      <c r="BD5">
        <v>0</v>
      </c>
      <c r="BE5">
        <v>0</v>
      </c>
      <c r="BF5">
        <v>0</v>
      </c>
      <c r="BG5">
        <v>0</v>
      </c>
      <c r="BH5">
        <v>6</v>
      </c>
      <c r="BI5">
        <v>0</v>
      </c>
      <c r="BJ5">
        <v>41.9288715</v>
      </c>
      <c r="BK5">
        <v>12.426523100000001</v>
      </c>
      <c r="BL5">
        <v>1800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>
        <v>1434968</v>
      </c>
      <c r="BT5">
        <v>0</v>
      </c>
      <c r="BU5">
        <v>0</v>
      </c>
      <c r="BV5">
        <v>0</v>
      </c>
      <c r="BW5">
        <v>236994</v>
      </c>
      <c r="BX5">
        <v>868208</v>
      </c>
      <c r="BY5">
        <v>329766</v>
      </c>
      <c r="BZ5">
        <v>1</v>
      </c>
      <c r="CA5" t="s">
        <v>117</v>
      </c>
      <c r="CB5" t="s">
        <v>118</v>
      </c>
      <c r="CC5" s="3">
        <v>46092.557106481479</v>
      </c>
      <c r="CD5" t="s">
        <v>91</v>
      </c>
    </row>
    <row r="6" spans="1:82" ht="16" x14ac:dyDescent="0.2">
      <c r="A6" t="s">
        <v>119</v>
      </c>
      <c r="B6" t="s">
        <v>120</v>
      </c>
      <c r="C6" t="s">
        <v>121</v>
      </c>
      <c r="D6" t="s">
        <v>78</v>
      </c>
      <c r="E6" t="s">
        <v>122</v>
      </c>
      <c r="F6">
        <v>6</v>
      </c>
      <c r="G6">
        <v>300</v>
      </c>
      <c r="H6" t="str">
        <f t="shared" si="1"/>
        <v>6x300</v>
      </c>
      <c r="I6">
        <v>812</v>
      </c>
      <c r="J6" s="4">
        <f t="shared" si="2"/>
        <v>7.5185185185185174E-2</v>
      </c>
      <c r="K6">
        <v>1226</v>
      </c>
      <c r="L6" s="4">
        <f t="shared" si="3"/>
        <v>0.11351851851851852</v>
      </c>
      <c r="M6">
        <v>1860</v>
      </c>
      <c r="N6" s="4">
        <f t="shared" si="4"/>
        <v>0.17222222222222225</v>
      </c>
      <c r="O6">
        <v>3711</v>
      </c>
      <c r="P6" s="4">
        <f t="shared" si="5"/>
        <v>0.34361111111111109</v>
      </c>
      <c r="Q6" s="6">
        <f t="shared" si="0"/>
        <v>2030</v>
      </c>
      <c r="R6" s="6">
        <f t="shared" si="6"/>
        <v>3</v>
      </c>
      <c r="S6">
        <v>304</v>
      </c>
      <c r="T6">
        <v>437</v>
      </c>
      <c r="U6">
        <v>0</v>
      </c>
      <c r="V6">
        <v>-5</v>
      </c>
      <c r="W6">
        <v>-21</v>
      </c>
      <c r="X6">
        <v>176</v>
      </c>
      <c r="Y6" s="2" t="s">
        <v>123</v>
      </c>
      <c r="Z6">
        <v>45.600717259890203</v>
      </c>
      <c r="AA6">
        <v>8.9451213134946101</v>
      </c>
      <c r="AB6" t="s">
        <v>78</v>
      </c>
      <c r="AC6" t="s">
        <v>81</v>
      </c>
      <c r="AD6" t="s">
        <v>82</v>
      </c>
      <c r="AE6">
        <v>252942</v>
      </c>
      <c r="AF6">
        <v>157355</v>
      </c>
      <c r="AG6">
        <v>0</v>
      </c>
      <c r="AH6">
        <v>57281</v>
      </c>
      <c r="AI6">
        <v>20959</v>
      </c>
      <c r="AJ6">
        <v>11524</v>
      </c>
      <c r="AK6">
        <v>5823</v>
      </c>
      <c r="AL6">
        <v>8622</v>
      </c>
      <c r="AM6">
        <v>36627</v>
      </c>
      <c r="AN6">
        <v>161039</v>
      </c>
      <c r="AO6">
        <v>539952</v>
      </c>
      <c r="AP6">
        <v>1</v>
      </c>
      <c r="AQ6">
        <v>0</v>
      </c>
      <c r="AR6">
        <v>8</v>
      </c>
      <c r="AS6">
        <v>3</v>
      </c>
      <c r="AT6">
        <v>1</v>
      </c>
      <c r="AU6">
        <v>29</v>
      </c>
      <c r="AV6">
        <v>2</v>
      </c>
      <c r="AW6">
        <v>2</v>
      </c>
      <c r="AX6">
        <v>2</v>
      </c>
      <c r="AY6">
        <v>0</v>
      </c>
      <c r="AZ6">
        <v>0</v>
      </c>
      <c r="BA6">
        <v>1</v>
      </c>
      <c r="BB6">
        <v>9</v>
      </c>
      <c r="BC6">
        <v>1</v>
      </c>
      <c r="BD6">
        <v>4</v>
      </c>
      <c r="BE6">
        <v>0</v>
      </c>
      <c r="BF6">
        <v>4</v>
      </c>
      <c r="BG6">
        <v>0</v>
      </c>
      <c r="BH6">
        <v>13</v>
      </c>
      <c r="BI6">
        <v>0</v>
      </c>
      <c r="BJ6">
        <v>45.600919900000001</v>
      </c>
      <c r="BK6">
        <v>8.9449299</v>
      </c>
      <c r="BL6">
        <v>1800</v>
      </c>
      <c r="BM6" t="s">
        <v>83</v>
      </c>
      <c r="BN6" t="s">
        <v>84</v>
      </c>
      <c r="BO6" t="s">
        <v>85</v>
      </c>
      <c r="BP6" t="s">
        <v>107</v>
      </c>
      <c r="BQ6" t="s">
        <v>108</v>
      </c>
      <c r="BR6" t="s">
        <v>109</v>
      </c>
      <c r="BS6">
        <v>6789902</v>
      </c>
      <c r="BT6">
        <v>4878027</v>
      </c>
      <c r="BU6">
        <v>0</v>
      </c>
      <c r="BV6">
        <v>1145646</v>
      </c>
      <c r="BW6">
        <v>419196</v>
      </c>
      <c r="BX6">
        <v>230560</v>
      </c>
      <c r="BY6">
        <v>116473</v>
      </c>
      <c r="BZ6">
        <v>1</v>
      </c>
      <c r="CA6" t="s">
        <v>124</v>
      </c>
      <c r="CB6" t="s">
        <v>125</v>
      </c>
      <c r="CC6" s="3">
        <v>46092.557106481479</v>
      </c>
      <c r="CD6" t="s">
        <v>91</v>
      </c>
    </row>
    <row r="7" spans="1:82" ht="16" x14ac:dyDescent="0.2">
      <c r="A7" t="s">
        <v>126</v>
      </c>
      <c r="B7" t="s">
        <v>127</v>
      </c>
      <c r="C7" t="s">
        <v>128</v>
      </c>
      <c r="D7" t="s">
        <v>78</v>
      </c>
      <c r="E7" t="s">
        <v>129</v>
      </c>
      <c r="F7">
        <v>6</v>
      </c>
      <c r="G7">
        <v>300</v>
      </c>
      <c r="H7" t="str">
        <f t="shared" si="1"/>
        <v>6x300</v>
      </c>
      <c r="I7">
        <v>809</v>
      </c>
      <c r="J7" s="4">
        <f t="shared" si="2"/>
        <v>7.4907407407407409E-2</v>
      </c>
      <c r="K7">
        <v>1221</v>
      </c>
      <c r="L7" s="4">
        <f t="shared" si="3"/>
        <v>0.11305555555555556</v>
      </c>
      <c r="M7">
        <v>1852</v>
      </c>
      <c r="N7" s="4">
        <f t="shared" si="4"/>
        <v>0.17148148148148146</v>
      </c>
      <c r="O7">
        <v>3695</v>
      </c>
      <c r="P7" s="4">
        <f t="shared" si="5"/>
        <v>0.34212962962962962</v>
      </c>
      <c r="Q7" s="6">
        <f t="shared" si="0"/>
        <v>2030</v>
      </c>
      <c r="R7" s="6">
        <f t="shared" si="6"/>
        <v>3</v>
      </c>
      <c r="S7">
        <v>304</v>
      </c>
      <c r="T7">
        <v>82</v>
      </c>
      <c r="U7">
        <v>389</v>
      </c>
      <c r="V7">
        <v>-25</v>
      </c>
      <c r="W7">
        <v>4</v>
      </c>
      <c r="X7">
        <v>86</v>
      </c>
      <c r="Y7" s="2" t="s">
        <v>130</v>
      </c>
      <c r="Z7">
        <v>41.894616236880303</v>
      </c>
      <c r="AA7">
        <v>12.5923887897992</v>
      </c>
      <c r="AB7" t="s">
        <v>78</v>
      </c>
      <c r="AC7" t="s">
        <v>81</v>
      </c>
      <c r="AD7" t="s">
        <v>82</v>
      </c>
      <c r="AE7">
        <v>84466</v>
      </c>
      <c r="AF7">
        <v>0</v>
      </c>
      <c r="AG7">
        <v>0</v>
      </c>
      <c r="AH7">
        <v>0</v>
      </c>
      <c r="AI7">
        <v>0</v>
      </c>
      <c r="AJ7">
        <v>70217</v>
      </c>
      <c r="AK7">
        <v>14249</v>
      </c>
      <c r="AL7">
        <v>13480</v>
      </c>
      <c r="AM7">
        <v>57905</v>
      </c>
      <c r="AN7">
        <v>533259</v>
      </c>
      <c r="AO7">
        <v>1504552</v>
      </c>
      <c r="AP7">
        <v>0</v>
      </c>
      <c r="AQ7">
        <v>0</v>
      </c>
      <c r="AR7">
        <v>5</v>
      </c>
      <c r="AS7">
        <v>15</v>
      </c>
      <c r="AT7">
        <v>3</v>
      </c>
      <c r="AU7">
        <v>35</v>
      </c>
      <c r="AV7">
        <v>0</v>
      </c>
      <c r="AW7">
        <v>0</v>
      </c>
      <c r="AX7">
        <v>0</v>
      </c>
      <c r="AY7">
        <v>0</v>
      </c>
      <c r="AZ7">
        <v>0</v>
      </c>
      <c r="BA7">
        <v>5</v>
      </c>
      <c r="BB7">
        <v>64</v>
      </c>
      <c r="BC7">
        <v>3</v>
      </c>
      <c r="BD7">
        <v>2</v>
      </c>
      <c r="BE7">
        <v>0</v>
      </c>
      <c r="BF7">
        <v>2</v>
      </c>
      <c r="BG7">
        <v>0</v>
      </c>
      <c r="BH7">
        <v>10</v>
      </c>
      <c r="BI7">
        <v>2</v>
      </c>
      <c r="BJ7">
        <v>41.894601000000002</v>
      </c>
      <c r="BK7">
        <v>12.5922201</v>
      </c>
      <c r="BL7">
        <v>1800</v>
      </c>
      <c r="BM7" t="s">
        <v>83</v>
      </c>
      <c r="BN7" t="s">
        <v>84</v>
      </c>
      <c r="BO7" t="s">
        <v>85</v>
      </c>
      <c r="BP7" t="s">
        <v>86</v>
      </c>
      <c r="BQ7" t="s">
        <v>87</v>
      </c>
      <c r="BR7" t="s">
        <v>88</v>
      </c>
      <c r="BS7">
        <v>1689420</v>
      </c>
      <c r="BT7">
        <v>0</v>
      </c>
      <c r="BU7">
        <v>0</v>
      </c>
      <c r="BV7">
        <v>0</v>
      </c>
      <c r="BW7">
        <v>0</v>
      </c>
      <c r="BX7">
        <v>1404423</v>
      </c>
      <c r="BY7">
        <v>284997</v>
      </c>
      <c r="BZ7">
        <v>1</v>
      </c>
      <c r="CA7" t="s">
        <v>131</v>
      </c>
      <c r="CB7" t="s">
        <v>132</v>
      </c>
      <c r="CC7" s="3">
        <v>46092.557106481479</v>
      </c>
      <c r="CD7" t="s">
        <v>91</v>
      </c>
    </row>
    <row r="8" spans="1:82" ht="16" x14ac:dyDescent="0.2">
      <c r="A8" t="s">
        <v>133</v>
      </c>
      <c r="B8" t="s">
        <v>134</v>
      </c>
      <c r="C8" t="s">
        <v>135</v>
      </c>
      <c r="D8" t="s">
        <v>78</v>
      </c>
      <c r="E8" t="s">
        <v>136</v>
      </c>
      <c r="F8">
        <v>6</v>
      </c>
      <c r="G8">
        <v>300</v>
      </c>
      <c r="H8" t="str">
        <f t="shared" si="1"/>
        <v>6x300</v>
      </c>
      <c r="I8">
        <v>805</v>
      </c>
      <c r="J8" s="4">
        <f t="shared" si="2"/>
        <v>7.4537037037037027E-2</v>
      </c>
      <c r="K8">
        <v>1216</v>
      </c>
      <c r="L8" s="4">
        <f t="shared" si="3"/>
        <v>0.11259259259259259</v>
      </c>
      <c r="M8">
        <v>1844</v>
      </c>
      <c r="N8" s="4">
        <f t="shared" si="4"/>
        <v>0.17074074074074075</v>
      </c>
      <c r="O8">
        <v>3680</v>
      </c>
      <c r="P8" s="4">
        <f t="shared" si="5"/>
        <v>0.34074074074074079</v>
      </c>
      <c r="Q8" s="6">
        <f t="shared" si="0"/>
        <v>2030</v>
      </c>
      <c r="R8" s="6">
        <f t="shared" si="6"/>
        <v>3</v>
      </c>
      <c r="S8">
        <v>304</v>
      </c>
      <c r="T8">
        <v>368</v>
      </c>
      <c r="U8">
        <v>25</v>
      </c>
      <c r="V8">
        <v>-7</v>
      </c>
      <c r="W8">
        <v>19</v>
      </c>
      <c r="X8">
        <v>160</v>
      </c>
      <c r="Y8" s="2" t="s">
        <v>137</v>
      </c>
      <c r="Z8">
        <v>41.803817938277803</v>
      </c>
      <c r="AA8">
        <v>12.5360536202419</v>
      </c>
      <c r="AB8" t="s">
        <v>78</v>
      </c>
      <c r="AC8" t="s">
        <v>81</v>
      </c>
      <c r="AD8" t="s">
        <v>82</v>
      </c>
      <c r="AE8">
        <v>156678</v>
      </c>
      <c r="AF8">
        <v>127552</v>
      </c>
      <c r="AG8">
        <v>0</v>
      </c>
      <c r="AH8">
        <v>0</v>
      </c>
      <c r="AI8">
        <v>0</v>
      </c>
      <c r="AJ8">
        <v>29126</v>
      </c>
      <c r="AK8">
        <v>0</v>
      </c>
      <c r="AL8">
        <v>1206</v>
      </c>
      <c r="AM8">
        <v>5406</v>
      </c>
      <c r="AN8">
        <v>104329</v>
      </c>
      <c r="AO8">
        <v>1076847</v>
      </c>
      <c r="AP8">
        <v>0</v>
      </c>
      <c r="AQ8">
        <v>0</v>
      </c>
      <c r="AR8">
        <v>2</v>
      </c>
      <c r="AS8">
        <v>3</v>
      </c>
      <c r="AT8">
        <v>1</v>
      </c>
      <c r="AU8">
        <v>9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2</v>
      </c>
      <c r="BE8">
        <v>0</v>
      </c>
      <c r="BF8">
        <v>2</v>
      </c>
      <c r="BG8">
        <v>0</v>
      </c>
      <c r="BH8">
        <v>2</v>
      </c>
      <c r="BI8">
        <v>0</v>
      </c>
      <c r="BJ8">
        <v>41.803727899999998</v>
      </c>
      <c r="BK8">
        <v>12.535937799999999</v>
      </c>
      <c r="BL8">
        <v>1800</v>
      </c>
      <c r="BM8" t="s">
        <v>83</v>
      </c>
      <c r="BN8" t="s">
        <v>84</v>
      </c>
      <c r="BO8" t="s">
        <v>85</v>
      </c>
      <c r="BP8" t="s">
        <v>86</v>
      </c>
      <c r="BQ8" t="s">
        <v>87</v>
      </c>
      <c r="BR8" t="s">
        <v>88</v>
      </c>
      <c r="BS8">
        <v>4470262</v>
      </c>
      <c r="BT8">
        <v>3887697</v>
      </c>
      <c r="BU8">
        <v>0</v>
      </c>
      <c r="BV8">
        <v>0</v>
      </c>
      <c r="BW8">
        <v>0</v>
      </c>
      <c r="BX8">
        <v>582565</v>
      </c>
      <c r="BY8">
        <v>0</v>
      </c>
      <c r="BZ8">
        <v>1</v>
      </c>
      <c r="CA8" t="s">
        <v>138</v>
      </c>
      <c r="CB8" t="s">
        <v>139</v>
      </c>
      <c r="CC8" s="3">
        <v>46092.557106481479</v>
      </c>
      <c r="CD8" t="s">
        <v>91</v>
      </c>
    </row>
    <row r="9" spans="1:82" ht="16" x14ac:dyDescent="0.2">
      <c r="A9" t="s">
        <v>140</v>
      </c>
      <c r="B9" t="s">
        <v>141</v>
      </c>
      <c r="C9" t="s">
        <v>142</v>
      </c>
      <c r="D9" t="s">
        <v>78</v>
      </c>
      <c r="E9" t="s">
        <v>143</v>
      </c>
      <c r="F9">
        <v>6</v>
      </c>
      <c r="G9">
        <v>300</v>
      </c>
      <c r="H9" t="str">
        <f t="shared" si="1"/>
        <v>6x300</v>
      </c>
      <c r="I9">
        <v>805</v>
      </c>
      <c r="J9" s="4">
        <f t="shared" si="2"/>
        <v>7.4537037037037027E-2</v>
      </c>
      <c r="K9">
        <v>1215</v>
      </c>
      <c r="L9" s="4">
        <f t="shared" si="3"/>
        <v>0.11249999999999999</v>
      </c>
      <c r="M9">
        <v>1843</v>
      </c>
      <c r="N9" s="4">
        <f t="shared" si="4"/>
        <v>0.17064814814814813</v>
      </c>
      <c r="O9">
        <v>3677</v>
      </c>
      <c r="P9" s="4">
        <f t="shared" si="5"/>
        <v>0.34046296296296297</v>
      </c>
      <c r="Q9" s="6">
        <f t="shared" si="0"/>
        <v>2030</v>
      </c>
      <c r="R9" s="6">
        <f t="shared" si="6"/>
        <v>3</v>
      </c>
      <c r="S9">
        <v>304</v>
      </c>
      <c r="T9">
        <v>487</v>
      </c>
      <c r="U9">
        <v>2</v>
      </c>
      <c r="V9">
        <v>-20</v>
      </c>
      <c r="W9">
        <v>-59</v>
      </c>
      <c r="X9">
        <v>158</v>
      </c>
      <c r="Y9" s="2" t="s">
        <v>144</v>
      </c>
      <c r="Z9">
        <v>45.568136038612302</v>
      </c>
      <c r="AA9">
        <v>9.3606754183960295</v>
      </c>
      <c r="AB9" t="s">
        <v>78</v>
      </c>
      <c r="AC9" t="s">
        <v>81</v>
      </c>
      <c r="AD9" t="s">
        <v>82</v>
      </c>
      <c r="AE9">
        <v>327443</v>
      </c>
      <c r="AF9">
        <v>244059</v>
      </c>
      <c r="AG9">
        <v>0</v>
      </c>
      <c r="AH9">
        <v>46114</v>
      </c>
      <c r="AI9">
        <v>20734</v>
      </c>
      <c r="AJ9">
        <v>14126</v>
      </c>
      <c r="AK9">
        <v>2410</v>
      </c>
      <c r="AL9">
        <v>4975</v>
      </c>
      <c r="AM9">
        <v>22296</v>
      </c>
      <c r="AN9">
        <v>135209</v>
      </c>
      <c r="AO9">
        <v>665201</v>
      </c>
      <c r="AP9">
        <v>1</v>
      </c>
      <c r="AQ9">
        <v>2</v>
      </c>
      <c r="AR9">
        <v>4</v>
      </c>
      <c r="AS9">
        <v>2</v>
      </c>
      <c r="AT9">
        <v>0</v>
      </c>
      <c r="AU9">
        <v>15</v>
      </c>
      <c r="AV9">
        <v>0</v>
      </c>
      <c r="AW9">
        <v>0</v>
      </c>
      <c r="AX9">
        <v>0</v>
      </c>
      <c r="AY9">
        <v>0</v>
      </c>
      <c r="AZ9">
        <v>0</v>
      </c>
      <c r="BA9">
        <v>11</v>
      </c>
      <c r="BB9">
        <v>34</v>
      </c>
      <c r="BC9">
        <v>2</v>
      </c>
      <c r="BD9">
        <v>5</v>
      </c>
      <c r="BE9">
        <v>4</v>
      </c>
      <c r="BF9">
        <v>7</v>
      </c>
      <c r="BG9">
        <v>4</v>
      </c>
      <c r="BH9">
        <v>13</v>
      </c>
      <c r="BI9">
        <v>14</v>
      </c>
      <c r="BJ9">
        <v>45.568189400000001</v>
      </c>
      <c r="BK9">
        <v>9.3606765000000003</v>
      </c>
      <c r="BL9">
        <v>1800</v>
      </c>
      <c r="BM9" t="s">
        <v>83</v>
      </c>
      <c r="BN9" t="s">
        <v>84</v>
      </c>
      <c r="BO9" t="s">
        <v>85</v>
      </c>
      <c r="BP9" t="s">
        <v>107</v>
      </c>
      <c r="BQ9" t="s">
        <v>108</v>
      </c>
      <c r="BR9" t="s">
        <v>145</v>
      </c>
      <c r="BS9">
        <v>8704894</v>
      </c>
      <c r="BT9">
        <v>7037009</v>
      </c>
      <c r="BU9">
        <v>0</v>
      </c>
      <c r="BV9">
        <v>922319</v>
      </c>
      <c r="BW9">
        <v>414700</v>
      </c>
      <c r="BX9">
        <v>282618</v>
      </c>
      <c r="BY9">
        <v>48248</v>
      </c>
      <c r="BZ9">
        <v>1</v>
      </c>
      <c r="CA9" t="s">
        <v>146</v>
      </c>
      <c r="CB9" t="s">
        <v>147</v>
      </c>
      <c r="CC9" s="3">
        <v>46092.557106481479</v>
      </c>
      <c r="CD9" t="s">
        <v>91</v>
      </c>
    </row>
    <row r="10" spans="1:82" ht="16" x14ac:dyDescent="0.2">
      <c r="A10" t="s">
        <v>148</v>
      </c>
      <c r="B10" t="s">
        <v>149</v>
      </c>
      <c r="C10" t="s">
        <v>150</v>
      </c>
      <c r="D10" t="s">
        <v>78</v>
      </c>
      <c r="E10" t="s">
        <v>151</v>
      </c>
      <c r="F10">
        <v>6</v>
      </c>
      <c r="G10">
        <v>300</v>
      </c>
      <c r="H10" t="str">
        <f t="shared" si="1"/>
        <v>6x300</v>
      </c>
      <c r="I10">
        <v>797</v>
      </c>
      <c r="J10" s="4">
        <f t="shared" si="2"/>
        <v>7.379629629629629E-2</v>
      </c>
      <c r="K10">
        <v>1203</v>
      </c>
      <c r="L10" s="4">
        <f t="shared" si="3"/>
        <v>0.11138888888888888</v>
      </c>
      <c r="M10">
        <v>1825</v>
      </c>
      <c r="N10" s="4">
        <f t="shared" si="4"/>
        <v>0.16898148148148148</v>
      </c>
      <c r="O10">
        <v>3642</v>
      </c>
      <c r="P10" s="4">
        <f t="shared" si="5"/>
        <v>0.33722222222222226</v>
      </c>
      <c r="Q10" s="6">
        <f t="shared" si="0"/>
        <v>2030</v>
      </c>
      <c r="R10" s="6">
        <f t="shared" si="6"/>
        <v>3</v>
      </c>
      <c r="S10">
        <v>304</v>
      </c>
      <c r="T10">
        <v>72</v>
      </c>
      <c r="U10">
        <v>436</v>
      </c>
      <c r="V10">
        <v>-86</v>
      </c>
      <c r="W10">
        <v>15</v>
      </c>
      <c r="X10">
        <v>84</v>
      </c>
      <c r="Y10" s="2" t="s">
        <v>152</v>
      </c>
      <c r="Z10">
        <v>41.850650000000002</v>
      </c>
      <c r="AA10">
        <v>12.57145</v>
      </c>
      <c r="AB10" t="s">
        <v>78</v>
      </c>
      <c r="AC10" t="s">
        <v>81</v>
      </c>
      <c r="AD10" t="s">
        <v>82</v>
      </c>
      <c r="AE10">
        <v>69194</v>
      </c>
      <c r="AF10">
        <v>0</v>
      </c>
      <c r="AG10">
        <v>0</v>
      </c>
      <c r="AH10">
        <v>39633</v>
      </c>
      <c r="AI10">
        <v>0</v>
      </c>
      <c r="AJ10">
        <v>23230</v>
      </c>
      <c r="AK10">
        <v>6331</v>
      </c>
      <c r="AL10">
        <v>25809</v>
      </c>
      <c r="AM10">
        <v>105921</v>
      </c>
      <c r="AN10">
        <v>470428</v>
      </c>
      <c r="AO10">
        <v>1507756</v>
      </c>
      <c r="AP10">
        <v>1</v>
      </c>
      <c r="AQ10">
        <v>0</v>
      </c>
      <c r="AR10">
        <v>1</v>
      </c>
      <c r="AS10">
        <v>7</v>
      </c>
      <c r="AT10">
        <v>0</v>
      </c>
      <c r="AU10">
        <v>27</v>
      </c>
      <c r="AV10">
        <v>3</v>
      </c>
      <c r="AW10">
        <v>1</v>
      </c>
      <c r="AX10">
        <v>0</v>
      </c>
      <c r="AY10">
        <v>2</v>
      </c>
      <c r="AZ10">
        <v>2</v>
      </c>
      <c r="BA10">
        <v>33</v>
      </c>
      <c r="BB10">
        <v>89</v>
      </c>
      <c r="BC10">
        <v>17</v>
      </c>
      <c r="BD10">
        <v>2</v>
      </c>
      <c r="BE10">
        <v>0</v>
      </c>
      <c r="BF10">
        <v>6</v>
      </c>
      <c r="BG10">
        <v>0</v>
      </c>
      <c r="BH10">
        <v>22</v>
      </c>
      <c r="BI10">
        <v>0</v>
      </c>
      <c r="BJ10">
        <v>41.8505155</v>
      </c>
      <c r="BK10">
        <v>12.5713249</v>
      </c>
      <c r="BL10">
        <v>1800</v>
      </c>
      <c r="BM10" t="s">
        <v>83</v>
      </c>
      <c r="BN10" t="s">
        <v>84</v>
      </c>
      <c r="BO10" t="s">
        <v>85</v>
      </c>
      <c r="BP10" t="s">
        <v>86</v>
      </c>
      <c r="BQ10" t="s">
        <v>87</v>
      </c>
      <c r="BR10" t="s">
        <v>88</v>
      </c>
      <c r="BS10">
        <v>1479137</v>
      </c>
      <c r="BT10">
        <v>0</v>
      </c>
      <c r="BU10">
        <v>0</v>
      </c>
      <c r="BV10">
        <v>940852</v>
      </c>
      <c r="BW10">
        <v>0</v>
      </c>
      <c r="BX10">
        <v>464612</v>
      </c>
      <c r="BY10">
        <v>73673</v>
      </c>
      <c r="BZ10">
        <v>1</v>
      </c>
      <c r="CA10" t="s">
        <v>153</v>
      </c>
      <c r="CB10" t="s">
        <v>154</v>
      </c>
      <c r="CC10" s="3">
        <v>46092.557106481479</v>
      </c>
      <c r="CD10" t="s">
        <v>91</v>
      </c>
    </row>
    <row r="11" spans="1:82" ht="16" x14ac:dyDescent="0.2">
      <c r="A11" t="s">
        <v>155</v>
      </c>
      <c r="B11" t="s">
        <v>156</v>
      </c>
      <c r="C11" t="s">
        <v>157</v>
      </c>
      <c r="D11" t="s">
        <v>78</v>
      </c>
      <c r="E11" t="s">
        <v>158</v>
      </c>
      <c r="F11">
        <v>6</v>
      </c>
      <c r="G11">
        <v>300</v>
      </c>
      <c r="H11" t="str">
        <f t="shared" si="1"/>
        <v>6x300</v>
      </c>
      <c r="I11">
        <v>747</v>
      </c>
      <c r="J11" s="4">
        <f t="shared" si="2"/>
        <v>6.9166666666666668E-2</v>
      </c>
      <c r="K11">
        <v>1128</v>
      </c>
      <c r="L11" s="4">
        <f t="shared" si="3"/>
        <v>0.10444444444444444</v>
      </c>
      <c r="M11">
        <v>1710</v>
      </c>
      <c r="N11" s="4">
        <f t="shared" si="4"/>
        <v>0.15833333333333335</v>
      </c>
      <c r="O11">
        <v>3413</v>
      </c>
      <c r="P11" s="4">
        <f t="shared" si="5"/>
        <v>0.31601851851851853</v>
      </c>
      <c r="Q11" s="6">
        <f t="shared" si="0"/>
        <v>2030</v>
      </c>
      <c r="R11" s="6">
        <f t="shared" si="6"/>
        <v>3</v>
      </c>
      <c r="S11">
        <v>304</v>
      </c>
      <c r="T11">
        <v>269</v>
      </c>
      <c r="U11">
        <v>-26</v>
      </c>
      <c r="V11">
        <v>48</v>
      </c>
      <c r="W11">
        <v>76</v>
      </c>
      <c r="X11">
        <v>124</v>
      </c>
      <c r="Y11" s="2" t="s">
        <v>159</v>
      </c>
      <c r="Z11">
        <v>45.4338540483541</v>
      </c>
      <c r="AA11">
        <v>10.7103439220878</v>
      </c>
      <c r="AB11" t="s">
        <v>78</v>
      </c>
      <c r="AC11" t="s">
        <v>81</v>
      </c>
      <c r="AD11" t="s">
        <v>82</v>
      </c>
      <c r="AE11">
        <v>105937</v>
      </c>
      <c r="AF11">
        <v>0</v>
      </c>
      <c r="AG11">
        <v>0</v>
      </c>
      <c r="AH11">
        <v>61446</v>
      </c>
      <c r="AI11">
        <v>41034</v>
      </c>
      <c r="AJ11">
        <v>3457</v>
      </c>
      <c r="AK11">
        <v>0</v>
      </c>
      <c r="AL11">
        <v>1396</v>
      </c>
      <c r="AM11">
        <v>6623</v>
      </c>
      <c r="AN11">
        <v>27804</v>
      </c>
      <c r="AO11">
        <v>76802</v>
      </c>
      <c r="AP11">
        <v>0</v>
      </c>
      <c r="AQ11">
        <v>0</v>
      </c>
      <c r="AR11">
        <v>3</v>
      </c>
      <c r="AS11">
        <v>12</v>
      </c>
      <c r="AT11">
        <v>0</v>
      </c>
      <c r="AU11">
        <v>6</v>
      </c>
      <c r="AV11">
        <v>5</v>
      </c>
      <c r="AW11">
        <v>2</v>
      </c>
      <c r="AX11">
        <v>0</v>
      </c>
      <c r="AY11">
        <v>0</v>
      </c>
      <c r="AZ11">
        <v>0</v>
      </c>
      <c r="BA11">
        <v>5</v>
      </c>
      <c r="BB11">
        <v>12</v>
      </c>
      <c r="BC11">
        <v>1</v>
      </c>
      <c r="BD11">
        <v>0</v>
      </c>
      <c r="BE11">
        <v>16</v>
      </c>
      <c r="BF11">
        <v>4</v>
      </c>
      <c r="BG11">
        <v>16</v>
      </c>
      <c r="BH11">
        <v>4</v>
      </c>
      <c r="BI11">
        <v>16</v>
      </c>
      <c r="BJ11">
        <v>45.433860000000003</v>
      </c>
      <c r="BK11">
        <v>10.710333500000001</v>
      </c>
      <c r="BL11">
        <v>1800</v>
      </c>
      <c r="BM11" t="s">
        <v>83</v>
      </c>
      <c r="BN11" t="s">
        <v>84</v>
      </c>
      <c r="BO11" t="s">
        <v>85</v>
      </c>
      <c r="BP11" t="s">
        <v>160</v>
      </c>
      <c r="BQ11" t="s">
        <v>161</v>
      </c>
      <c r="BR11" t="s">
        <v>162</v>
      </c>
      <c r="BS11">
        <v>2253749</v>
      </c>
      <c r="BT11">
        <v>0</v>
      </c>
      <c r="BU11">
        <v>0</v>
      </c>
      <c r="BV11">
        <v>1363843</v>
      </c>
      <c r="BW11">
        <v>820723</v>
      </c>
      <c r="BX11">
        <v>69183</v>
      </c>
      <c r="BY11">
        <v>0</v>
      </c>
      <c r="BZ11">
        <v>1</v>
      </c>
      <c r="CA11" t="s">
        <v>163</v>
      </c>
      <c r="CB11" t="s">
        <v>164</v>
      </c>
      <c r="CC11" s="3">
        <v>46092.557106481479</v>
      </c>
      <c r="CD11" t="s">
        <v>91</v>
      </c>
    </row>
    <row r="12" spans="1:82" ht="16" x14ac:dyDescent="0.2">
      <c r="A12" t="s">
        <v>165</v>
      </c>
      <c r="B12" t="s">
        <v>166</v>
      </c>
      <c r="C12" t="s">
        <v>167</v>
      </c>
      <c r="D12" t="s">
        <v>78</v>
      </c>
      <c r="E12" t="s">
        <v>168</v>
      </c>
      <c r="F12">
        <v>6</v>
      </c>
      <c r="G12">
        <v>300</v>
      </c>
      <c r="H12" t="str">
        <f t="shared" si="1"/>
        <v>6x300</v>
      </c>
      <c r="I12">
        <v>691</v>
      </c>
      <c r="J12" s="4">
        <f t="shared" si="2"/>
        <v>6.3981481481481486E-2</v>
      </c>
      <c r="K12">
        <v>1043</v>
      </c>
      <c r="L12" s="4">
        <f t="shared" si="3"/>
        <v>9.6574074074074076E-2</v>
      </c>
      <c r="M12">
        <v>1582</v>
      </c>
      <c r="N12" s="4">
        <f t="shared" si="4"/>
        <v>0.14648148148148149</v>
      </c>
      <c r="O12">
        <v>3158</v>
      </c>
      <c r="P12" s="4">
        <f t="shared" si="5"/>
        <v>0.29240740740740739</v>
      </c>
      <c r="Q12" s="6">
        <f t="shared" si="0"/>
        <v>2030</v>
      </c>
      <c r="R12" s="6">
        <f t="shared" si="6"/>
        <v>3</v>
      </c>
      <c r="S12">
        <v>304</v>
      </c>
      <c r="T12">
        <v>299</v>
      </c>
      <c r="U12">
        <v>-31</v>
      </c>
      <c r="V12">
        <v>-48</v>
      </c>
      <c r="W12">
        <v>74</v>
      </c>
      <c r="X12">
        <v>155</v>
      </c>
      <c r="Y12" s="2" t="s">
        <v>169</v>
      </c>
      <c r="Z12">
        <v>44.820818000000003</v>
      </c>
      <c r="AA12">
        <v>10.332241</v>
      </c>
      <c r="AB12" t="s">
        <v>78</v>
      </c>
      <c r="AC12" t="s">
        <v>81</v>
      </c>
      <c r="AD12" t="s">
        <v>82</v>
      </c>
      <c r="AE12">
        <v>201760</v>
      </c>
      <c r="AF12">
        <v>0</v>
      </c>
      <c r="AG12">
        <v>0</v>
      </c>
      <c r="AH12">
        <v>71258</v>
      </c>
      <c r="AI12">
        <v>52023</v>
      </c>
      <c r="AJ12">
        <v>75073</v>
      </c>
      <c r="AK12">
        <v>3406</v>
      </c>
      <c r="AL12">
        <v>9553</v>
      </c>
      <c r="AM12">
        <v>34190</v>
      </c>
      <c r="AN12">
        <v>153370</v>
      </c>
      <c r="AO12">
        <v>207595</v>
      </c>
      <c r="AP12">
        <v>0</v>
      </c>
      <c r="AQ12">
        <v>3</v>
      </c>
      <c r="AR12">
        <v>3</v>
      </c>
      <c r="AS12">
        <v>5</v>
      </c>
      <c r="AT12">
        <v>2</v>
      </c>
      <c r="AU12">
        <v>21</v>
      </c>
      <c r="AV12">
        <v>3</v>
      </c>
      <c r="AW12">
        <v>0</v>
      </c>
      <c r="AX12">
        <v>0</v>
      </c>
      <c r="AY12">
        <v>1</v>
      </c>
      <c r="AZ12">
        <v>2</v>
      </c>
      <c r="BA12">
        <v>15</v>
      </c>
      <c r="BB12">
        <v>60</v>
      </c>
      <c r="BC12">
        <v>11</v>
      </c>
      <c r="BD12">
        <v>2</v>
      </c>
      <c r="BE12">
        <v>20</v>
      </c>
      <c r="BF12">
        <v>4</v>
      </c>
      <c r="BG12">
        <v>20</v>
      </c>
      <c r="BH12">
        <v>10</v>
      </c>
      <c r="BI12">
        <v>20</v>
      </c>
      <c r="BJ12">
        <v>44.820796899999998</v>
      </c>
      <c r="BK12">
        <v>10.3322363</v>
      </c>
      <c r="BL12">
        <v>1800</v>
      </c>
      <c r="BM12" t="s">
        <v>83</v>
      </c>
      <c r="BN12" t="s">
        <v>84</v>
      </c>
      <c r="BO12" t="s">
        <v>85</v>
      </c>
      <c r="BP12" t="s">
        <v>160</v>
      </c>
      <c r="BQ12" t="s">
        <v>170</v>
      </c>
      <c r="BR12" t="s">
        <v>171</v>
      </c>
      <c r="BS12">
        <v>4202178</v>
      </c>
      <c r="BT12">
        <v>0</v>
      </c>
      <c r="BU12">
        <v>0</v>
      </c>
      <c r="BV12">
        <v>1591916</v>
      </c>
      <c r="BW12">
        <v>1040534</v>
      </c>
      <c r="BX12">
        <v>1501607</v>
      </c>
      <c r="BY12">
        <v>68121</v>
      </c>
      <c r="BZ12">
        <v>1</v>
      </c>
      <c r="CA12" t="s">
        <v>172</v>
      </c>
      <c r="CB12" t="s">
        <v>173</v>
      </c>
      <c r="CC12" s="3">
        <v>46092.557106481479</v>
      </c>
      <c r="CD12" t="s">
        <v>91</v>
      </c>
    </row>
    <row r="13" spans="1:82" ht="16" x14ac:dyDescent="0.2">
      <c r="A13" t="s">
        <v>174</v>
      </c>
      <c r="B13" t="s">
        <v>175</v>
      </c>
      <c r="C13" t="s">
        <v>176</v>
      </c>
      <c r="D13" t="s">
        <v>78</v>
      </c>
      <c r="E13" t="s">
        <v>177</v>
      </c>
      <c r="F13">
        <v>6</v>
      </c>
      <c r="G13">
        <v>300</v>
      </c>
      <c r="H13" t="str">
        <f t="shared" si="1"/>
        <v>6x300</v>
      </c>
      <c r="I13">
        <v>685</v>
      </c>
      <c r="J13" s="4">
        <f t="shared" si="2"/>
        <v>6.3425925925925927E-2</v>
      </c>
      <c r="K13">
        <v>1034</v>
      </c>
      <c r="L13" s="4">
        <f t="shared" si="3"/>
        <v>9.5740740740740737E-2</v>
      </c>
      <c r="M13">
        <v>1568</v>
      </c>
      <c r="N13" s="4">
        <f t="shared" si="4"/>
        <v>0.14518518518518517</v>
      </c>
      <c r="O13">
        <v>3129</v>
      </c>
      <c r="P13" s="4">
        <f t="shared" si="5"/>
        <v>0.28972222222222221</v>
      </c>
      <c r="Q13" s="6">
        <f t="shared" si="0"/>
        <v>2030</v>
      </c>
      <c r="R13" s="6">
        <f t="shared" si="6"/>
        <v>3</v>
      </c>
      <c r="S13">
        <v>304</v>
      </c>
      <c r="T13">
        <v>408</v>
      </c>
      <c r="U13">
        <v>-43</v>
      </c>
      <c r="V13">
        <v>-32</v>
      </c>
      <c r="W13">
        <v>-45</v>
      </c>
      <c r="X13">
        <v>151</v>
      </c>
      <c r="Y13" s="2" t="s">
        <v>178</v>
      </c>
      <c r="Z13">
        <v>45.577500000000001</v>
      </c>
      <c r="AA13">
        <v>10.00915</v>
      </c>
      <c r="AB13" t="s">
        <v>78</v>
      </c>
      <c r="AC13" t="s">
        <v>81</v>
      </c>
      <c r="AD13" t="s">
        <v>82</v>
      </c>
      <c r="AE13">
        <v>159824</v>
      </c>
      <c r="AF13">
        <v>126382</v>
      </c>
      <c r="AG13">
        <v>0</v>
      </c>
      <c r="AH13">
        <v>0</v>
      </c>
      <c r="AI13">
        <v>0</v>
      </c>
      <c r="AJ13">
        <v>26752</v>
      </c>
      <c r="AK13">
        <v>6690</v>
      </c>
      <c r="AL13">
        <v>4300</v>
      </c>
      <c r="AM13">
        <v>14821</v>
      </c>
      <c r="AN13">
        <v>52258</v>
      </c>
      <c r="AO13">
        <v>205609</v>
      </c>
      <c r="AP13">
        <v>0</v>
      </c>
      <c r="AQ13">
        <v>1</v>
      </c>
      <c r="AR13">
        <v>1</v>
      </c>
      <c r="AS13">
        <v>2</v>
      </c>
      <c r="AT13">
        <v>0</v>
      </c>
      <c r="AU13">
        <v>14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13</v>
      </c>
      <c r="BB13">
        <v>39</v>
      </c>
      <c r="BC13">
        <v>8</v>
      </c>
      <c r="BD13">
        <v>7</v>
      </c>
      <c r="BE13">
        <v>0</v>
      </c>
      <c r="BF13">
        <v>10</v>
      </c>
      <c r="BG13">
        <v>2</v>
      </c>
      <c r="BH13">
        <v>16</v>
      </c>
      <c r="BI13">
        <v>2</v>
      </c>
      <c r="BJ13">
        <v>45.577409899999999</v>
      </c>
      <c r="BK13">
        <v>10.00916</v>
      </c>
      <c r="BL13">
        <v>1800</v>
      </c>
      <c r="BM13" t="s">
        <v>83</v>
      </c>
      <c r="BN13" t="s">
        <v>84</v>
      </c>
      <c r="BO13" t="s">
        <v>85</v>
      </c>
      <c r="BP13" t="s">
        <v>107</v>
      </c>
      <c r="BQ13" t="s">
        <v>108</v>
      </c>
      <c r="BR13" t="s">
        <v>179</v>
      </c>
      <c r="BS13">
        <v>4460436</v>
      </c>
      <c r="BT13">
        <v>3791508</v>
      </c>
      <c r="BU13">
        <v>0</v>
      </c>
      <c r="BV13">
        <v>0</v>
      </c>
      <c r="BW13">
        <v>0</v>
      </c>
      <c r="BX13">
        <v>535072</v>
      </c>
      <c r="BY13">
        <v>133856</v>
      </c>
      <c r="BZ13">
        <v>1</v>
      </c>
      <c r="CA13" t="s">
        <v>180</v>
      </c>
      <c r="CB13" t="s">
        <v>181</v>
      </c>
      <c r="CC13" s="3">
        <v>46092.557106481479</v>
      </c>
      <c r="CD13" t="s">
        <v>91</v>
      </c>
    </row>
    <row r="14" spans="1:82" ht="16" x14ac:dyDescent="0.2">
      <c r="A14" t="s">
        <v>182</v>
      </c>
      <c r="B14" t="s">
        <v>183</v>
      </c>
      <c r="C14" t="s">
        <v>184</v>
      </c>
      <c r="D14" t="s">
        <v>78</v>
      </c>
      <c r="E14" t="s">
        <v>185</v>
      </c>
      <c r="F14">
        <v>6</v>
      </c>
      <c r="G14">
        <v>300</v>
      </c>
      <c r="H14" t="str">
        <f t="shared" si="1"/>
        <v>6x300</v>
      </c>
      <c r="I14">
        <v>674</v>
      </c>
      <c r="J14" s="4">
        <f t="shared" si="2"/>
        <v>6.2407407407407404E-2</v>
      </c>
      <c r="K14">
        <v>1018</v>
      </c>
      <c r="L14" s="4">
        <f t="shared" si="3"/>
        <v>9.4259259259259265E-2</v>
      </c>
      <c r="M14">
        <v>1543</v>
      </c>
      <c r="N14" s="4">
        <f t="shared" si="4"/>
        <v>0.14287037037037037</v>
      </c>
      <c r="O14">
        <v>3080</v>
      </c>
      <c r="P14" s="4">
        <f t="shared" si="5"/>
        <v>0.28518518518518521</v>
      </c>
      <c r="Q14" s="6">
        <f t="shared" si="0"/>
        <v>2030</v>
      </c>
      <c r="R14" s="6">
        <f t="shared" si="6"/>
        <v>3</v>
      </c>
      <c r="S14">
        <v>304</v>
      </c>
      <c r="T14">
        <v>275</v>
      </c>
      <c r="U14">
        <v>-50</v>
      </c>
      <c r="V14">
        <v>21</v>
      </c>
      <c r="W14">
        <v>16</v>
      </c>
      <c r="X14">
        <v>179</v>
      </c>
      <c r="Y14" s="2" t="s">
        <v>186</v>
      </c>
      <c r="Z14">
        <v>40.375902000000004</v>
      </c>
      <c r="AA14">
        <v>18.148140000000001</v>
      </c>
      <c r="AB14" t="s">
        <v>78</v>
      </c>
      <c r="AC14" t="s">
        <v>81</v>
      </c>
      <c r="AD14" t="s">
        <v>82</v>
      </c>
      <c r="AE14">
        <v>136632</v>
      </c>
      <c r="AF14">
        <v>0</v>
      </c>
      <c r="AG14">
        <v>80496</v>
      </c>
      <c r="AH14">
        <v>0</v>
      </c>
      <c r="AI14">
        <v>38126</v>
      </c>
      <c r="AJ14">
        <v>18010</v>
      </c>
      <c r="AK14">
        <v>0</v>
      </c>
      <c r="AL14">
        <v>1337</v>
      </c>
      <c r="AM14">
        <v>12364</v>
      </c>
      <c r="AN14">
        <v>97119</v>
      </c>
      <c r="AO14">
        <v>199530</v>
      </c>
      <c r="AP14">
        <v>0</v>
      </c>
      <c r="AQ14">
        <v>0</v>
      </c>
      <c r="AR14">
        <v>4</v>
      </c>
      <c r="AS14">
        <v>2</v>
      </c>
      <c r="AT14">
        <v>0</v>
      </c>
      <c r="AU14">
        <v>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</v>
      </c>
      <c r="BB14">
        <v>11</v>
      </c>
      <c r="BC14">
        <v>2</v>
      </c>
      <c r="BD14">
        <v>0</v>
      </c>
      <c r="BE14">
        <v>0</v>
      </c>
      <c r="BF14">
        <v>0</v>
      </c>
      <c r="BG14">
        <v>4</v>
      </c>
      <c r="BH14">
        <v>2</v>
      </c>
      <c r="BI14">
        <v>10</v>
      </c>
      <c r="BJ14">
        <v>40.375897700000003</v>
      </c>
      <c r="BK14">
        <v>18.148175599999998</v>
      </c>
      <c r="BL14">
        <v>1800</v>
      </c>
      <c r="BM14" t="s">
        <v>83</v>
      </c>
      <c r="BN14" t="s">
        <v>84</v>
      </c>
      <c r="BO14" t="s">
        <v>85</v>
      </c>
      <c r="BP14" t="s">
        <v>97</v>
      </c>
      <c r="BQ14" t="s">
        <v>187</v>
      </c>
      <c r="BR14" t="s">
        <v>188</v>
      </c>
      <c r="BS14">
        <v>2861959</v>
      </c>
      <c r="BT14">
        <v>0</v>
      </c>
      <c r="BU14">
        <v>1739099</v>
      </c>
      <c r="BV14">
        <v>0</v>
      </c>
      <c r="BW14">
        <v>762580</v>
      </c>
      <c r="BX14">
        <v>360280</v>
      </c>
      <c r="BY14">
        <v>0</v>
      </c>
      <c r="BZ14">
        <v>1</v>
      </c>
      <c r="CA14" t="s">
        <v>189</v>
      </c>
      <c r="CB14" t="s">
        <v>190</v>
      </c>
      <c r="CC14" s="3">
        <v>46092.557106481479</v>
      </c>
      <c r="CD14" t="s">
        <v>91</v>
      </c>
    </row>
    <row r="15" spans="1:82" ht="16" x14ac:dyDescent="0.2">
      <c r="A15" t="s">
        <v>191</v>
      </c>
      <c r="B15" t="s">
        <v>192</v>
      </c>
      <c r="C15" t="s">
        <v>193</v>
      </c>
      <c r="D15" t="s">
        <v>78</v>
      </c>
      <c r="E15" t="s">
        <v>194</v>
      </c>
      <c r="F15">
        <v>6</v>
      </c>
      <c r="G15">
        <v>300</v>
      </c>
      <c r="H15" t="str">
        <f t="shared" si="1"/>
        <v>6x300</v>
      </c>
      <c r="I15">
        <v>655</v>
      </c>
      <c r="J15" s="4">
        <f t="shared" si="2"/>
        <v>6.0648148148148145E-2</v>
      </c>
      <c r="K15">
        <v>989</v>
      </c>
      <c r="L15" s="4">
        <f t="shared" si="3"/>
        <v>9.1574074074074086E-2</v>
      </c>
      <c r="M15">
        <v>1500</v>
      </c>
      <c r="N15" s="4">
        <f t="shared" si="4"/>
        <v>0.1388888888888889</v>
      </c>
      <c r="O15">
        <v>2994</v>
      </c>
      <c r="P15" s="4">
        <f t="shared" si="5"/>
        <v>0.2772222222222222</v>
      </c>
      <c r="Q15" s="6">
        <f t="shared" si="0"/>
        <v>2035</v>
      </c>
      <c r="R15" s="6">
        <f t="shared" si="6"/>
        <v>4</v>
      </c>
      <c r="S15">
        <v>304</v>
      </c>
      <c r="T15">
        <v>150</v>
      </c>
      <c r="U15">
        <v>-40</v>
      </c>
      <c r="V15">
        <v>64</v>
      </c>
      <c r="W15">
        <v>100</v>
      </c>
      <c r="X15">
        <v>125</v>
      </c>
      <c r="Y15" s="2" t="s">
        <v>195</v>
      </c>
      <c r="Z15">
        <v>45.5524494</v>
      </c>
      <c r="AA15">
        <v>10.7834003</v>
      </c>
      <c r="AB15" t="s">
        <v>78</v>
      </c>
      <c r="AC15" t="s">
        <v>81</v>
      </c>
      <c r="AD15" t="s">
        <v>82</v>
      </c>
      <c r="AE15">
        <v>125801</v>
      </c>
      <c r="AF15">
        <v>75777</v>
      </c>
      <c r="AG15">
        <v>0</v>
      </c>
      <c r="AH15">
        <v>24713</v>
      </c>
      <c r="AI15">
        <v>0</v>
      </c>
      <c r="AJ15">
        <v>25311</v>
      </c>
      <c r="AK15">
        <v>0</v>
      </c>
      <c r="AL15">
        <v>1402</v>
      </c>
      <c r="AM15">
        <v>4617</v>
      </c>
      <c r="AN15">
        <v>23909</v>
      </c>
      <c r="AO15">
        <v>80597</v>
      </c>
      <c r="AP15">
        <v>4</v>
      </c>
      <c r="AQ15">
        <v>0</v>
      </c>
      <c r="AR15">
        <v>5</v>
      </c>
      <c r="AS15">
        <v>30</v>
      </c>
      <c r="AT15">
        <v>0</v>
      </c>
      <c r="AU15">
        <v>15</v>
      </c>
      <c r="AV15">
        <v>5</v>
      </c>
      <c r="AW15">
        <v>0</v>
      </c>
      <c r="AX15">
        <v>1</v>
      </c>
      <c r="AY15">
        <v>0</v>
      </c>
      <c r="AZ15">
        <v>0</v>
      </c>
      <c r="BA15">
        <v>9</v>
      </c>
      <c r="BB15">
        <v>13</v>
      </c>
      <c r="BC15">
        <v>7</v>
      </c>
      <c r="BD15">
        <v>2</v>
      </c>
      <c r="BE15">
        <v>54</v>
      </c>
      <c r="BF15">
        <v>2</v>
      </c>
      <c r="BG15">
        <v>54</v>
      </c>
      <c r="BH15">
        <v>2</v>
      </c>
      <c r="BI15">
        <v>58</v>
      </c>
      <c r="BJ15">
        <v>45.552549999999997</v>
      </c>
      <c r="BK15">
        <v>10.783200000000001</v>
      </c>
      <c r="BL15">
        <v>1800</v>
      </c>
      <c r="BM15" t="s">
        <v>83</v>
      </c>
      <c r="BN15" t="s">
        <v>84</v>
      </c>
      <c r="BO15" t="s">
        <v>85</v>
      </c>
      <c r="BP15" t="s">
        <v>160</v>
      </c>
      <c r="BQ15" t="s">
        <v>161</v>
      </c>
      <c r="BR15" t="s">
        <v>162</v>
      </c>
      <c r="BS15">
        <v>2926530</v>
      </c>
      <c r="BT15">
        <v>1926008</v>
      </c>
      <c r="BU15">
        <v>0</v>
      </c>
      <c r="BV15">
        <v>494263</v>
      </c>
      <c r="BW15">
        <v>0</v>
      </c>
      <c r="BX15">
        <v>506259</v>
      </c>
      <c r="BY15">
        <v>0</v>
      </c>
      <c r="BZ15">
        <v>1</v>
      </c>
      <c r="CA15" t="s">
        <v>196</v>
      </c>
      <c r="CB15" t="s">
        <v>197</v>
      </c>
      <c r="CC15" s="3">
        <v>46092.557106481479</v>
      </c>
      <c r="CD15" t="s">
        <v>91</v>
      </c>
    </row>
    <row r="16" spans="1:82" ht="16" x14ac:dyDescent="0.2">
      <c r="A16" t="s">
        <v>198</v>
      </c>
      <c r="B16" t="s">
        <v>199</v>
      </c>
      <c r="C16" t="s">
        <v>200</v>
      </c>
      <c r="D16" t="s">
        <v>78</v>
      </c>
      <c r="E16" t="s">
        <v>201</v>
      </c>
      <c r="F16">
        <v>6</v>
      </c>
      <c r="G16">
        <v>300</v>
      </c>
      <c r="H16" t="str">
        <f t="shared" si="1"/>
        <v>6x300</v>
      </c>
      <c r="I16">
        <v>618</v>
      </c>
      <c r="J16" s="4">
        <f t="shared" si="2"/>
        <v>5.7222222222222223E-2</v>
      </c>
      <c r="K16">
        <v>934</v>
      </c>
      <c r="L16" s="4">
        <f t="shared" si="3"/>
        <v>8.6481481481481479E-2</v>
      </c>
      <c r="M16">
        <v>1416</v>
      </c>
      <c r="N16" s="4">
        <f t="shared" si="4"/>
        <v>0.13111111111111109</v>
      </c>
      <c r="O16">
        <v>2825</v>
      </c>
      <c r="P16" s="4">
        <f t="shared" si="5"/>
        <v>0.26157407407407407</v>
      </c>
      <c r="Q16" s="6">
        <f t="shared" si="0"/>
        <v>2035</v>
      </c>
      <c r="R16" s="6">
        <f t="shared" si="6"/>
        <v>4</v>
      </c>
      <c r="S16">
        <v>304</v>
      </c>
      <c r="T16">
        <v>207</v>
      </c>
      <c r="U16">
        <v>39</v>
      </c>
      <c r="V16">
        <v>1</v>
      </c>
      <c r="W16">
        <v>-21</v>
      </c>
      <c r="X16">
        <v>147</v>
      </c>
      <c r="Y16" s="2" t="s">
        <v>202</v>
      </c>
      <c r="Z16">
        <v>45.096440000000001</v>
      </c>
      <c r="AA16">
        <v>7.5773299999999999</v>
      </c>
      <c r="AB16" t="s">
        <v>78</v>
      </c>
      <c r="AC16" t="s">
        <v>81</v>
      </c>
      <c r="AD16" t="s">
        <v>82</v>
      </c>
      <c r="AE16">
        <v>209864</v>
      </c>
      <c r="AF16">
        <v>121894</v>
      </c>
      <c r="AG16">
        <v>0</v>
      </c>
      <c r="AH16">
        <v>0</v>
      </c>
      <c r="AI16">
        <v>50905</v>
      </c>
      <c r="AJ16">
        <v>23679</v>
      </c>
      <c r="AK16">
        <v>13386</v>
      </c>
      <c r="AL16">
        <v>4127</v>
      </c>
      <c r="AM16">
        <v>14057</v>
      </c>
      <c r="AN16">
        <v>224758</v>
      </c>
      <c r="AO16">
        <v>1001900</v>
      </c>
      <c r="AP16">
        <v>0</v>
      </c>
      <c r="AQ16">
        <v>0</v>
      </c>
      <c r="AR16">
        <v>4</v>
      </c>
      <c r="AS16">
        <v>12</v>
      </c>
      <c r="AT16">
        <v>0</v>
      </c>
      <c r="AU16">
        <v>18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8</v>
      </c>
      <c r="BB16">
        <v>24</v>
      </c>
      <c r="BC16">
        <v>6</v>
      </c>
      <c r="BD16">
        <v>6</v>
      </c>
      <c r="BE16">
        <v>4</v>
      </c>
      <c r="BF16">
        <v>6</v>
      </c>
      <c r="BG16">
        <v>4</v>
      </c>
      <c r="BH16">
        <v>6</v>
      </c>
      <c r="BI16">
        <v>8</v>
      </c>
      <c r="BJ16">
        <v>45.096284300000001</v>
      </c>
      <c r="BK16">
        <v>7.5772747000000003</v>
      </c>
      <c r="BL16">
        <v>1800</v>
      </c>
      <c r="BM16" t="s">
        <v>83</v>
      </c>
      <c r="BN16" t="s">
        <v>84</v>
      </c>
      <c r="BO16" t="s">
        <v>85</v>
      </c>
      <c r="BP16" t="s">
        <v>107</v>
      </c>
      <c r="BQ16" t="s">
        <v>203</v>
      </c>
      <c r="BR16" t="s">
        <v>204</v>
      </c>
      <c r="BS16">
        <v>4256363</v>
      </c>
      <c r="BT16">
        <v>2972073</v>
      </c>
      <c r="BU16">
        <v>0</v>
      </c>
      <c r="BV16">
        <v>0</v>
      </c>
      <c r="BW16">
        <v>542886</v>
      </c>
      <c r="BX16">
        <v>473642</v>
      </c>
      <c r="BY16">
        <v>267762</v>
      </c>
      <c r="BZ16">
        <v>1</v>
      </c>
      <c r="CA16" t="s">
        <v>205</v>
      </c>
      <c r="CB16" t="s">
        <v>206</v>
      </c>
      <c r="CC16" s="3">
        <v>46092.557106481479</v>
      </c>
      <c r="CD16" t="s">
        <v>91</v>
      </c>
    </row>
    <row r="17" spans="1:82" ht="16" x14ac:dyDescent="0.2">
      <c r="A17" t="s">
        <v>207</v>
      </c>
      <c r="B17" t="s">
        <v>208</v>
      </c>
      <c r="C17" t="s">
        <v>209</v>
      </c>
      <c r="D17" t="s">
        <v>78</v>
      </c>
      <c r="E17" t="s">
        <v>210</v>
      </c>
      <c r="F17">
        <v>6</v>
      </c>
      <c r="G17">
        <v>300</v>
      </c>
      <c r="H17" t="str">
        <f t="shared" si="1"/>
        <v>6x300</v>
      </c>
      <c r="I17">
        <v>616</v>
      </c>
      <c r="J17" s="4">
        <f t="shared" si="2"/>
        <v>5.7037037037037032E-2</v>
      </c>
      <c r="K17">
        <v>930</v>
      </c>
      <c r="L17" s="4">
        <f t="shared" si="3"/>
        <v>8.6111111111111124E-2</v>
      </c>
      <c r="M17">
        <v>1410</v>
      </c>
      <c r="N17" s="4">
        <f t="shared" si="4"/>
        <v>0.13055555555555556</v>
      </c>
      <c r="O17">
        <v>2814</v>
      </c>
      <c r="P17" s="4">
        <f t="shared" si="5"/>
        <v>0.2605555555555556</v>
      </c>
      <c r="Q17" s="6">
        <f t="shared" si="0"/>
        <v>2035</v>
      </c>
      <c r="R17" s="6">
        <f t="shared" si="6"/>
        <v>4</v>
      </c>
      <c r="S17">
        <v>304</v>
      </c>
      <c r="T17">
        <v>178</v>
      </c>
      <c r="U17">
        <v>6</v>
      </c>
      <c r="V17">
        <v>35</v>
      </c>
      <c r="W17">
        <v>-3</v>
      </c>
      <c r="X17">
        <v>166</v>
      </c>
      <c r="Y17" s="2" t="s">
        <v>211</v>
      </c>
      <c r="Z17">
        <v>43.850749999999998</v>
      </c>
      <c r="AA17">
        <v>11.166650000000001</v>
      </c>
      <c r="AB17" t="s">
        <v>78</v>
      </c>
      <c r="AC17" t="s">
        <v>81</v>
      </c>
      <c r="AD17" t="s">
        <v>82</v>
      </c>
      <c r="AE17">
        <v>202793</v>
      </c>
      <c r="AF17">
        <v>143010</v>
      </c>
      <c r="AG17">
        <v>0</v>
      </c>
      <c r="AH17">
        <v>23172</v>
      </c>
      <c r="AI17">
        <v>10149</v>
      </c>
      <c r="AJ17">
        <v>16384</v>
      </c>
      <c r="AK17">
        <v>10078</v>
      </c>
      <c r="AL17">
        <v>4216</v>
      </c>
      <c r="AM17">
        <v>19633</v>
      </c>
      <c r="AN17">
        <v>110037</v>
      </c>
      <c r="AO17">
        <v>510772</v>
      </c>
      <c r="AP17">
        <v>0</v>
      </c>
      <c r="AQ17">
        <v>0</v>
      </c>
      <c r="AR17">
        <v>3</v>
      </c>
      <c r="AS17">
        <v>3</v>
      </c>
      <c r="AT17">
        <v>4</v>
      </c>
      <c r="AU17">
        <v>12</v>
      </c>
      <c r="AV17">
        <v>0</v>
      </c>
      <c r="AW17">
        <v>1</v>
      </c>
      <c r="AX17">
        <v>2</v>
      </c>
      <c r="AY17">
        <v>0</v>
      </c>
      <c r="AZ17">
        <v>0</v>
      </c>
      <c r="BA17">
        <v>13</v>
      </c>
      <c r="BB17">
        <v>39</v>
      </c>
      <c r="BC17">
        <v>4</v>
      </c>
      <c r="BD17">
        <v>3</v>
      </c>
      <c r="BE17">
        <v>7</v>
      </c>
      <c r="BF17">
        <v>3</v>
      </c>
      <c r="BG17">
        <v>7</v>
      </c>
      <c r="BH17">
        <v>3</v>
      </c>
      <c r="BI17">
        <v>31</v>
      </c>
      <c r="BJ17">
        <v>43.851007500000001</v>
      </c>
      <c r="BK17">
        <v>11.1665563</v>
      </c>
      <c r="BL17">
        <v>1800</v>
      </c>
      <c r="BM17" t="s">
        <v>83</v>
      </c>
      <c r="BN17" t="s">
        <v>84</v>
      </c>
      <c r="BO17" t="s">
        <v>85</v>
      </c>
      <c r="BP17" t="s">
        <v>86</v>
      </c>
      <c r="BQ17" t="s">
        <v>212</v>
      </c>
      <c r="BR17" t="s">
        <v>213</v>
      </c>
      <c r="BS17">
        <v>4725046</v>
      </c>
      <c r="BT17">
        <v>3529231</v>
      </c>
      <c r="BU17">
        <v>0</v>
      </c>
      <c r="BV17">
        <v>463454</v>
      </c>
      <c r="BW17">
        <v>203007</v>
      </c>
      <c r="BX17">
        <v>327741</v>
      </c>
      <c r="BY17">
        <v>201613</v>
      </c>
      <c r="BZ17">
        <v>1</v>
      </c>
      <c r="CA17" t="s">
        <v>214</v>
      </c>
      <c r="CB17" t="s">
        <v>215</v>
      </c>
      <c r="CC17" s="3">
        <v>46092.557106481479</v>
      </c>
      <c r="CD17" t="s">
        <v>91</v>
      </c>
    </row>
    <row r="18" spans="1:82" ht="16" x14ac:dyDescent="0.2">
      <c r="A18" t="s">
        <v>216</v>
      </c>
      <c r="B18" t="s">
        <v>217</v>
      </c>
      <c r="C18" t="s">
        <v>218</v>
      </c>
      <c r="D18" t="s">
        <v>78</v>
      </c>
      <c r="E18" t="s">
        <v>219</v>
      </c>
      <c r="F18">
        <v>6</v>
      </c>
      <c r="G18">
        <v>300</v>
      </c>
      <c r="H18" t="str">
        <f t="shared" si="1"/>
        <v>6x300</v>
      </c>
      <c r="I18">
        <v>569</v>
      </c>
      <c r="J18" s="4">
        <f t="shared" si="2"/>
        <v>5.2685185185185189E-2</v>
      </c>
      <c r="K18">
        <v>860</v>
      </c>
      <c r="L18" s="4">
        <f t="shared" si="3"/>
        <v>7.9629629629629634E-2</v>
      </c>
      <c r="M18">
        <v>1304</v>
      </c>
      <c r="N18" s="4">
        <f t="shared" si="4"/>
        <v>0.12074074074074075</v>
      </c>
      <c r="O18">
        <v>2602</v>
      </c>
      <c r="P18" s="4">
        <f t="shared" si="5"/>
        <v>0.24092592592592596</v>
      </c>
      <c r="Q18" s="6">
        <f t="shared" si="0"/>
        <v>2035</v>
      </c>
      <c r="R18" s="6">
        <f t="shared" si="6"/>
        <v>4</v>
      </c>
      <c r="S18">
        <v>304</v>
      </c>
      <c r="T18">
        <v>34</v>
      </c>
      <c r="U18">
        <v>36</v>
      </c>
      <c r="V18">
        <v>171</v>
      </c>
      <c r="W18">
        <v>-25</v>
      </c>
      <c r="X18">
        <v>80</v>
      </c>
      <c r="Y18" s="2" t="s">
        <v>220</v>
      </c>
      <c r="Z18">
        <v>45.383009795788404</v>
      </c>
      <c r="AA18">
        <v>9.1695129950985805</v>
      </c>
      <c r="AB18" t="s">
        <v>78</v>
      </c>
      <c r="AC18" t="s">
        <v>81</v>
      </c>
      <c r="AD18" t="s">
        <v>82</v>
      </c>
      <c r="AE18">
        <v>79705</v>
      </c>
      <c r="AF18">
        <v>0</v>
      </c>
      <c r="AG18">
        <v>0</v>
      </c>
      <c r="AH18">
        <v>0</v>
      </c>
      <c r="AI18">
        <v>0</v>
      </c>
      <c r="AJ18">
        <v>79705</v>
      </c>
      <c r="AK18">
        <v>0</v>
      </c>
      <c r="AL18">
        <v>10566</v>
      </c>
      <c r="AM18">
        <v>38475</v>
      </c>
      <c r="AN18">
        <v>128963</v>
      </c>
      <c r="AO18">
        <v>867369</v>
      </c>
      <c r="AP18">
        <v>0</v>
      </c>
      <c r="AQ18">
        <v>0</v>
      </c>
      <c r="AR18">
        <v>2</v>
      </c>
      <c r="AS18">
        <v>4</v>
      </c>
      <c r="AT18">
        <v>5</v>
      </c>
      <c r="AU18">
        <v>16</v>
      </c>
      <c r="AV18">
        <v>32</v>
      </c>
      <c r="AW18">
        <v>0</v>
      </c>
      <c r="AX18">
        <v>1</v>
      </c>
      <c r="AY18">
        <v>0</v>
      </c>
      <c r="AZ18">
        <v>0</v>
      </c>
      <c r="BA18">
        <v>13</v>
      </c>
      <c r="BB18">
        <v>17</v>
      </c>
      <c r="BC18">
        <v>0</v>
      </c>
      <c r="BD18">
        <v>0</v>
      </c>
      <c r="BE18">
        <v>0</v>
      </c>
      <c r="BF18">
        <v>4</v>
      </c>
      <c r="BG18">
        <v>0</v>
      </c>
      <c r="BH18">
        <v>11</v>
      </c>
      <c r="BI18">
        <v>0</v>
      </c>
      <c r="BJ18">
        <v>45.382950000000001</v>
      </c>
      <c r="BK18">
        <v>9.1695899000000001</v>
      </c>
      <c r="BL18">
        <v>1800</v>
      </c>
      <c r="BM18" t="s">
        <v>83</v>
      </c>
      <c r="BN18" t="s">
        <v>84</v>
      </c>
      <c r="BO18" t="s">
        <v>85</v>
      </c>
      <c r="BP18" t="s">
        <v>107</v>
      </c>
      <c r="BQ18" t="s">
        <v>108</v>
      </c>
      <c r="BR18" t="s">
        <v>109</v>
      </c>
      <c r="BS18">
        <v>1594168</v>
      </c>
      <c r="BT18">
        <v>0</v>
      </c>
      <c r="BU18">
        <v>0</v>
      </c>
      <c r="BV18">
        <v>0</v>
      </c>
      <c r="BW18">
        <v>0</v>
      </c>
      <c r="BX18">
        <v>1594168</v>
      </c>
      <c r="BY18">
        <v>0</v>
      </c>
      <c r="BZ18">
        <v>1</v>
      </c>
      <c r="CA18" t="s">
        <v>221</v>
      </c>
      <c r="CB18" t="s">
        <v>222</v>
      </c>
      <c r="CC18" s="3">
        <v>46092.557106481479</v>
      </c>
      <c r="CD18" t="s">
        <v>91</v>
      </c>
    </row>
    <row r="19" spans="1:82" ht="16" x14ac:dyDescent="0.2">
      <c r="A19" t="s">
        <v>223</v>
      </c>
      <c r="B19" t="s">
        <v>224</v>
      </c>
      <c r="C19" t="s">
        <v>225</v>
      </c>
      <c r="D19" t="s">
        <v>78</v>
      </c>
      <c r="E19" t="s">
        <v>226</v>
      </c>
      <c r="F19">
        <v>6</v>
      </c>
      <c r="G19">
        <v>300</v>
      </c>
      <c r="H19" t="str">
        <f t="shared" si="1"/>
        <v>6x300</v>
      </c>
      <c r="I19">
        <v>569</v>
      </c>
      <c r="J19" s="4">
        <f t="shared" si="2"/>
        <v>5.2685185185185189E-2</v>
      </c>
      <c r="K19">
        <v>859</v>
      </c>
      <c r="L19" s="4">
        <f t="shared" si="3"/>
        <v>7.9537037037037031E-2</v>
      </c>
      <c r="M19">
        <v>1302</v>
      </c>
      <c r="N19" s="4">
        <f t="shared" si="4"/>
        <v>0.12055555555555554</v>
      </c>
      <c r="O19">
        <v>2599</v>
      </c>
      <c r="P19" s="4">
        <f t="shared" si="5"/>
        <v>0.24064814814814817</v>
      </c>
      <c r="Q19" s="6">
        <f t="shared" si="0"/>
        <v>2035</v>
      </c>
      <c r="R19" s="6">
        <f t="shared" si="6"/>
        <v>4</v>
      </c>
      <c r="S19">
        <v>304</v>
      </c>
      <c r="T19">
        <v>229</v>
      </c>
      <c r="U19">
        <v>-18</v>
      </c>
      <c r="V19">
        <v>-39</v>
      </c>
      <c r="W19">
        <v>-3</v>
      </c>
      <c r="X19">
        <v>166</v>
      </c>
      <c r="Y19" s="2" t="s">
        <v>227</v>
      </c>
      <c r="Z19">
        <v>45.662832350000002</v>
      </c>
      <c r="AA19">
        <v>9.21713263</v>
      </c>
      <c r="AB19" t="s">
        <v>78</v>
      </c>
      <c r="AC19" t="s">
        <v>81</v>
      </c>
      <c r="AD19" t="s">
        <v>82</v>
      </c>
      <c r="AE19">
        <v>193907</v>
      </c>
      <c r="AF19">
        <v>0</v>
      </c>
      <c r="AG19">
        <v>94890</v>
      </c>
      <c r="AH19">
        <v>0</v>
      </c>
      <c r="AI19">
        <v>13727</v>
      </c>
      <c r="AJ19">
        <v>74667</v>
      </c>
      <c r="AK19">
        <v>10623</v>
      </c>
      <c r="AL19">
        <v>5986</v>
      </c>
      <c r="AM19">
        <v>36455</v>
      </c>
      <c r="AN19">
        <v>211841</v>
      </c>
      <c r="AO19">
        <v>672437</v>
      </c>
      <c r="AP19">
        <v>0</v>
      </c>
      <c r="AQ19">
        <v>0</v>
      </c>
      <c r="AR19">
        <v>2</v>
      </c>
      <c r="AS19">
        <v>5</v>
      </c>
      <c r="AT19">
        <v>0</v>
      </c>
      <c r="AU19">
        <v>4</v>
      </c>
      <c r="AV19">
        <v>2</v>
      </c>
      <c r="AW19">
        <v>0</v>
      </c>
      <c r="AX19">
        <v>0</v>
      </c>
      <c r="AY19">
        <v>0</v>
      </c>
      <c r="AZ19">
        <v>0</v>
      </c>
      <c r="BA19">
        <v>6</v>
      </c>
      <c r="BB19">
        <v>23</v>
      </c>
      <c r="BC19">
        <v>0</v>
      </c>
      <c r="BD19">
        <v>0</v>
      </c>
      <c r="BE19">
        <v>0</v>
      </c>
      <c r="BF19">
        <v>2</v>
      </c>
      <c r="BG19">
        <v>0</v>
      </c>
      <c r="BH19">
        <v>4</v>
      </c>
      <c r="BI19">
        <v>0</v>
      </c>
      <c r="BJ19">
        <v>45.662960699999999</v>
      </c>
      <c r="BK19">
        <v>9.2171444999999999</v>
      </c>
      <c r="BL19">
        <v>1800</v>
      </c>
      <c r="BM19" t="s">
        <v>83</v>
      </c>
      <c r="BN19" t="s">
        <v>84</v>
      </c>
      <c r="BO19" t="s">
        <v>85</v>
      </c>
      <c r="BP19" t="s">
        <v>107</v>
      </c>
      <c r="BQ19" t="s">
        <v>108</v>
      </c>
      <c r="BR19" t="s">
        <v>145</v>
      </c>
      <c r="BS19">
        <v>4315928</v>
      </c>
      <c r="BT19">
        <v>0</v>
      </c>
      <c r="BU19">
        <v>2409678</v>
      </c>
      <c r="BV19">
        <v>0</v>
      </c>
      <c r="BW19">
        <v>274542</v>
      </c>
      <c r="BX19">
        <v>1419143</v>
      </c>
      <c r="BY19">
        <v>212565</v>
      </c>
      <c r="BZ19">
        <v>1</v>
      </c>
      <c r="CA19" t="s">
        <v>228</v>
      </c>
      <c r="CB19" t="s">
        <v>229</v>
      </c>
      <c r="CC19" s="3">
        <v>46092.557106481479</v>
      </c>
      <c r="CD19" t="s">
        <v>91</v>
      </c>
    </row>
    <row r="20" spans="1:82" ht="16" x14ac:dyDescent="0.2">
      <c r="A20" t="s">
        <v>230</v>
      </c>
      <c r="B20" t="s">
        <v>231</v>
      </c>
      <c r="C20" t="s">
        <v>232</v>
      </c>
      <c r="D20" t="s">
        <v>78</v>
      </c>
      <c r="E20" t="s">
        <v>233</v>
      </c>
      <c r="F20">
        <v>6</v>
      </c>
      <c r="G20">
        <v>300</v>
      </c>
      <c r="H20" t="str">
        <f t="shared" si="1"/>
        <v>6x300</v>
      </c>
      <c r="I20">
        <v>564</v>
      </c>
      <c r="J20" s="4">
        <f t="shared" si="2"/>
        <v>5.2222222222222218E-2</v>
      </c>
      <c r="K20">
        <v>852</v>
      </c>
      <c r="L20" s="4">
        <f t="shared" si="3"/>
        <v>7.8888888888888883E-2</v>
      </c>
      <c r="M20">
        <v>1292</v>
      </c>
      <c r="N20" s="4">
        <f t="shared" si="4"/>
        <v>0.11962962962962963</v>
      </c>
      <c r="O20">
        <v>2579</v>
      </c>
      <c r="P20" s="4">
        <f t="shared" si="5"/>
        <v>0.23879629629629628</v>
      </c>
      <c r="Q20" s="6">
        <f t="shared" si="0"/>
        <v>2035</v>
      </c>
      <c r="R20" s="6">
        <f t="shared" si="6"/>
        <v>4</v>
      </c>
      <c r="S20">
        <v>304</v>
      </c>
      <c r="T20">
        <v>222</v>
      </c>
      <c r="U20">
        <v>-17</v>
      </c>
      <c r="V20">
        <v>-12</v>
      </c>
      <c r="W20">
        <v>-25</v>
      </c>
      <c r="X20">
        <v>160</v>
      </c>
      <c r="Y20" s="2" t="s">
        <v>234</v>
      </c>
      <c r="Z20">
        <v>45.6759010141757</v>
      </c>
      <c r="AA20">
        <v>9.2120198509229407</v>
      </c>
      <c r="AB20" t="s">
        <v>78</v>
      </c>
      <c r="AC20" t="s">
        <v>81</v>
      </c>
      <c r="AD20" t="s">
        <v>82</v>
      </c>
      <c r="AE20">
        <v>236096</v>
      </c>
      <c r="AF20">
        <v>0</v>
      </c>
      <c r="AG20">
        <v>140934</v>
      </c>
      <c r="AH20">
        <v>0</v>
      </c>
      <c r="AI20">
        <v>38782</v>
      </c>
      <c r="AJ20">
        <v>52553</v>
      </c>
      <c r="AK20">
        <v>3827</v>
      </c>
      <c r="AL20">
        <v>6463</v>
      </c>
      <c r="AM20">
        <v>34528</v>
      </c>
      <c r="AN20">
        <v>186775</v>
      </c>
      <c r="AO20">
        <v>618304</v>
      </c>
      <c r="AP20">
        <v>0</v>
      </c>
      <c r="AQ20">
        <v>1</v>
      </c>
      <c r="AR20">
        <v>3</v>
      </c>
      <c r="AS20">
        <v>6</v>
      </c>
      <c r="AT20">
        <v>0</v>
      </c>
      <c r="AU20">
        <v>18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6</v>
      </c>
      <c r="BB20">
        <v>30</v>
      </c>
      <c r="BC20">
        <v>0</v>
      </c>
      <c r="BD20">
        <v>0</v>
      </c>
      <c r="BE20">
        <v>0</v>
      </c>
      <c r="BF20">
        <v>2</v>
      </c>
      <c r="BG20">
        <v>0</v>
      </c>
      <c r="BH20">
        <v>8</v>
      </c>
      <c r="BI20">
        <v>0</v>
      </c>
      <c r="BJ20">
        <v>45.675989899999998</v>
      </c>
      <c r="BK20">
        <v>9.2120499999999996</v>
      </c>
      <c r="BL20">
        <v>1800</v>
      </c>
      <c r="BM20" t="s">
        <v>83</v>
      </c>
      <c r="BN20" t="s">
        <v>84</v>
      </c>
      <c r="BO20" t="s">
        <v>85</v>
      </c>
      <c r="BP20" t="s">
        <v>107</v>
      </c>
      <c r="BQ20" t="s">
        <v>108</v>
      </c>
      <c r="BR20" t="s">
        <v>145</v>
      </c>
      <c r="BS20">
        <v>4083868</v>
      </c>
      <c r="BT20">
        <v>0</v>
      </c>
      <c r="BU20">
        <v>2268414</v>
      </c>
      <c r="BV20">
        <v>0</v>
      </c>
      <c r="BW20">
        <v>560469</v>
      </c>
      <c r="BX20">
        <v>1178418</v>
      </c>
      <c r="BY20">
        <v>76567</v>
      </c>
      <c r="BZ20">
        <v>1</v>
      </c>
      <c r="CA20" t="s">
        <v>235</v>
      </c>
      <c r="CB20" t="s">
        <v>236</v>
      </c>
      <c r="CC20" s="3">
        <v>46092.557106481479</v>
      </c>
      <c r="CD20" t="s">
        <v>91</v>
      </c>
    </row>
    <row r="21" spans="1:82" ht="16" x14ac:dyDescent="0.2">
      <c r="A21" t="s">
        <v>237</v>
      </c>
      <c r="B21" t="s">
        <v>238</v>
      </c>
      <c r="C21" t="s">
        <v>239</v>
      </c>
      <c r="D21" t="s">
        <v>78</v>
      </c>
      <c r="E21" t="s">
        <v>240</v>
      </c>
      <c r="F21">
        <v>6</v>
      </c>
      <c r="G21">
        <v>300</v>
      </c>
      <c r="H21" t="str">
        <f t="shared" si="1"/>
        <v>6x300</v>
      </c>
      <c r="I21">
        <v>554</v>
      </c>
      <c r="J21" s="4">
        <f t="shared" si="2"/>
        <v>5.1296296296296291E-2</v>
      </c>
      <c r="K21">
        <v>836</v>
      </c>
      <c r="L21" s="4">
        <f t="shared" si="3"/>
        <v>7.7407407407407411E-2</v>
      </c>
      <c r="M21">
        <v>1269</v>
      </c>
      <c r="N21" s="4">
        <f t="shared" si="4"/>
        <v>0.11750000000000001</v>
      </c>
      <c r="O21">
        <v>2532</v>
      </c>
      <c r="P21" s="4">
        <f t="shared" si="5"/>
        <v>0.23444444444444443</v>
      </c>
      <c r="Q21" s="6">
        <f t="shared" si="0"/>
        <v>2035</v>
      </c>
      <c r="R21" s="6">
        <f t="shared" si="6"/>
        <v>4</v>
      </c>
      <c r="S21">
        <v>304</v>
      </c>
      <c r="T21">
        <v>110</v>
      </c>
      <c r="U21">
        <v>62</v>
      </c>
      <c r="V21">
        <v>23</v>
      </c>
      <c r="W21">
        <v>-24</v>
      </c>
      <c r="X21">
        <v>132</v>
      </c>
      <c r="Y21" s="2" t="s">
        <v>241</v>
      </c>
      <c r="Z21">
        <v>38.149430000000002</v>
      </c>
      <c r="AA21">
        <v>13.324400000000001</v>
      </c>
      <c r="AB21" t="s">
        <v>78</v>
      </c>
      <c r="AC21" t="s">
        <v>81</v>
      </c>
      <c r="AD21" t="s">
        <v>82</v>
      </c>
      <c r="AE21">
        <v>77915</v>
      </c>
      <c r="AF21">
        <v>20753</v>
      </c>
      <c r="AG21">
        <v>19347</v>
      </c>
      <c r="AH21">
        <v>0</v>
      </c>
      <c r="AI21">
        <v>11631</v>
      </c>
      <c r="AJ21">
        <v>25337</v>
      </c>
      <c r="AK21">
        <v>847</v>
      </c>
      <c r="AL21">
        <v>26913</v>
      </c>
      <c r="AM21">
        <v>93421</v>
      </c>
      <c r="AN21">
        <v>409881</v>
      </c>
      <c r="AO21">
        <v>703780</v>
      </c>
      <c r="AP21">
        <v>0</v>
      </c>
      <c r="AQ21">
        <v>0</v>
      </c>
      <c r="AR21">
        <v>0</v>
      </c>
      <c r="AS21">
        <v>4</v>
      </c>
      <c r="AT21">
        <v>2</v>
      </c>
      <c r="AU21">
        <v>18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18</v>
      </c>
      <c r="BB21">
        <v>36</v>
      </c>
      <c r="BC21">
        <v>0</v>
      </c>
      <c r="BD21">
        <v>0</v>
      </c>
      <c r="BE21">
        <v>0</v>
      </c>
      <c r="BF21">
        <v>8</v>
      </c>
      <c r="BG21">
        <v>0</v>
      </c>
      <c r="BH21">
        <v>12</v>
      </c>
      <c r="BI21">
        <v>0</v>
      </c>
      <c r="BJ21">
        <v>38.149563399999998</v>
      </c>
      <c r="BK21">
        <v>13.3241649</v>
      </c>
      <c r="BL21">
        <v>1800</v>
      </c>
      <c r="BM21" t="s">
        <v>83</v>
      </c>
      <c r="BN21" t="s">
        <v>84</v>
      </c>
      <c r="BO21" t="s">
        <v>85</v>
      </c>
      <c r="BP21" t="s">
        <v>242</v>
      </c>
      <c r="BQ21" t="s">
        <v>243</v>
      </c>
      <c r="BR21" t="s">
        <v>244</v>
      </c>
      <c r="BS21">
        <v>1798940</v>
      </c>
      <c r="BT21">
        <v>539587</v>
      </c>
      <c r="BU21">
        <v>503028</v>
      </c>
      <c r="BV21">
        <v>0</v>
      </c>
      <c r="BW21">
        <v>232623</v>
      </c>
      <c r="BX21">
        <v>506761</v>
      </c>
      <c r="BY21">
        <v>16941</v>
      </c>
      <c r="BZ21">
        <v>1</v>
      </c>
      <c r="CA21" t="s">
        <v>245</v>
      </c>
      <c r="CB21" t="s">
        <v>246</v>
      </c>
      <c r="CC21" s="3">
        <v>46092.557106481479</v>
      </c>
      <c r="CD21" t="s">
        <v>91</v>
      </c>
    </row>
    <row r="22" spans="1:82" ht="16" x14ac:dyDescent="0.2">
      <c r="A22" t="s">
        <v>247</v>
      </c>
      <c r="B22" t="s">
        <v>248</v>
      </c>
      <c r="C22" t="s">
        <v>249</v>
      </c>
      <c r="D22" t="s">
        <v>78</v>
      </c>
      <c r="E22" t="s">
        <v>250</v>
      </c>
      <c r="F22">
        <v>6</v>
      </c>
      <c r="G22">
        <v>300</v>
      </c>
      <c r="H22" t="str">
        <f t="shared" si="1"/>
        <v>6x300</v>
      </c>
      <c r="I22">
        <v>552</v>
      </c>
      <c r="J22" s="4">
        <f t="shared" si="2"/>
        <v>5.1111111111111114E-2</v>
      </c>
      <c r="K22">
        <v>833</v>
      </c>
      <c r="L22" s="4">
        <f t="shared" si="3"/>
        <v>7.7129629629629631E-2</v>
      </c>
      <c r="M22">
        <v>1264</v>
      </c>
      <c r="N22" s="4">
        <f t="shared" si="4"/>
        <v>0.11703703703703704</v>
      </c>
      <c r="O22">
        <v>2522</v>
      </c>
      <c r="P22" s="4">
        <f t="shared" si="5"/>
        <v>0.23351851851851849</v>
      </c>
      <c r="Q22" s="6">
        <f t="shared" si="0"/>
        <v>2035</v>
      </c>
      <c r="R22" s="6">
        <f t="shared" si="6"/>
        <v>4</v>
      </c>
      <c r="S22">
        <v>304</v>
      </c>
      <c r="T22">
        <v>213</v>
      </c>
      <c r="U22">
        <v>1</v>
      </c>
      <c r="V22">
        <v>-56</v>
      </c>
      <c r="W22">
        <v>-7</v>
      </c>
      <c r="X22">
        <v>169</v>
      </c>
      <c r="Y22" s="2" t="s">
        <v>251</v>
      </c>
      <c r="Z22">
        <v>41.981140000000003</v>
      </c>
      <c r="AA22">
        <v>12.416320000000001</v>
      </c>
      <c r="AB22" t="s">
        <v>78</v>
      </c>
      <c r="AC22" t="s">
        <v>81</v>
      </c>
      <c r="AD22" t="s">
        <v>82</v>
      </c>
      <c r="AE22">
        <v>222440</v>
      </c>
      <c r="AF22">
        <v>165680</v>
      </c>
      <c r="AG22">
        <v>0</v>
      </c>
      <c r="AH22">
        <v>0</v>
      </c>
      <c r="AI22">
        <v>27982</v>
      </c>
      <c r="AJ22">
        <v>28778</v>
      </c>
      <c r="AK22">
        <v>0</v>
      </c>
      <c r="AL22">
        <v>5255</v>
      </c>
      <c r="AM22">
        <v>19410</v>
      </c>
      <c r="AN22">
        <v>117846</v>
      </c>
      <c r="AO22">
        <v>697284</v>
      </c>
      <c r="AP22">
        <v>2</v>
      </c>
      <c r="AQ22">
        <v>0</v>
      </c>
      <c r="AR22">
        <v>1</v>
      </c>
      <c r="AS22">
        <v>2</v>
      </c>
      <c r="AT22">
        <v>2</v>
      </c>
      <c r="AU22">
        <v>22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41.980959900000002</v>
      </c>
      <c r="BK22">
        <v>12.416189899999999</v>
      </c>
      <c r="BL22">
        <v>1800</v>
      </c>
      <c r="BM22" t="s">
        <v>83</v>
      </c>
      <c r="BN22" t="s">
        <v>84</v>
      </c>
      <c r="BO22" t="s">
        <v>85</v>
      </c>
      <c r="BP22" t="s">
        <v>86</v>
      </c>
      <c r="BQ22" t="s">
        <v>87</v>
      </c>
      <c r="BR22" t="s">
        <v>88</v>
      </c>
      <c r="BS22">
        <v>4111295</v>
      </c>
      <c r="BT22">
        <v>2976037</v>
      </c>
      <c r="BU22">
        <v>0</v>
      </c>
      <c r="BV22">
        <v>0</v>
      </c>
      <c r="BW22">
        <v>559665</v>
      </c>
      <c r="BX22">
        <v>575593</v>
      </c>
      <c r="BY22">
        <v>0</v>
      </c>
      <c r="BZ22">
        <v>1</v>
      </c>
      <c r="CA22" t="s">
        <v>252</v>
      </c>
      <c r="CB22" t="s">
        <v>253</v>
      </c>
      <c r="CC22" s="3">
        <v>46092.557106481479</v>
      </c>
      <c r="CD22" t="s">
        <v>91</v>
      </c>
    </row>
    <row r="23" spans="1:82" ht="16" x14ac:dyDescent="0.2">
      <c r="A23" t="s">
        <v>254</v>
      </c>
      <c r="B23" t="s">
        <v>255</v>
      </c>
      <c r="C23" t="s">
        <v>256</v>
      </c>
      <c r="D23" t="s">
        <v>78</v>
      </c>
      <c r="E23" t="s">
        <v>257</v>
      </c>
      <c r="F23">
        <v>6</v>
      </c>
      <c r="G23">
        <v>300</v>
      </c>
      <c r="H23" t="str">
        <f t="shared" si="1"/>
        <v>6x300</v>
      </c>
      <c r="I23">
        <v>551</v>
      </c>
      <c r="J23" s="4">
        <f t="shared" si="2"/>
        <v>5.1018518518518519E-2</v>
      </c>
      <c r="K23">
        <v>833</v>
      </c>
      <c r="L23" s="4">
        <f t="shared" si="3"/>
        <v>7.7129629629629631E-2</v>
      </c>
      <c r="M23">
        <v>1263</v>
      </c>
      <c r="N23" s="4">
        <f t="shared" si="4"/>
        <v>0.11694444444444445</v>
      </c>
      <c r="O23">
        <v>2520</v>
      </c>
      <c r="P23" s="4">
        <f t="shared" si="5"/>
        <v>0.23333333333333336</v>
      </c>
      <c r="Q23" s="6">
        <f t="shared" si="0"/>
        <v>2035</v>
      </c>
      <c r="R23" s="6">
        <f t="shared" si="6"/>
        <v>4</v>
      </c>
      <c r="S23">
        <v>304</v>
      </c>
      <c r="T23">
        <v>72</v>
      </c>
      <c r="U23">
        <v>97</v>
      </c>
      <c r="V23">
        <v>1</v>
      </c>
      <c r="W23">
        <v>1</v>
      </c>
      <c r="X23">
        <v>129</v>
      </c>
      <c r="Y23" s="2" t="s">
        <v>258</v>
      </c>
      <c r="Z23">
        <v>41.863107061810602</v>
      </c>
      <c r="AA23">
        <v>12.6276496052742</v>
      </c>
      <c r="AB23" t="s">
        <v>78</v>
      </c>
      <c r="AC23" t="s">
        <v>81</v>
      </c>
      <c r="AD23" t="s">
        <v>82</v>
      </c>
      <c r="AE23">
        <v>115196</v>
      </c>
      <c r="AF23">
        <v>0</v>
      </c>
      <c r="AG23">
        <v>0</v>
      </c>
      <c r="AH23">
        <v>0</v>
      </c>
      <c r="AI23">
        <v>10372</v>
      </c>
      <c r="AJ23">
        <v>18953</v>
      </c>
      <c r="AK23">
        <v>85871</v>
      </c>
      <c r="AL23">
        <v>20998</v>
      </c>
      <c r="AM23">
        <v>66961</v>
      </c>
      <c r="AN23">
        <v>307416</v>
      </c>
      <c r="AO23">
        <v>1080836</v>
      </c>
      <c r="AP23">
        <v>0</v>
      </c>
      <c r="AQ23">
        <v>0</v>
      </c>
      <c r="AR23">
        <v>1</v>
      </c>
      <c r="AS23">
        <v>8</v>
      </c>
      <c r="AT23">
        <v>7</v>
      </c>
      <c r="AU23">
        <v>17</v>
      </c>
      <c r="AV23">
        <v>0</v>
      </c>
      <c r="AW23">
        <v>0</v>
      </c>
      <c r="AX23">
        <v>3</v>
      </c>
      <c r="AY23">
        <v>0</v>
      </c>
      <c r="AZ23">
        <v>0</v>
      </c>
      <c r="BA23">
        <v>26</v>
      </c>
      <c r="BB23">
        <v>32</v>
      </c>
      <c r="BC23">
        <v>15</v>
      </c>
      <c r="BD23">
        <v>2</v>
      </c>
      <c r="BE23">
        <v>0</v>
      </c>
      <c r="BF23">
        <v>4</v>
      </c>
      <c r="BG23">
        <v>0</v>
      </c>
      <c r="BH23">
        <v>10</v>
      </c>
      <c r="BI23">
        <v>0</v>
      </c>
      <c r="BJ23">
        <v>41.863216700000002</v>
      </c>
      <c r="BK23">
        <v>12.627628</v>
      </c>
      <c r="BL23">
        <v>1800</v>
      </c>
      <c r="BM23" t="s">
        <v>83</v>
      </c>
      <c r="BN23" t="s">
        <v>84</v>
      </c>
      <c r="BO23" t="s">
        <v>85</v>
      </c>
      <c r="BP23" t="s">
        <v>86</v>
      </c>
      <c r="BQ23" t="s">
        <v>87</v>
      </c>
      <c r="BR23" t="s">
        <v>88</v>
      </c>
      <c r="BS23">
        <v>1790821</v>
      </c>
      <c r="BT23">
        <v>0</v>
      </c>
      <c r="BU23">
        <v>0</v>
      </c>
      <c r="BV23">
        <v>0</v>
      </c>
      <c r="BW23">
        <v>207450</v>
      </c>
      <c r="BX23">
        <v>379095</v>
      </c>
      <c r="BY23">
        <v>1204276</v>
      </c>
      <c r="BZ23">
        <v>1</v>
      </c>
      <c r="CA23" t="s">
        <v>259</v>
      </c>
      <c r="CB23" t="s">
        <v>260</v>
      </c>
      <c r="CC23" s="3">
        <v>46092.557106481479</v>
      </c>
      <c r="CD23" t="s">
        <v>91</v>
      </c>
    </row>
    <row r="24" spans="1:82" ht="16" x14ac:dyDescent="0.2">
      <c r="A24" t="s">
        <v>261</v>
      </c>
      <c r="B24" t="s">
        <v>262</v>
      </c>
      <c r="C24" t="s">
        <v>263</v>
      </c>
      <c r="D24" t="s">
        <v>78</v>
      </c>
      <c r="E24" t="s">
        <v>264</v>
      </c>
      <c r="F24">
        <v>6</v>
      </c>
      <c r="G24">
        <v>300</v>
      </c>
      <c r="H24" t="str">
        <f t="shared" si="1"/>
        <v>6x300</v>
      </c>
      <c r="I24">
        <v>538</v>
      </c>
      <c r="J24" s="4">
        <f t="shared" si="2"/>
        <v>4.9814814814814812E-2</v>
      </c>
      <c r="K24">
        <v>812</v>
      </c>
      <c r="L24" s="4">
        <f t="shared" si="3"/>
        <v>7.5185185185185174E-2</v>
      </c>
      <c r="M24">
        <v>1232</v>
      </c>
      <c r="N24" s="4">
        <f t="shared" si="4"/>
        <v>0.11407407407407406</v>
      </c>
      <c r="O24">
        <v>2459</v>
      </c>
      <c r="P24" s="4">
        <f t="shared" si="5"/>
        <v>0.22768518518518521</v>
      </c>
      <c r="Q24" s="6">
        <f t="shared" si="0"/>
        <v>2035</v>
      </c>
      <c r="R24" s="6">
        <f t="shared" si="6"/>
        <v>4</v>
      </c>
      <c r="S24">
        <v>304</v>
      </c>
      <c r="T24">
        <v>71</v>
      </c>
      <c r="U24">
        <v>23</v>
      </c>
      <c r="V24">
        <v>87</v>
      </c>
      <c r="W24">
        <v>-17</v>
      </c>
      <c r="X24">
        <v>116</v>
      </c>
      <c r="Y24" s="2" t="s">
        <v>265</v>
      </c>
      <c r="Z24">
        <v>44.491330369863803</v>
      </c>
      <c r="AA24">
        <v>11.423220410751499</v>
      </c>
      <c r="AB24" t="s">
        <v>78</v>
      </c>
      <c r="AC24" t="s">
        <v>81</v>
      </c>
      <c r="AD24" t="s">
        <v>82</v>
      </c>
      <c r="AE24">
        <v>19257</v>
      </c>
      <c r="AF24">
        <v>0</v>
      </c>
      <c r="AG24">
        <v>0</v>
      </c>
      <c r="AH24">
        <v>0</v>
      </c>
      <c r="AI24">
        <v>11817</v>
      </c>
      <c r="AJ24">
        <v>1667</v>
      </c>
      <c r="AK24">
        <v>5773</v>
      </c>
      <c r="AL24">
        <v>1585</v>
      </c>
      <c r="AM24">
        <v>7517</v>
      </c>
      <c r="AN24">
        <v>166841</v>
      </c>
      <c r="AO24">
        <v>427744</v>
      </c>
      <c r="AP24">
        <v>1</v>
      </c>
      <c r="AQ24">
        <v>1</v>
      </c>
      <c r="AR24">
        <v>6</v>
      </c>
      <c r="AS24">
        <v>39</v>
      </c>
      <c r="AT24">
        <v>2</v>
      </c>
      <c r="AU24">
        <v>10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18</v>
      </c>
      <c r="BB24">
        <v>41</v>
      </c>
      <c r="BC24">
        <v>12</v>
      </c>
      <c r="BD24">
        <v>2</v>
      </c>
      <c r="BE24">
        <v>0</v>
      </c>
      <c r="BF24">
        <v>2</v>
      </c>
      <c r="BG24">
        <v>0</v>
      </c>
      <c r="BH24">
        <v>6</v>
      </c>
      <c r="BI24">
        <v>4</v>
      </c>
      <c r="BJ24">
        <v>44.49136</v>
      </c>
      <c r="BK24">
        <v>11.423249999999999</v>
      </c>
      <c r="BL24">
        <v>1800</v>
      </c>
      <c r="BM24" t="s">
        <v>83</v>
      </c>
      <c r="BN24" t="s">
        <v>84</v>
      </c>
      <c r="BO24" t="s">
        <v>85</v>
      </c>
      <c r="BP24" t="s">
        <v>160</v>
      </c>
      <c r="BQ24" t="s">
        <v>170</v>
      </c>
      <c r="BR24" t="s">
        <v>266</v>
      </c>
      <c r="BS24">
        <v>385188</v>
      </c>
      <c r="BT24">
        <v>0</v>
      </c>
      <c r="BU24">
        <v>0</v>
      </c>
      <c r="BV24">
        <v>0</v>
      </c>
      <c r="BW24">
        <v>236364</v>
      </c>
      <c r="BX24">
        <v>33346</v>
      </c>
      <c r="BY24">
        <v>115478</v>
      </c>
      <c r="BZ24">
        <v>1</v>
      </c>
      <c r="CA24" t="s">
        <v>267</v>
      </c>
      <c r="CB24" t="s">
        <v>268</v>
      </c>
      <c r="CC24" s="3">
        <v>46092.557106481479</v>
      </c>
      <c r="CD24" t="s">
        <v>91</v>
      </c>
    </row>
    <row r="25" spans="1:82" ht="16" x14ac:dyDescent="0.2">
      <c r="A25" t="s">
        <v>269</v>
      </c>
      <c r="B25" t="s">
        <v>270</v>
      </c>
      <c r="C25" t="s">
        <v>271</v>
      </c>
      <c r="D25" t="s">
        <v>78</v>
      </c>
      <c r="E25" t="s">
        <v>272</v>
      </c>
      <c r="F25">
        <v>6</v>
      </c>
      <c r="G25">
        <v>300</v>
      </c>
      <c r="H25" t="str">
        <f t="shared" si="1"/>
        <v>6x300</v>
      </c>
      <c r="I25">
        <v>523</v>
      </c>
      <c r="J25" s="4">
        <f t="shared" si="2"/>
        <v>4.8425925925925928E-2</v>
      </c>
      <c r="K25">
        <v>790</v>
      </c>
      <c r="L25" s="4">
        <f t="shared" si="3"/>
        <v>7.3148148148148143E-2</v>
      </c>
      <c r="M25">
        <v>1199</v>
      </c>
      <c r="N25" s="4">
        <f t="shared" si="4"/>
        <v>0.11101851851851852</v>
      </c>
      <c r="O25">
        <v>2392</v>
      </c>
      <c r="P25" s="4">
        <f t="shared" si="5"/>
        <v>0.2214814814814815</v>
      </c>
      <c r="Q25" s="6">
        <f t="shared" si="0"/>
        <v>2035</v>
      </c>
      <c r="R25" s="6">
        <f t="shared" si="6"/>
        <v>4</v>
      </c>
      <c r="S25">
        <v>304</v>
      </c>
      <c r="T25">
        <v>134</v>
      </c>
      <c r="U25">
        <v>23</v>
      </c>
      <c r="V25">
        <v>-16</v>
      </c>
      <c r="W25">
        <v>-5</v>
      </c>
      <c r="X25">
        <v>143</v>
      </c>
      <c r="Y25" s="2" t="s">
        <v>273</v>
      </c>
      <c r="Z25">
        <v>45.004628760000003</v>
      </c>
      <c r="AA25">
        <v>7.673297228</v>
      </c>
      <c r="AB25" t="s">
        <v>78</v>
      </c>
      <c r="AC25" t="s">
        <v>81</v>
      </c>
      <c r="AD25" t="s">
        <v>82</v>
      </c>
      <c r="AE25">
        <v>97999</v>
      </c>
      <c r="AF25">
        <v>22783</v>
      </c>
      <c r="AG25">
        <v>0</v>
      </c>
      <c r="AH25">
        <v>36351</v>
      </c>
      <c r="AI25">
        <v>32660</v>
      </c>
      <c r="AJ25">
        <v>2777</v>
      </c>
      <c r="AK25">
        <v>3428</v>
      </c>
      <c r="AL25">
        <v>13776</v>
      </c>
      <c r="AM25">
        <v>59105</v>
      </c>
      <c r="AN25">
        <v>274389</v>
      </c>
      <c r="AO25">
        <v>919379</v>
      </c>
      <c r="AP25">
        <v>7</v>
      </c>
      <c r="AQ25">
        <v>0</v>
      </c>
      <c r="AR25">
        <v>3</v>
      </c>
      <c r="AS25">
        <v>7</v>
      </c>
      <c r="AT25">
        <v>4</v>
      </c>
      <c r="AU25">
        <v>31</v>
      </c>
      <c r="AV25">
        <v>3</v>
      </c>
      <c r="AW25">
        <v>1</v>
      </c>
      <c r="AX25">
        <v>0</v>
      </c>
      <c r="AY25">
        <v>0</v>
      </c>
      <c r="AZ25">
        <v>0</v>
      </c>
      <c r="BA25">
        <v>3</v>
      </c>
      <c r="BB25">
        <v>60</v>
      </c>
      <c r="BC25">
        <v>1</v>
      </c>
      <c r="BD25">
        <v>2</v>
      </c>
      <c r="BE25">
        <v>0</v>
      </c>
      <c r="BF25">
        <v>2</v>
      </c>
      <c r="BG25">
        <v>0</v>
      </c>
      <c r="BH25">
        <v>14</v>
      </c>
      <c r="BI25">
        <v>0</v>
      </c>
      <c r="BJ25">
        <v>45.004663899999997</v>
      </c>
      <c r="BK25">
        <v>7.6733604</v>
      </c>
      <c r="BL25">
        <v>1800</v>
      </c>
      <c r="BM25" t="s">
        <v>83</v>
      </c>
      <c r="BN25" t="s">
        <v>84</v>
      </c>
      <c r="BO25" t="s">
        <v>85</v>
      </c>
      <c r="BP25" t="s">
        <v>107</v>
      </c>
      <c r="BQ25" t="s">
        <v>203</v>
      </c>
      <c r="BR25" t="s">
        <v>204</v>
      </c>
      <c r="BS25">
        <v>2225227</v>
      </c>
      <c r="BT25">
        <v>592381</v>
      </c>
      <c r="BU25">
        <v>0</v>
      </c>
      <c r="BV25">
        <v>855461</v>
      </c>
      <c r="BW25">
        <v>653247</v>
      </c>
      <c r="BX25">
        <v>55551</v>
      </c>
      <c r="BY25">
        <v>68587</v>
      </c>
      <c r="BZ25">
        <v>1</v>
      </c>
      <c r="CA25" t="s">
        <v>274</v>
      </c>
      <c r="CB25" t="s">
        <v>275</v>
      </c>
      <c r="CC25" s="3">
        <v>46092.557106481479</v>
      </c>
      <c r="CD25" t="s">
        <v>91</v>
      </c>
    </row>
    <row r="26" spans="1:82" ht="16" x14ac:dyDescent="0.2">
      <c r="A26" t="s">
        <v>276</v>
      </c>
      <c r="B26" t="s">
        <v>277</v>
      </c>
      <c r="C26" t="s">
        <v>278</v>
      </c>
      <c r="D26" t="s">
        <v>78</v>
      </c>
      <c r="E26" t="s">
        <v>279</v>
      </c>
      <c r="F26">
        <v>6</v>
      </c>
      <c r="G26">
        <v>300</v>
      </c>
      <c r="H26" t="str">
        <f t="shared" si="1"/>
        <v>6x300</v>
      </c>
      <c r="I26">
        <v>501</v>
      </c>
      <c r="J26" s="4">
        <f t="shared" si="2"/>
        <v>4.6388888888888889E-2</v>
      </c>
      <c r="K26">
        <v>757</v>
      </c>
      <c r="L26" s="4">
        <f t="shared" si="3"/>
        <v>7.0092592592592595E-2</v>
      </c>
      <c r="M26">
        <v>1148</v>
      </c>
      <c r="N26" s="4">
        <f t="shared" si="4"/>
        <v>0.10629629629629629</v>
      </c>
      <c r="O26">
        <v>2291</v>
      </c>
      <c r="P26" s="4">
        <f t="shared" si="5"/>
        <v>0.21212962962962964</v>
      </c>
      <c r="Q26" s="6">
        <f t="shared" si="0"/>
        <v>2035</v>
      </c>
      <c r="R26" s="6">
        <f t="shared" si="6"/>
        <v>4</v>
      </c>
      <c r="S26">
        <v>304</v>
      </c>
      <c r="T26">
        <v>73</v>
      </c>
      <c r="U26">
        <v>4</v>
      </c>
      <c r="V26">
        <v>27</v>
      </c>
      <c r="W26">
        <v>15</v>
      </c>
      <c r="X26">
        <v>135</v>
      </c>
      <c r="Y26" s="2" t="s">
        <v>280</v>
      </c>
      <c r="Z26">
        <v>45.726508951397797</v>
      </c>
      <c r="AA26">
        <v>9.06701614907705</v>
      </c>
      <c r="AB26" t="s">
        <v>78</v>
      </c>
      <c r="AC26" t="s">
        <v>81</v>
      </c>
      <c r="AD26" t="s">
        <v>82</v>
      </c>
      <c r="AE26">
        <v>46743</v>
      </c>
      <c r="AF26">
        <v>0</v>
      </c>
      <c r="AG26">
        <v>0</v>
      </c>
      <c r="AH26">
        <v>16238</v>
      </c>
      <c r="AI26">
        <v>18056</v>
      </c>
      <c r="AJ26">
        <v>8349</v>
      </c>
      <c r="AK26">
        <v>4100</v>
      </c>
      <c r="AL26">
        <v>4046</v>
      </c>
      <c r="AM26">
        <v>10944</v>
      </c>
      <c r="AN26">
        <v>87536</v>
      </c>
      <c r="AO26">
        <v>383559</v>
      </c>
      <c r="AP26">
        <v>0</v>
      </c>
      <c r="AQ26">
        <v>1</v>
      </c>
      <c r="AR26">
        <v>4</v>
      </c>
      <c r="AS26">
        <v>8</v>
      </c>
      <c r="AT26">
        <v>2</v>
      </c>
      <c r="AU26">
        <v>6</v>
      </c>
      <c r="AV26">
        <v>2</v>
      </c>
      <c r="AW26">
        <v>1</v>
      </c>
      <c r="AX26">
        <v>1</v>
      </c>
      <c r="AY26">
        <v>0</v>
      </c>
      <c r="AZ26">
        <v>0</v>
      </c>
      <c r="BA26">
        <v>9</v>
      </c>
      <c r="BB26">
        <v>9</v>
      </c>
      <c r="BC26">
        <v>7</v>
      </c>
      <c r="BD26">
        <v>0</v>
      </c>
      <c r="BE26">
        <v>0</v>
      </c>
      <c r="BF26">
        <v>2</v>
      </c>
      <c r="BG26">
        <v>0</v>
      </c>
      <c r="BH26">
        <v>2</v>
      </c>
      <c r="BI26">
        <v>0</v>
      </c>
      <c r="BJ26">
        <v>45.726507400000003</v>
      </c>
      <c r="BK26">
        <v>9.0669971</v>
      </c>
      <c r="BL26">
        <v>1800</v>
      </c>
      <c r="BM26" t="s">
        <v>83</v>
      </c>
      <c r="BN26" t="s">
        <v>84</v>
      </c>
      <c r="BO26" t="s">
        <v>85</v>
      </c>
      <c r="BP26" t="s">
        <v>107</v>
      </c>
      <c r="BQ26" t="s">
        <v>108</v>
      </c>
      <c r="BR26" t="s">
        <v>281</v>
      </c>
      <c r="BS26">
        <v>934986</v>
      </c>
      <c r="BT26">
        <v>0</v>
      </c>
      <c r="BU26">
        <v>0</v>
      </c>
      <c r="BV26">
        <v>324781</v>
      </c>
      <c r="BW26">
        <v>361151</v>
      </c>
      <c r="BX26">
        <v>167013</v>
      </c>
      <c r="BY26">
        <v>82041</v>
      </c>
      <c r="BZ26">
        <v>1</v>
      </c>
      <c r="CA26" t="s">
        <v>282</v>
      </c>
      <c r="CB26" t="s">
        <v>283</v>
      </c>
      <c r="CC26" s="3">
        <v>46092.557106481479</v>
      </c>
      <c r="CD26" t="s">
        <v>91</v>
      </c>
    </row>
    <row r="27" spans="1:82" ht="16" x14ac:dyDescent="0.2">
      <c r="A27" t="s">
        <v>284</v>
      </c>
      <c r="B27" t="s">
        <v>285</v>
      </c>
      <c r="C27" t="s">
        <v>286</v>
      </c>
      <c r="D27" t="s">
        <v>78</v>
      </c>
      <c r="E27" t="s">
        <v>287</v>
      </c>
      <c r="F27">
        <v>6</v>
      </c>
      <c r="G27">
        <v>300</v>
      </c>
      <c r="H27" t="str">
        <f t="shared" si="1"/>
        <v>6x300</v>
      </c>
      <c r="I27">
        <v>489</v>
      </c>
      <c r="J27" s="4">
        <f t="shared" si="2"/>
        <v>4.5277777777777778E-2</v>
      </c>
      <c r="K27">
        <v>738</v>
      </c>
      <c r="L27" s="4">
        <f t="shared" si="3"/>
        <v>6.8333333333333329E-2</v>
      </c>
      <c r="M27">
        <v>1120</v>
      </c>
      <c r="N27" s="4">
        <f t="shared" si="4"/>
        <v>0.1037037037037037</v>
      </c>
      <c r="O27">
        <v>2235</v>
      </c>
      <c r="P27" s="4">
        <f t="shared" si="5"/>
        <v>0.20694444444444446</v>
      </c>
      <c r="Q27" s="6">
        <f t="shared" si="0"/>
        <v>2035</v>
      </c>
      <c r="R27" s="6">
        <f t="shared" si="6"/>
        <v>4</v>
      </c>
      <c r="S27">
        <v>304</v>
      </c>
      <c r="T27">
        <v>171</v>
      </c>
      <c r="U27">
        <v>-34</v>
      </c>
      <c r="V27">
        <v>-19</v>
      </c>
      <c r="W27">
        <v>-24</v>
      </c>
      <c r="X27">
        <v>154</v>
      </c>
      <c r="Y27" s="2" t="s">
        <v>288</v>
      </c>
      <c r="Z27">
        <v>45.166981</v>
      </c>
      <c r="AA27">
        <v>10.85084</v>
      </c>
      <c r="AB27" t="s">
        <v>78</v>
      </c>
      <c r="AC27" t="s">
        <v>81</v>
      </c>
      <c r="AD27" t="s">
        <v>82</v>
      </c>
      <c r="AE27">
        <v>121884</v>
      </c>
      <c r="AF27">
        <v>76247</v>
      </c>
      <c r="AG27">
        <v>16807</v>
      </c>
      <c r="AH27">
        <v>23765</v>
      </c>
      <c r="AI27">
        <v>0</v>
      </c>
      <c r="AJ27">
        <v>5065</v>
      </c>
      <c r="AK27">
        <v>0</v>
      </c>
      <c r="AL27">
        <v>3572</v>
      </c>
      <c r="AM27">
        <v>9539</v>
      </c>
      <c r="AN27">
        <v>39378</v>
      </c>
      <c r="AO27">
        <v>115707</v>
      </c>
      <c r="AP27">
        <v>1</v>
      </c>
      <c r="AQ27">
        <v>3</v>
      </c>
      <c r="AR27">
        <v>4</v>
      </c>
      <c r="AS27">
        <v>7</v>
      </c>
      <c r="AT27">
        <v>1</v>
      </c>
      <c r="AU27">
        <v>12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4</v>
      </c>
      <c r="BB27">
        <v>11</v>
      </c>
      <c r="BC27">
        <v>4</v>
      </c>
      <c r="BD27">
        <v>4</v>
      </c>
      <c r="BE27">
        <v>8</v>
      </c>
      <c r="BF27">
        <v>4</v>
      </c>
      <c r="BG27">
        <v>8</v>
      </c>
      <c r="BH27">
        <v>6</v>
      </c>
      <c r="BI27">
        <v>8</v>
      </c>
      <c r="BJ27">
        <v>45.166930000000001</v>
      </c>
      <c r="BK27">
        <v>10.850869899999999</v>
      </c>
      <c r="BL27">
        <v>1800</v>
      </c>
      <c r="BM27" t="s">
        <v>83</v>
      </c>
      <c r="BN27" t="s">
        <v>84</v>
      </c>
      <c r="BO27" t="s">
        <v>85</v>
      </c>
      <c r="BP27" t="s">
        <v>107</v>
      </c>
      <c r="BQ27" t="s">
        <v>108</v>
      </c>
      <c r="BR27" t="s">
        <v>289</v>
      </c>
      <c r="BS27">
        <v>2895299</v>
      </c>
      <c r="BT27">
        <v>1982461</v>
      </c>
      <c r="BU27">
        <v>336162</v>
      </c>
      <c r="BV27">
        <v>475320</v>
      </c>
      <c r="BW27">
        <v>0</v>
      </c>
      <c r="BX27">
        <v>101356</v>
      </c>
      <c r="BY27">
        <v>0</v>
      </c>
      <c r="BZ27">
        <v>1</v>
      </c>
      <c r="CA27" t="s">
        <v>290</v>
      </c>
      <c r="CB27" t="s">
        <v>291</v>
      </c>
      <c r="CC27" s="3">
        <v>46092.557106481479</v>
      </c>
      <c r="CD27" t="s">
        <v>91</v>
      </c>
    </row>
    <row r="28" spans="1:82" ht="16" x14ac:dyDescent="0.2">
      <c r="A28" t="s">
        <v>292</v>
      </c>
      <c r="B28" t="s">
        <v>293</v>
      </c>
      <c r="C28" t="s">
        <v>294</v>
      </c>
      <c r="D28" t="s">
        <v>78</v>
      </c>
      <c r="E28" t="s">
        <v>295</v>
      </c>
      <c r="F28">
        <v>6</v>
      </c>
      <c r="G28">
        <v>300</v>
      </c>
      <c r="H28" t="str">
        <f t="shared" si="1"/>
        <v>6x300</v>
      </c>
      <c r="I28">
        <v>488</v>
      </c>
      <c r="J28" s="4">
        <f t="shared" si="2"/>
        <v>4.5185185185185189E-2</v>
      </c>
      <c r="K28">
        <v>737</v>
      </c>
      <c r="L28" s="4">
        <f t="shared" si="3"/>
        <v>6.8240740740740741E-2</v>
      </c>
      <c r="M28">
        <v>1117</v>
      </c>
      <c r="N28" s="4">
        <f t="shared" si="4"/>
        <v>0.10342592592592592</v>
      </c>
      <c r="O28">
        <v>2230</v>
      </c>
      <c r="P28" s="4">
        <f t="shared" si="5"/>
        <v>0.20648148148148149</v>
      </c>
      <c r="Q28" s="6">
        <f t="shared" si="0"/>
        <v>2035</v>
      </c>
      <c r="R28" s="6">
        <f t="shared" si="6"/>
        <v>4</v>
      </c>
      <c r="S28">
        <v>304</v>
      </c>
      <c r="T28">
        <v>117</v>
      </c>
      <c r="U28">
        <v>-3</v>
      </c>
      <c r="V28">
        <v>32</v>
      </c>
      <c r="W28">
        <v>-41</v>
      </c>
      <c r="X28">
        <v>131</v>
      </c>
      <c r="Y28" s="2" t="s">
        <v>296</v>
      </c>
      <c r="Z28">
        <v>45.640895228938</v>
      </c>
      <c r="AA28">
        <v>9.6128151914067903</v>
      </c>
      <c r="AB28" t="s">
        <v>78</v>
      </c>
      <c r="AC28" t="s">
        <v>81</v>
      </c>
      <c r="AD28" t="s">
        <v>82</v>
      </c>
      <c r="AE28">
        <v>88728</v>
      </c>
      <c r="AF28">
        <v>0</v>
      </c>
      <c r="AG28">
        <v>0</v>
      </c>
      <c r="AH28">
        <v>35237</v>
      </c>
      <c r="AI28">
        <v>41167</v>
      </c>
      <c r="AJ28">
        <v>9460</v>
      </c>
      <c r="AK28">
        <v>2864</v>
      </c>
      <c r="AL28">
        <v>3951</v>
      </c>
      <c r="AM28">
        <v>18639</v>
      </c>
      <c r="AN28">
        <v>110547</v>
      </c>
      <c r="AO28">
        <v>433309</v>
      </c>
      <c r="AP28">
        <v>0</v>
      </c>
      <c r="AQ28">
        <v>0</v>
      </c>
      <c r="AR28">
        <v>3</v>
      </c>
      <c r="AS28">
        <v>4</v>
      </c>
      <c r="AT28">
        <v>3</v>
      </c>
      <c r="AU28">
        <v>8</v>
      </c>
      <c r="AV28">
        <v>2</v>
      </c>
      <c r="AW28">
        <v>0</v>
      </c>
      <c r="AX28">
        <v>1</v>
      </c>
      <c r="AY28">
        <v>0</v>
      </c>
      <c r="AZ28">
        <v>0</v>
      </c>
      <c r="BA28">
        <v>5</v>
      </c>
      <c r="BB28">
        <v>29</v>
      </c>
      <c r="BC28">
        <v>1</v>
      </c>
      <c r="BD28">
        <v>2</v>
      </c>
      <c r="BE28">
        <v>0</v>
      </c>
      <c r="BF28">
        <v>2</v>
      </c>
      <c r="BG28">
        <v>0</v>
      </c>
      <c r="BH28">
        <v>11</v>
      </c>
      <c r="BI28">
        <v>33</v>
      </c>
      <c r="BJ28">
        <v>45.641003499999997</v>
      </c>
      <c r="BK28">
        <v>9.6129010000000008</v>
      </c>
      <c r="BL28">
        <v>1800</v>
      </c>
      <c r="BM28" t="s">
        <v>83</v>
      </c>
      <c r="BN28" t="s">
        <v>84</v>
      </c>
      <c r="BO28" t="s">
        <v>85</v>
      </c>
      <c r="BP28" t="s">
        <v>107</v>
      </c>
      <c r="BQ28" t="s">
        <v>108</v>
      </c>
      <c r="BR28" t="s">
        <v>297</v>
      </c>
      <c r="BS28">
        <v>2035930</v>
      </c>
      <c r="BT28">
        <v>0</v>
      </c>
      <c r="BU28">
        <v>0</v>
      </c>
      <c r="BV28">
        <v>821166</v>
      </c>
      <c r="BW28">
        <v>968225</v>
      </c>
      <c r="BX28">
        <v>189235</v>
      </c>
      <c r="BY28">
        <v>57304</v>
      </c>
      <c r="BZ28">
        <v>1</v>
      </c>
      <c r="CA28" t="s">
        <v>298</v>
      </c>
      <c r="CB28" t="s">
        <v>299</v>
      </c>
      <c r="CC28" s="3">
        <v>46092.557106481479</v>
      </c>
      <c r="CD28" t="s">
        <v>91</v>
      </c>
    </row>
    <row r="29" spans="1:82" ht="16" x14ac:dyDescent="0.2">
      <c r="A29" t="s">
        <v>300</v>
      </c>
      <c r="B29" t="s">
        <v>301</v>
      </c>
      <c r="C29" t="s">
        <v>302</v>
      </c>
      <c r="D29" t="s">
        <v>78</v>
      </c>
      <c r="E29" t="s">
        <v>303</v>
      </c>
      <c r="F29">
        <v>6</v>
      </c>
      <c r="G29">
        <v>300</v>
      </c>
      <c r="H29" t="str">
        <f t="shared" si="1"/>
        <v>6x300</v>
      </c>
      <c r="I29">
        <v>486</v>
      </c>
      <c r="J29" s="4">
        <f t="shared" si="2"/>
        <v>4.5000000000000005E-2</v>
      </c>
      <c r="K29">
        <v>734</v>
      </c>
      <c r="L29" s="4">
        <f t="shared" si="3"/>
        <v>6.7962962962962961E-2</v>
      </c>
      <c r="M29">
        <v>1113</v>
      </c>
      <c r="N29" s="4">
        <f t="shared" si="4"/>
        <v>0.10305555555555555</v>
      </c>
      <c r="O29">
        <v>2221</v>
      </c>
      <c r="P29" s="4">
        <f t="shared" si="5"/>
        <v>0.20564814814814814</v>
      </c>
      <c r="Q29" s="6">
        <f t="shared" si="0"/>
        <v>2035</v>
      </c>
      <c r="R29" s="6">
        <f t="shared" si="6"/>
        <v>4</v>
      </c>
      <c r="S29">
        <v>304</v>
      </c>
      <c r="T29">
        <v>103</v>
      </c>
      <c r="U29">
        <v>-26</v>
      </c>
      <c r="V29">
        <v>-3</v>
      </c>
      <c r="W29">
        <v>11</v>
      </c>
      <c r="X29">
        <v>153</v>
      </c>
      <c r="Y29" s="2" t="s">
        <v>304</v>
      </c>
      <c r="Z29">
        <v>45.721255977942903</v>
      </c>
      <c r="AA29">
        <v>8.6899832509229409</v>
      </c>
      <c r="AB29" t="s">
        <v>78</v>
      </c>
      <c r="AC29" t="s">
        <v>81</v>
      </c>
      <c r="AD29" t="s">
        <v>82</v>
      </c>
      <c r="AE29">
        <v>49341</v>
      </c>
      <c r="AF29">
        <v>0</v>
      </c>
      <c r="AG29">
        <v>39961</v>
      </c>
      <c r="AH29">
        <v>0</v>
      </c>
      <c r="AI29">
        <v>4000</v>
      </c>
      <c r="AJ29">
        <v>5380</v>
      </c>
      <c r="AK29">
        <v>0</v>
      </c>
      <c r="AL29">
        <v>3571</v>
      </c>
      <c r="AM29">
        <v>6126</v>
      </c>
      <c r="AN29">
        <v>44773</v>
      </c>
      <c r="AO29">
        <v>177081</v>
      </c>
      <c r="AP29">
        <v>1</v>
      </c>
      <c r="AQ29">
        <v>1</v>
      </c>
      <c r="AR29">
        <v>2</v>
      </c>
      <c r="AS29">
        <v>7</v>
      </c>
      <c r="AT29">
        <v>0</v>
      </c>
      <c r="AU29">
        <v>13</v>
      </c>
      <c r="AV29">
        <v>6</v>
      </c>
      <c r="AW29">
        <v>4</v>
      </c>
      <c r="AX29">
        <v>0</v>
      </c>
      <c r="AY29">
        <v>0</v>
      </c>
      <c r="AZ29">
        <v>2</v>
      </c>
      <c r="BA29">
        <v>6</v>
      </c>
      <c r="BB29">
        <v>6</v>
      </c>
      <c r="BC29">
        <v>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45.721320800000001</v>
      </c>
      <c r="BK29">
        <v>8.6899504000000007</v>
      </c>
      <c r="BL29">
        <v>1800</v>
      </c>
      <c r="BM29" t="s">
        <v>83</v>
      </c>
      <c r="BN29" t="s">
        <v>84</v>
      </c>
      <c r="BO29" t="s">
        <v>85</v>
      </c>
      <c r="BP29" t="s">
        <v>107</v>
      </c>
      <c r="BQ29" t="s">
        <v>108</v>
      </c>
      <c r="BR29" t="s">
        <v>305</v>
      </c>
      <c r="BS29">
        <v>986867</v>
      </c>
      <c r="BT29">
        <v>0</v>
      </c>
      <c r="BU29">
        <v>799228</v>
      </c>
      <c r="BV29">
        <v>0</v>
      </c>
      <c r="BW29">
        <v>80009</v>
      </c>
      <c r="BX29">
        <v>107630</v>
      </c>
      <c r="BY29">
        <v>0</v>
      </c>
      <c r="BZ29">
        <v>1</v>
      </c>
      <c r="CA29" t="s">
        <v>306</v>
      </c>
      <c r="CB29" t="s">
        <v>307</v>
      </c>
      <c r="CC29" s="3">
        <v>46092.557106481479</v>
      </c>
      <c r="CD29" t="s">
        <v>91</v>
      </c>
    </row>
    <row r="30" spans="1:82" ht="16" x14ac:dyDescent="0.2">
      <c r="A30" t="s">
        <v>308</v>
      </c>
      <c r="B30" t="s">
        <v>309</v>
      </c>
      <c r="C30" t="s">
        <v>310</v>
      </c>
      <c r="D30" t="s">
        <v>78</v>
      </c>
      <c r="E30" t="s">
        <v>311</v>
      </c>
      <c r="F30">
        <v>6</v>
      </c>
      <c r="G30">
        <v>300</v>
      </c>
      <c r="H30" t="str">
        <f t="shared" si="1"/>
        <v>6x300</v>
      </c>
      <c r="I30">
        <v>485</v>
      </c>
      <c r="J30" s="4">
        <f t="shared" si="2"/>
        <v>4.4907407407407403E-2</v>
      </c>
      <c r="K30">
        <v>732</v>
      </c>
      <c r="L30" s="4">
        <f t="shared" si="3"/>
        <v>6.7777777777777784E-2</v>
      </c>
      <c r="M30">
        <v>1110</v>
      </c>
      <c r="N30" s="4">
        <f t="shared" si="4"/>
        <v>0.10277777777777779</v>
      </c>
      <c r="O30">
        <v>2216</v>
      </c>
      <c r="P30" s="4">
        <f t="shared" si="5"/>
        <v>0.20518518518518516</v>
      </c>
      <c r="Q30" s="6">
        <f t="shared" si="0"/>
        <v>2035</v>
      </c>
      <c r="R30" s="6">
        <f t="shared" si="6"/>
        <v>4</v>
      </c>
      <c r="S30">
        <v>304</v>
      </c>
      <c r="T30">
        <v>124</v>
      </c>
      <c r="U30">
        <v>-39</v>
      </c>
      <c r="V30">
        <v>10</v>
      </c>
      <c r="W30">
        <v>-5</v>
      </c>
      <c r="X30">
        <v>149</v>
      </c>
      <c r="Y30" s="2" t="s">
        <v>312</v>
      </c>
      <c r="Z30">
        <v>45.426282578926099</v>
      </c>
      <c r="AA30">
        <v>8.6426109428872397</v>
      </c>
      <c r="AB30" t="s">
        <v>78</v>
      </c>
      <c r="AC30" t="s">
        <v>81</v>
      </c>
      <c r="AD30" t="s">
        <v>82</v>
      </c>
      <c r="AE30">
        <v>53017</v>
      </c>
      <c r="AF30">
        <v>0</v>
      </c>
      <c r="AG30">
        <v>28404</v>
      </c>
      <c r="AH30">
        <v>601</v>
      </c>
      <c r="AI30">
        <v>18814</v>
      </c>
      <c r="AJ30">
        <v>2916</v>
      </c>
      <c r="AK30">
        <v>2282</v>
      </c>
      <c r="AL30">
        <v>3890</v>
      </c>
      <c r="AM30">
        <v>18819</v>
      </c>
      <c r="AN30">
        <v>97732</v>
      </c>
      <c r="AO30">
        <v>167377</v>
      </c>
      <c r="AP30">
        <v>2</v>
      </c>
      <c r="AQ30">
        <v>0</v>
      </c>
      <c r="AR30">
        <v>4</v>
      </c>
      <c r="AS30">
        <v>10</v>
      </c>
      <c r="AT30">
        <v>2</v>
      </c>
      <c r="AU30">
        <v>15</v>
      </c>
      <c r="AV30">
        <v>0</v>
      </c>
      <c r="AW30">
        <v>1</v>
      </c>
      <c r="AX30">
        <v>1</v>
      </c>
      <c r="AY30">
        <v>0</v>
      </c>
      <c r="AZ30">
        <v>1</v>
      </c>
      <c r="BA30">
        <v>6</v>
      </c>
      <c r="BB30">
        <v>15</v>
      </c>
      <c r="BC30">
        <v>5</v>
      </c>
      <c r="BD30">
        <v>0</v>
      </c>
      <c r="BE30">
        <v>0</v>
      </c>
      <c r="BF30">
        <v>2</v>
      </c>
      <c r="BG30">
        <v>0</v>
      </c>
      <c r="BH30">
        <v>4</v>
      </c>
      <c r="BI30">
        <v>0</v>
      </c>
      <c r="BJ30">
        <v>45.426397199999997</v>
      </c>
      <c r="BK30">
        <v>8.6429290999999999</v>
      </c>
      <c r="BL30">
        <v>1800</v>
      </c>
      <c r="BM30" t="s">
        <v>83</v>
      </c>
      <c r="BN30" t="s">
        <v>84</v>
      </c>
      <c r="BO30" t="s">
        <v>85</v>
      </c>
      <c r="BP30" t="s">
        <v>107</v>
      </c>
      <c r="BQ30" t="s">
        <v>203</v>
      </c>
      <c r="BR30" t="s">
        <v>310</v>
      </c>
      <c r="BS30">
        <v>1060490</v>
      </c>
      <c r="BT30">
        <v>0</v>
      </c>
      <c r="BU30">
        <v>568112</v>
      </c>
      <c r="BV30">
        <v>12037</v>
      </c>
      <c r="BW30">
        <v>376346</v>
      </c>
      <c r="BX30">
        <v>58345</v>
      </c>
      <c r="BY30">
        <v>45650</v>
      </c>
      <c r="BZ30">
        <v>1</v>
      </c>
      <c r="CA30" t="s">
        <v>313</v>
      </c>
      <c r="CB30" t="s">
        <v>314</v>
      </c>
      <c r="CC30" s="3">
        <v>46092.557106481479</v>
      </c>
      <c r="CD30" t="s">
        <v>91</v>
      </c>
    </row>
    <row r="31" spans="1:82" ht="16" x14ac:dyDescent="0.2">
      <c r="A31" t="s">
        <v>315</v>
      </c>
      <c r="B31" t="s">
        <v>316</v>
      </c>
      <c r="C31" t="s">
        <v>317</v>
      </c>
      <c r="D31" t="s">
        <v>78</v>
      </c>
      <c r="E31" t="s">
        <v>318</v>
      </c>
      <c r="F31">
        <v>6</v>
      </c>
      <c r="G31">
        <v>300</v>
      </c>
      <c r="H31" t="str">
        <f t="shared" si="1"/>
        <v>6x300</v>
      </c>
      <c r="I31">
        <v>480</v>
      </c>
      <c r="J31" s="4">
        <f t="shared" si="2"/>
        <v>4.4444444444444446E-2</v>
      </c>
      <c r="K31">
        <v>725</v>
      </c>
      <c r="L31" s="4">
        <f t="shared" si="3"/>
        <v>6.7129629629629622E-2</v>
      </c>
      <c r="M31">
        <v>1100</v>
      </c>
      <c r="N31" s="4">
        <f t="shared" si="4"/>
        <v>0.10185185185185185</v>
      </c>
      <c r="O31">
        <v>2195</v>
      </c>
      <c r="P31" s="4">
        <f t="shared" si="5"/>
        <v>0.20324074074074072</v>
      </c>
      <c r="Q31" s="6">
        <f t="shared" si="0"/>
        <v>2035</v>
      </c>
      <c r="R31" s="6">
        <f t="shared" si="6"/>
        <v>4</v>
      </c>
      <c r="S31">
        <v>304</v>
      </c>
      <c r="T31">
        <v>11</v>
      </c>
      <c r="U31">
        <v>6</v>
      </c>
      <c r="V31">
        <v>43</v>
      </c>
      <c r="W31">
        <v>49</v>
      </c>
      <c r="X31">
        <v>120</v>
      </c>
      <c r="Y31" s="2" t="s">
        <v>319</v>
      </c>
      <c r="Z31">
        <v>44.975902499999997</v>
      </c>
      <c r="AA31">
        <v>7.7123622000000003</v>
      </c>
      <c r="AB31" t="s">
        <v>78</v>
      </c>
      <c r="AC31" t="s">
        <v>81</v>
      </c>
      <c r="AD31" t="s">
        <v>82</v>
      </c>
      <c r="AE31">
        <v>40219</v>
      </c>
      <c r="AF31">
        <v>0</v>
      </c>
      <c r="AG31">
        <v>0</v>
      </c>
      <c r="AH31">
        <v>30060</v>
      </c>
      <c r="AI31">
        <v>7546</v>
      </c>
      <c r="AJ31">
        <v>2613</v>
      </c>
      <c r="AK31">
        <v>0</v>
      </c>
      <c r="AL31">
        <v>604</v>
      </c>
      <c r="AM31">
        <v>6239</v>
      </c>
      <c r="AN31">
        <v>69559</v>
      </c>
      <c r="AO31">
        <v>493323</v>
      </c>
      <c r="AP31">
        <v>0</v>
      </c>
      <c r="AQ31">
        <v>0</v>
      </c>
      <c r="AR31">
        <v>7</v>
      </c>
      <c r="AS31">
        <v>2</v>
      </c>
      <c r="AT31">
        <v>1</v>
      </c>
      <c r="AU31">
        <v>19</v>
      </c>
      <c r="AV31">
        <v>0</v>
      </c>
      <c r="AW31">
        <v>0</v>
      </c>
      <c r="AX31">
        <v>2</v>
      </c>
      <c r="AY31">
        <v>0</v>
      </c>
      <c r="AZ31">
        <v>2</v>
      </c>
      <c r="BA31">
        <v>14</v>
      </c>
      <c r="BB31">
        <v>28</v>
      </c>
      <c r="BC31">
        <v>13</v>
      </c>
      <c r="BD31">
        <v>8</v>
      </c>
      <c r="BE31">
        <v>8</v>
      </c>
      <c r="BF31">
        <v>10</v>
      </c>
      <c r="BG31">
        <v>16</v>
      </c>
      <c r="BH31">
        <v>18</v>
      </c>
      <c r="BI31">
        <v>16</v>
      </c>
      <c r="BJ31">
        <v>44.97589</v>
      </c>
      <c r="BK31">
        <v>7.7122298999999996</v>
      </c>
      <c r="BL31">
        <v>1800</v>
      </c>
      <c r="BM31" t="s">
        <v>83</v>
      </c>
      <c r="BN31" t="s">
        <v>84</v>
      </c>
      <c r="BO31" t="s">
        <v>85</v>
      </c>
      <c r="BP31" t="s">
        <v>107</v>
      </c>
      <c r="BQ31" t="s">
        <v>203</v>
      </c>
      <c r="BR31" t="s">
        <v>204</v>
      </c>
      <c r="BS31">
        <v>804447</v>
      </c>
      <c r="BT31">
        <v>0</v>
      </c>
      <c r="BU31">
        <v>0</v>
      </c>
      <c r="BV31">
        <v>601260</v>
      </c>
      <c r="BW31">
        <v>150926</v>
      </c>
      <c r="BX31">
        <v>52261</v>
      </c>
      <c r="BY31">
        <v>0</v>
      </c>
      <c r="BZ31">
        <v>1</v>
      </c>
      <c r="CA31" t="s">
        <v>320</v>
      </c>
      <c r="CB31" t="s">
        <v>321</v>
      </c>
      <c r="CC31" s="3">
        <v>46092.557106481479</v>
      </c>
      <c r="CD31" t="s">
        <v>91</v>
      </c>
    </row>
    <row r="32" spans="1:82" ht="16" x14ac:dyDescent="0.2">
      <c r="A32" t="s">
        <v>322</v>
      </c>
      <c r="B32" t="s">
        <v>323</v>
      </c>
      <c r="C32" t="s">
        <v>324</v>
      </c>
      <c r="D32" t="s">
        <v>78</v>
      </c>
      <c r="E32" t="s">
        <v>325</v>
      </c>
      <c r="F32">
        <v>6</v>
      </c>
      <c r="G32">
        <v>300</v>
      </c>
      <c r="H32" t="str">
        <f t="shared" si="1"/>
        <v>6x300</v>
      </c>
      <c r="I32">
        <v>468</v>
      </c>
      <c r="J32" s="4">
        <f t="shared" si="2"/>
        <v>4.3333333333333335E-2</v>
      </c>
      <c r="K32">
        <v>707</v>
      </c>
      <c r="L32" s="4">
        <f t="shared" si="3"/>
        <v>6.5462962962962959E-2</v>
      </c>
      <c r="M32">
        <v>1072</v>
      </c>
      <c r="N32" s="4">
        <f t="shared" si="4"/>
        <v>9.9259259259259255E-2</v>
      </c>
      <c r="O32">
        <v>2140</v>
      </c>
      <c r="P32" s="4">
        <f t="shared" si="5"/>
        <v>0.19814814814814816</v>
      </c>
      <c r="Q32" s="6">
        <f t="shared" si="0"/>
        <v>2035</v>
      </c>
      <c r="R32" s="6">
        <f t="shared" si="6"/>
        <v>4</v>
      </c>
      <c r="S32">
        <v>304</v>
      </c>
      <c r="T32">
        <v>150</v>
      </c>
      <c r="U32">
        <v>-45</v>
      </c>
      <c r="V32">
        <v>-9</v>
      </c>
      <c r="W32">
        <v>-31</v>
      </c>
      <c r="X32">
        <v>157</v>
      </c>
      <c r="Y32" s="2" t="s">
        <v>326</v>
      </c>
      <c r="Z32">
        <v>44.423740000000002</v>
      </c>
      <c r="AA32">
        <v>12.167870000000001</v>
      </c>
      <c r="AB32" t="s">
        <v>78</v>
      </c>
      <c r="AC32" t="s">
        <v>81</v>
      </c>
      <c r="AD32" t="s">
        <v>82</v>
      </c>
      <c r="AE32">
        <v>94705</v>
      </c>
      <c r="AF32">
        <v>21725</v>
      </c>
      <c r="AG32">
        <v>47117</v>
      </c>
      <c r="AH32">
        <v>7441</v>
      </c>
      <c r="AI32">
        <v>16873</v>
      </c>
      <c r="AJ32">
        <v>1549</v>
      </c>
      <c r="AK32">
        <v>0</v>
      </c>
      <c r="AL32">
        <v>3819</v>
      </c>
      <c r="AM32">
        <v>19880</v>
      </c>
      <c r="AN32">
        <v>84496</v>
      </c>
      <c r="AO32">
        <v>121551</v>
      </c>
      <c r="AP32">
        <v>0</v>
      </c>
      <c r="AQ32">
        <v>1</v>
      </c>
      <c r="AR32">
        <v>4</v>
      </c>
      <c r="AS32">
        <v>6</v>
      </c>
      <c r="AT32">
        <v>0</v>
      </c>
      <c r="AU32">
        <v>10</v>
      </c>
      <c r="AV32">
        <v>2</v>
      </c>
      <c r="AW32">
        <v>3</v>
      </c>
      <c r="AX32">
        <v>0</v>
      </c>
      <c r="AY32">
        <v>0</v>
      </c>
      <c r="AZ32">
        <v>0</v>
      </c>
      <c r="BA32">
        <v>5</v>
      </c>
      <c r="BB32">
        <v>22</v>
      </c>
      <c r="BC32">
        <v>3</v>
      </c>
      <c r="BD32">
        <v>2</v>
      </c>
      <c r="BE32">
        <v>4</v>
      </c>
      <c r="BF32">
        <v>2</v>
      </c>
      <c r="BG32">
        <v>4</v>
      </c>
      <c r="BH32">
        <v>10</v>
      </c>
      <c r="BI32">
        <v>4</v>
      </c>
      <c r="BJ32">
        <v>44.423812900000001</v>
      </c>
      <c r="BK32">
        <v>12.167848299999999</v>
      </c>
      <c r="BL32">
        <v>1800</v>
      </c>
      <c r="BM32" t="s">
        <v>83</v>
      </c>
      <c r="BN32" t="s">
        <v>84</v>
      </c>
      <c r="BO32" t="s">
        <v>85</v>
      </c>
      <c r="BP32" t="s">
        <v>160</v>
      </c>
      <c r="BQ32" t="s">
        <v>170</v>
      </c>
      <c r="BR32" t="s">
        <v>327</v>
      </c>
      <c r="BS32">
        <v>1894209</v>
      </c>
      <c r="BT32">
        <v>434511</v>
      </c>
      <c r="BU32">
        <v>942374</v>
      </c>
      <c r="BV32">
        <v>148829</v>
      </c>
      <c r="BW32">
        <v>337513</v>
      </c>
      <c r="BX32">
        <v>30982</v>
      </c>
      <c r="BY32">
        <v>0</v>
      </c>
      <c r="BZ32">
        <v>1</v>
      </c>
      <c r="CA32" t="s">
        <v>328</v>
      </c>
      <c r="CB32" t="s">
        <v>329</v>
      </c>
      <c r="CC32" s="3">
        <v>46092.557106481479</v>
      </c>
      <c r="CD32" t="s">
        <v>91</v>
      </c>
    </row>
    <row r="33" spans="1:82" ht="16" x14ac:dyDescent="0.2">
      <c r="A33" t="s">
        <v>330</v>
      </c>
      <c r="B33" t="s">
        <v>331</v>
      </c>
      <c r="C33" t="s">
        <v>332</v>
      </c>
      <c r="D33" t="s">
        <v>78</v>
      </c>
      <c r="E33" t="s">
        <v>333</v>
      </c>
      <c r="F33">
        <v>6</v>
      </c>
      <c r="G33">
        <v>300</v>
      </c>
      <c r="H33" t="str">
        <f t="shared" si="1"/>
        <v>6x300</v>
      </c>
      <c r="I33">
        <v>466</v>
      </c>
      <c r="J33" s="4">
        <f t="shared" si="2"/>
        <v>4.3148148148148151E-2</v>
      </c>
      <c r="K33">
        <v>704</v>
      </c>
      <c r="L33" s="4">
        <f t="shared" si="3"/>
        <v>6.5185185185185193E-2</v>
      </c>
      <c r="M33">
        <v>1067</v>
      </c>
      <c r="N33" s="4">
        <f t="shared" si="4"/>
        <v>9.8796296296296285E-2</v>
      </c>
      <c r="O33">
        <v>2130</v>
      </c>
      <c r="P33" s="4">
        <f t="shared" si="5"/>
        <v>0.19722222222222222</v>
      </c>
      <c r="Q33" s="6">
        <f t="shared" si="0"/>
        <v>2035</v>
      </c>
      <c r="R33" s="6">
        <f t="shared" si="6"/>
        <v>4</v>
      </c>
      <c r="S33">
        <v>304</v>
      </c>
      <c r="T33">
        <v>91</v>
      </c>
      <c r="U33">
        <v>9</v>
      </c>
      <c r="V33">
        <v>-7</v>
      </c>
      <c r="W33">
        <v>-7</v>
      </c>
      <c r="X33">
        <v>129</v>
      </c>
      <c r="Y33" s="2" t="s">
        <v>334</v>
      </c>
      <c r="Z33">
        <v>39.238190000000003</v>
      </c>
      <c r="AA33">
        <v>9.1237300000000001</v>
      </c>
      <c r="AB33" t="s">
        <v>78</v>
      </c>
      <c r="AC33" t="s">
        <v>81</v>
      </c>
      <c r="AD33" t="s">
        <v>82</v>
      </c>
      <c r="AE33">
        <v>69309</v>
      </c>
      <c r="AF33">
        <v>0</v>
      </c>
      <c r="AG33">
        <v>0</v>
      </c>
      <c r="AH33">
        <v>0</v>
      </c>
      <c r="AI33">
        <v>42701</v>
      </c>
      <c r="AJ33">
        <v>16678</v>
      </c>
      <c r="AK33">
        <v>9930</v>
      </c>
      <c r="AL33">
        <v>19024</v>
      </c>
      <c r="AM33">
        <v>79447</v>
      </c>
      <c r="AN33">
        <v>213403</v>
      </c>
      <c r="AO33">
        <v>318435</v>
      </c>
      <c r="AP33">
        <v>4</v>
      </c>
      <c r="AQ33">
        <v>0</v>
      </c>
      <c r="AR33">
        <v>6</v>
      </c>
      <c r="AS33">
        <v>11</v>
      </c>
      <c r="AT33">
        <v>2</v>
      </c>
      <c r="AU33">
        <v>30</v>
      </c>
      <c r="AV33">
        <v>4</v>
      </c>
      <c r="AW33">
        <v>1</v>
      </c>
      <c r="AX33">
        <v>1</v>
      </c>
      <c r="AY33">
        <v>0</v>
      </c>
      <c r="AZ33">
        <v>1</v>
      </c>
      <c r="BA33">
        <v>6</v>
      </c>
      <c r="BB33">
        <v>22</v>
      </c>
      <c r="BC33">
        <v>3</v>
      </c>
      <c r="BD33">
        <v>3</v>
      </c>
      <c r="BE33">
        <v>0</v>
      </c>
      <c r="BF33">
        <v>3</v>
      </c>
      <c r="BG33">
        <v>0</v>
      </c>
      <c r="BH33">
        <v>9</v>
      </c>
      <c r="BI33">
        <v>0</v>
      </c>
      <c r="BJ33">
        <v>39.238198699999998</v>
      </c>
      <c r="BK33">
        <v>9.1237288999999997</v>
      </c>
      <c r="BL33">
        <v>1800</v>
      </c>
      <c r="BM33" t="s">
        <v>83</v>
      </c>
      <c r="BN33" t="s">
        <v>84</v>
      </c>
      <c r="BO33" t="s">
        <v>85</v>
      </c>
      <c r="BP33" t="s">
        <v>242</v>
      </c>
      <c r="BQ33" t="s">
        <v>335</v>
      </c>
      <c r="BR33" t="s">
        <v>332</v>
      </c>
      <c r="BS33">
        <v>1386340</v>
      </c>
      <c r="BT33">
        <v>0</v>
      </c>
      <c r="BU33">
        <v>0</v>
      </c>
      <c r="BV33">
        <v>0</v>
      </c>
      <c r="BW33">
        <v>854069</v>
      </c>
      <c r="BX33">
        <v>333617</v>
      </c>
      <c r="BY33">
        <v>198654</v>
      </c>
      <c r="BZ33">
        <v>1</v>
      </c>
      <c r="CA33" t="s">
        <v>336</v>
      </c>
      <c r="CB33" t="s">
        <v>337</v>
      </c>
      <c r="CC33" s="3">
        <v>46092.557106481479</v>
      </c>
      <c r="CD33" t="s">
        <v>91</v>
      </c>
    </row>
    <row r="34" spans="1:82" ht="16" x14ac:dyDescent="0.2">
      <c r="A34" t="s">
        <v>338</v>
      </c>
      <c r="B34" t="s">
        <v>339</v>
      </c>
      <c r="C34" t="s">
        <v>340</v>
      </c>
      <c r="D34" t="s">
        <v>78</v>
      </c>
      <c r="E34" t="s">
        <v>341</v>
      </c>
      <c r="F34">
        <v>6</v>
      </c>
      <c r="G34">
        <v>300</v>
      </c>
      <c r="H34" t="str">
        <f t="shared" si="1"/>
        <v>6x300</v>
      </c>
      <c r="I34">
        <v>465</v>
      </c>
      <c r="J34" s="4">
        <f t="shared" si="2"/>
        <v>4.3055555555555562E-2</v>
      </c>
      <c r="K34">
        <v>702</v>
      </c>
      <c r="L34" s="4">
        <f t="shared" si="3"/>
        <v>6.4999999999999988E-2</v>
      </c>
      <c r="M34">
        <v>1065</v>
      </c>
      <c r="N34" s="4">
        <f t="shared" si="4"/>
        <v>9.8611111111111108E-2</v>
      </c>
      <c r="O34">
        <v>2125</v>
      </c>
      <c r="P34" s="4">
        <f t="shared" si="5"/>
        <v>0.19675925925925927</v>
      </c>
      <c r="Q34" s="6">
        <f t="shared" si="0"/>
        <v>2035</v>
      </c>
      <c r="R34" s="6">
        <f t="shared" si="6"/>
        <v>4</v>
      </c>
      <c r="S34">
        <v>304</v>
      </c>
      <c r="T34">
        <v>160</v>
      </c>
      <c r="U34">
        <v>-62</v>
      </c>
      <c r="V34">
        <v>-4</v>
      </c>
      <c r="W34">
        <v>-18</v>
      </c>
      <c r="X34">
        <v>145</v>
      </c>
      <c r="Y34" s="2" t="s">
        <v>342</v>
      </c>
      <c r="Z34">
        <v>45.517616099999998</v>
      </c>
      <c r="AA34">
        <v>12.237434800000001</v>
      </c>
      <c r="AB34" t="s">
        <v>78</v>
      </c>
      <c r="AC34" t="s">
        <v>81</v>
      </c>
      <c r="AD34" t="s">
        <v>82</v>
      </c>
      <c r="AE34">
        <v>133452</v>
      </c>
      <c r="AF34">
        <v>95408</v>
      </c>
      <c r="AG34">
        <v>0</v>
      </c>
      <c r="AH34">
        <v>18512</v>
      </c>
      <c r="AI34">
        <v>1403</v>
      </c>
      <c r="AJ34">
        <v>15919</v>
      </c>
      <c r="AK34">
        <v>2210</v>
      </c>
      <c r="AL34">
        <v>2043</v>
      </c>
      <c r="AM34">
        <v>18156</v>
      </c>
      <c r="AN34">
        <v>161291</v>
      </c>
      <c r="AO34">
        <v>312009</v>
      </c>
      <c r="AP34">
        <v>0</v>
      </c>
      <c r="AQ34">
        <v>0</v>
      </c>
      <c r="AR34">
        <v>1</v>
      </c>
      <c r="AS34">
        <v>2</v>
      </c>
      <c r="AT34">
        <v>4</v>
      </c>
      <c r="AU34">
        <v>11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14</v>
      </c>
      <c r="BB34">
        <v>39</v>
      </c>
      <c r="BC34">
        <v>11</v>
      </c>
      <c r="BD34">
        <v>0</v>
      </c>
      <c r="BE34">
        <v>0</v>
      </c>
      <c r="BF34">
        <v>2</v>
      </c>
      <c r="BG34">
        <v>0</v>
      </c>
      <c r="BH34">
        <v>8</v>
      </c>
      <c r="BI34">
        <v>0</v>
      </c>
      <c r="BJ34">
        <v>45.517622799999998</v>
      </c>
      <c r="BK34">
        <v>12.237425699999999</v>
      </c>
      <c r="BL34">
        <v>1800</v>
      </c>
      <c r="BM34" t="s">
        <v>83</v>
      </c>
      <c r="BN34" t="s">
        <v>84</v>
      </c>
      <c r="BO34" t="s">
        <v>85</v>
      </c>
      <c r="BP34" t="s">
        <v>160</v>
      </c>
      <c r="BQ34" t="s">
        <v>161</v>
      </c>
      <c r="BR34" t="s">
        <v>343</v>
      </c>
      <c r="BS34">
        <v>3146222</v>
      </c>
      <c r="BT34">
        <v>2385226</v>
      </c>
      <c r="BU34">
        <v>0</v>
      </c>
      <c r="BV34">
        <v>370254</v>
      </c>
      <c r="BW34">
        <v>28076</v>
      </c>
      <c r="BX34">
        <v>318425</v>
      </c>
      <c r="BY34">
        <v>44241</v>
      </c>
      <c r="BZ34">
        <v>1</v>
      </c>
      <c r="CA34" t="s">
        <v>344</v>
      </c>
      <c r="CB34" t="s">
        <v>345</v>
      </c>
      <c r="CC34" s="3">
        <v>46092.557106481479</v>
      </c>
      <c r="CD34" t="s">
        <v>91</v>
      </c>
    </row>
    <row r="35" spans="1:82" ht="16" x14ac:dyDescent="0.2">
      <c r="A35" t="s">
        <v>346</v>
      </c>
      <c r="B35" t="s">
        <v>347</v>
      </c>
      <c r="C35" t="s">
        <v>348</v>
      </c>
      <c r="D35" t="s">
        <v>78</v>
      </c>
      <c r="E35" t="s">
        <v>349</v>
      </c>
      <c r="F35">
        <v>6</v>
      </c>
      <c r="G35">
        <v>300</v>
      </c>
      <c r="H35" t="str">
        <f t="shared" si="1"/>
        <v>6x300</v>
      </c>
      <c r="I35">
        <v>465</v>
      </c>
      <c r="J35" s="4">
        <f t="shared" si="2"/>
        <v>4.3055555555555562E-2</v>
      </c>
      <c r="K35">
        <v>702</v>
      </c>
      <c r="L35" s="4">
        <f t="shared" si="3"/>
        <v>6.4999999999999988E-2</v>
      </c>
      <c r="M35">
        <v>1065</v>
      </c>
      <c r="N35" s="4">
        <f t="shared" si="4"/>
        <v>9.8611111111111108E-2</v>
      </c>
      <c r="O35">
        <v>2125</v>
      </c>
      <c r="P35" s="4">
        <f t="shared" si="5"/>
        <v>0.19675925925925927</v>
      </c>
      <c r="Q35" s="6">
        <f t="shared" si="0"/>
        <v>2035</v>
      </c>
      <c r="R35" s="6">
        <f t="shared" si="6"/>
        <v>4</v>
      </c>
      <c r="S35">
        <v>304</v>
      </c>
      <c r="T35">
        <v>78</v>
      </c>
      <c r="U35">
        <v>1</v>
      </c>
      <c r="V35">
        <v>2</v>
      </c>
      <c r="W35">
        <v>5</v>
      </c>
      <c r="X35">
        <v>127</v>
      </c>
      <c r="Y35" s="2" t="s">
        <v>350</v>
      </c>
      <c r="Z35">
        <v>45.518430665843702</v>
      </c>
      <c r="AA35">
        <v>9.3526549641985497</v>
      </c>
      <c r="AB35" t="s">
        <v>78</v>
      </c>
      <c r="AC35" t="s">
        <v>81</v>
      </c>
      <c r="AD35" t="s">
        <v>82</v>
      </c>
      <c r="AE35">
        <v>66059</v>
      </c>
      <c r="AF35">
        <v>0</v>
      </c>
      <c r="AG35">
        <v>0</v>
      </c>
      <c r="AH35">
        <v>15443</v>
      </c>
      <c r="AI35">
        <v>20420</v>
      </c>
      <c r="AJ35">
        <v>25439</v>
      </c>
      <c r="AK35">
        <v>4757</v>
      </c>
      <c r="AL35">
        <v>6771</v>
      </c>
      <c r="AM35">
        <v>36038</v>
      </c>
      <c r="AN35">
        <v>163620</v>
      </c>
      <c r="AO35">
        <v>673893</v>
      </c>
      <c r="AP35">
        <v>0</v>
      </c>
      <c r="AQ35">
        <v>0</v>
      </c>
      <c r="AR35">
        <v>3</v>
      </c>
      <c r="AS35">
        <v>5</v>
      </c>
      <c r="AT35">
        <v>2</v>
      </c>
      <c r="AU35">
        <v>20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7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45.518380000000001</v>
      </c>
      <c r="BK35">
        <v>9.3526100000000003</v>
      </c>
      <c r="BL35">
        <v>1800</v>
      </c>
      <c r="BM35" t="s">
        <v>83</v>
      </c>
      <c r="BN35" t="s">
        <v>84</v>
      </c>
      <c r="BO35" t="s">
        <v>85</v>
      </c>
      <c r="BP35" t="s">
        <v>107</v>
      </c>
      <c r="BQ35" t="s">
        <v>108</v>
      </c>
      <c r="BR35" t="s">
        <v>109</v>
      </c>
      <c r="BS35">
        <v>1321307</v>
      </c>
      <c r="BT35">
        <v>0</v>
      </c>
      <c r="BU35">
        <v>0</v>
      </c>
      <c r="BV35">
        <v>308890</v>
      </c>
      <c r="BW35">
        <v>408405</v>
      </c>
      <c r="BX35">
        <v>508840</v>
      </c>
      <c r="BY35">
        <v>95172</v>
      </c>
      <c r="BZ35">
        <v>1</v>
      </c>
      <c r="CA35" t="s">
        <v>351</v>
      </c>
      <c r="CB35" t="s">
        <v>352</v>
      </c>
      <c r="CC35" s="3">
        <v>46092.557106481479</v>
      </c>
      <c r="CD35" t="s">
        <v>91</v>
      </c>
    </row>
    <row r="36" spans="1:82" ht="16" x14ac:dyDescent="0.2">
      <c r="A36" t="s">
        <v>353</v>
      </c>
      <c r="B36" t="s">
        <v>354</v>
      </c>
      <c r="C36" t="s">
        <v>355</v>
      </c>
      <c r="D36" t="s">
        <v>78</v>
      </c>
      <c r="E36" t="s">
        <v>356</v>
      </c>
      <c r="F36">
        <v>6</v>
      </c>
      <c r="G36">
        <v>300</v>
      </c>
      <c r="H36" t="str">
        <f t="shared" si="1"/>
        <v>6x300</v>
      </c>
      <c r="I36">
        <v>458</v>
      </c>
      <c r="J36" s="4">
        <f t="shared" si="2"/>
        <v>4.2407407407407401E-2</v>
      </c>
      <c r="K36">
        <v>691</v>
      </c>
      <c r="L36" s="4">
        <f t="shared" si="3"/>
        <v>6.3981481481481486E-2</v>
      </c>
      <c r="M36">
        <v>1048</v>
      </c>
      <c r="N36" s="4">
        <f t="shared" si="4"/>
        <v>9.7037037037037033E-2</v>
      </c>
      <c r="O36">
        <v>2092</v>
      </c>
      <c r="P36" s="4">
        <f t="shared" si="5"/>
        <v>0.19370370370370371</v>
      </c>
      <c r="Q36" s="6">
        <f t="shared" si="0"/>
        <v>2035</v>
      </c>
      <c r="R36" s="6">
        <f t="shared" si="6"/>
        <v>4</v>
      </c>
      <c r="S36">
        <v>304</v>
      </c>
      <c r="T36">
        <v>82</v>
      </c>
      <c r="U36">
        <v>-34</v>
      </c>
      <c r="V36">
        <v>54</v>
      </c>
      <c r="W36">
        <v>-24</v>
      </c>
      <c r="X36">
        <v>125</v>
      </c>
      <c r="Y36" s="2" t="s">
        <v>357</v>
      </c>
      <c r="Z36">
        <v>45.508908091499897</v>
      </c>
      <c r="AA36">
        <v>10.3238094594935</v>
      </c>
      <c r="AB36" t="s">
        <v>78</v>
      </c>
      <c r="AC36" t="s">
        <v>81</v>
      </c>
      <c r="AD36" t="s">
        <v>82</v>
      </c>
      <c r="AE36">
        <v>63041</v>
      </c>
      <c r="AF36">
        <v>0</v>
      </c>
      <c r="AG36">
        <v>39287</v>
      </c>
      <c r="AH36">
        <v>7496</v>
      </c>
      <c r="AI36">
        <v>0</v>
      </c>
      <c r="AJ36">
        <v>15229</v>
      </c>
      <c r="AK36">
        <v>1029</v>
      </c>
      <c r="AL36">
        <v>6403</v>
      </c>
      <c r="AM36">
        <v>14060</v>
      </c>
      <c r="AN36">
        <v>59617</v>
      </c>
      <c r="AO36">
        <v>247710</v>
      </c>
      <c r="AP36">
        <v>6</v>
      </c>
      <c r="AQ36">
        <v>0</v>
      </c>
      <c r="AR36">
        <v>7</v>
      </c>
      <c r="AS36">
        <v>16</v>
      </c>
      <c r="AT36">
        <v>0</v>
      </c>
      <c r="AU36">
        <v>19</v>
      </c>
      <c r="AV36">
        <v>9</v>
      </c>
      <c r="AW36">
        <v>1</v>
      </c>
      <c r="AX36">
        <v>0</v>
      </c>
      <c r="AY36">
        <v>0</v>
      </c>
      <c r="AZ36">
        <v>2</v>
      </c>
      <c r="BA36">
        <v>11</v>
      </c>
      <c r="BB36">
        <v>23</v>
      </c>
      <c r="BC36">
        <v>7</v>
      </c>
      <c r="BD36">
        <v>6</v>
      </c>
      <c r="BE36">
        <v>0</v>
      </c>
      <c r="BF36">
        <v>6</v>
      </c>
      <c r="BG36">
        <v>0</v>
      </c>
      <c r="BH36">
        <v>6</v>
      </c>
      <c r="BI36">
        <v>0</v>
      </c>
      <c r="BJ36">
        <v>45.508969899999997</v>
      </c>
      <c r="BK36">
        <v>10.32385</v>
      </c>
      <c r="BL36">
        <v>1800</v>
      </c>
      <c r="BM36" t="s">
        <v>83</v>
      </c>
      <c r="BN36" t="s">
        <v>84</v>
      </c>
      <c r="BO36" t="s">
        <v>85</v>
      </c>
      <c r="BP36" t="s">
        <v>107</v>
      </c>
      <c r="BQ36" t="s">
        <v>108</v>
      </c>
      <c r="BR36" t="s">
        <v>179</v>
      </c>
      <c r="BS36">
        <v>1342650</v>
      </c>
      <c r="BT36">
        <v>0</v>
      </c>
      <c r="BU36">
        <v>902853</v>
      </c>
      <c r="BV36">
        <v>149938</v>
      </c>
      <c r="BW36">
        <v>0</v>
      </c>
      <c r="BX36">
        <v>269263</v>
      </c>
      <c r="BY36">
        <v>20596</v>
      </c>
      <c r="BZ36">
        <v>1</v>
      </c>
      <c r="CA36" t="s">
        <v>358</v>
      </c>
      <c r="CB36" t="s">
        <v>359</v>
      </c>
      <c r="CC36" s="3">
        <v>46092.557106481479</v>
      </c>
      <c r="CD36" t="s">
        <v>91</v>
      </c>
    </row>
    <row r="37" spans="1:82" ht="16" x14ac:dyDescent="0.2">
      <c r="A37" t="s">
        <v>360</v>
      </c>
      <c r="B37" t="s">
        <v>361</v>
      </c>
      <c r="C37" t="s">
        <v>362</v>
      </c>
      <c r="D37" t="s">
        <v>78</v>
      </c>
      <c r="E37" t="s">
        <v>363</v>
      </c>
      <c r="F37">
        <v>6</v>
      </c>
      <c r="G37">
        <v>300</v>
      </c>
      <c r="H37" t="str">
        <f t="shared" si="1"/>
        <v>6x300</v>
      </c>
      <c r="I37">
        <v>456</v>
      </c>
      <c r="J37" s="4">
        <f t="shared" si="2"/>
        <v>4.2222222222222223E-2</v>
      </c>
      <c r="K37">
        <v>689</v>
      </c>
      <c r="L37" s="4">
        <f t="shared" si="3"/>
        <v>6.3796296296296309E-2</v>
      </c>
      <c r="M37">
        <v>1045</v>
      </c>
      <c r="N37" s="4">
        <f t="shared" si="4"/>
        <v>9.6759259259259267E-2</v>
      </c>
      <c r="O37">
        <v>2084</v>
      </c>
      <c r="P37" s="4">
        <f t="shared" si="5"/>
        <v>0.19296296296296298</v>
      </c>
      <c r="Q37" s="6">
        <f t="shared" si="0"/>
        <v>2035</v>
      </c>
      <c r="R37" s="6">
        <f t="shared" si="6"/>
        <v>4</v>
      </c>
      <c r="S37">
        <v>304</v>
      </c>
      <c r="T37">
        <v>109</v>
      </c>
      <c r="U37">
        <v>1</v>
      </c>
      <c r="V37">
        <v>-25</v>
      </c>
      <c r="W37">
        <v>-3</v>
      </c>
      <c r="X37">
        <v>118</v>
      </c>
      <c r="Y37" s="2" t="s">
        <v>364</v>
      </c>
      <c r="Z37">
        <v>45.692639999999997</v>
      </c>
      <c r="AA37">
        <v>9.1022800000000004</v>
      </c>
      <c r="AB37" t="s">
        <v>78</v>
      </c>
      <c r="AC37" t="s">
        <v>81</v>
      </c>
      <c r="AD37" t="s">
        <v>82</v>
      </c>
      <c r="AE37">
        <v>114840</v>
      </c>
      <c r="AF37">
        <v>21704</v>
      </c>
      <c r="AG37">
        <v>0</v>
      </c>
      <c r="AH37">
        <v>37140</v>
      </c>
      <c r="AI37">
        <v>23760</v>
      </c>
      <c r="AJ37">
        <v>32236</v>
      </c>
      <c r="AK37">
        <v>0</v>
      </c>
      <c r="AL37">
        <v>4237</v>
      </c>
      <c r="AM37">
        <v>18208</v>
      </c>
      <c r="AN37">
        <v>93407</v>
      </c>
      <c r="AO37">
        <v>516459</v>
      </c>
      <c r="AP37">
        <v>1</v>
      </c>
      <c r="AQ37">
        <v>0</v>
      </c>
      <c r="AR37">
        <v>2</v>
      </c>
      <c r="AS37">
        <v>16</v>
      </c>
      <c r="AT37">
        <v>1</v>
      </c>
      <c r="AU37">
        <v>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26</v>
      </c>
      <c r="BB37">
        <v>37</v>
      </c>
      <c r="BC37">
        <v>24</v>
      </c>
      <c r="BD37">
        <v>0</v>
      </c>
      <c r="BE37">
        <v>0</v>
      </c>
      <c r="BF37">
        <v>0</v>
      </c>
      <c r="BG37">
        <v>0</v>
      </c>
      <c r="BH37">
        <v>4</v>
      </c>
      <c r="BI37">
        <v>0</v>
      </c>
      <c r="BJ37">
        <v>45.692601500000002</v>
      </c>
      <c r="BK37">
        <v>9.1022406999999994</v>
      </c>
      <c r="BL37">
        <v>1800</v>
      </c>
      <c r="BM37" t="s">
        <v>83</v>
      </c>
      <c r="BN37" t="s">
        <v>84</v>
      </c>
      <c r="BO37" t="s">
        <v>85</v>
      </c>
      <c r="BP37" t="s">
        <v>107</v>
      </c>
      <c r="BQ37" t="s">
        <v>108</v>
      </c>
      <c r="BR37" t="s">
        <v>145</v>
      </c>
      <c r="BS37">
        <v>2595079</v>
      </c>
      <c r="BT37">
        <v>564329</v>
      </c>
      <c r="BU37">
        <v>0</v>
      </c>
      <c r="BV37">
        <v>910723</v>
      </c>
      <c r="BW37">
        <v>475217</v>
      </c>
      <c r="BX37">
        <v>644810</v>
      </c>
      <c r="BY37">
        <v>0</v>
      </c>
      <c r="BZ37">
        <v>1</v>
      </c>
      <c r="CA37" t="s">
        <v>365</v>
      </c>
      <c r="CB37" t="s">
        <v>366</v>
      </c>
      <c r="CC37" s="3">
        <v>46092.557106481479</v>
      </c>
      <c r="CD37" t="s">
        <v>91</v>
      </c>
    </row>
    <row r="38" spans="1:82" ht="16" x14ac:dyDescent="0.2">
      <c r="A38" t="s">
        <v>367</v>
      </c>
      <c r="B38" t="s">
        <v>368</v>
      </c>
      <c r="C38" t="s">
        <v>369</v>
      </c>
      <c r="D38" t="s">
        <v>78</v>
      </c>
      <c r="E38" t="s">
        <v>370</v>
      </c>
      <c r="F38">
        <v>6</v>
      </c>
      <c r="G38">
        <v>300</v>
      </c>
      <c r="H38" t="str">
        <f t="shared" si="1"/>
        <v>6x300</v>
      </c>
      <c r="I38">
        <v>453</v>
      </c>
      <c r="J38" s="4">
        <f t="shared" si="2"/>
        <v>4.1944444444444444E-2</v>
      </c>
      <c r="K38">
        <v>685</v>
      </c>
      <c r="L38" s="4">
        <f t="shared" si="3"/>
        <v>6.3425925925925927E-2</v>
      </c>
      <c r="M38">
        <v>1038</v>
      </c>
      <c r="N38" s="4">
        <f t="shared" si="4"/>
        <v>9.6111111111111105E-2</v>
      </c>
      <c r="O38">
        <v>2072</v>
      </c>
      <c r="P38" s="4">
        <f t="shared" si="5"/>
        <v>0.19185185185185183</v>
      </c>
      <c r="Q38" s="6">
        <f t="shared" si="0"/>
        <v>2035</v>
      </c>
      <c r="R38" s="6">
        <f t="shared" si="6"/>
        <v>4</v>
      </c>
      <c r="S38">
        <v>304</v>
      </c>
      <c r="T38">
        <v>77</v>
      </c>
      <c r="U38">
        <v>-41</v>
      </c>
      <c r="V38">
        <v>17</v>
      </c>
      <c r="W38">
        <v>-7</v>
      </c>
      <c r="X38">
        <v>163</v>
      </c>
      <c r="Y38" s="2" t="s">
        <v>371</v>
      </c>
      <c r="Z38">
        <v>43.549818000000002</v>
      </c>
      <c r="AA38">
        <v>13.511400099999999</v>
      </c>
      <c r="AB38" t="s">
        <v>78</v>
      </c>
      <c r="AC38" t="s">
        <v>81</v>
      </c>
      <c r="AD38" t="s">
        <v>82</v>
      </c>
      <c r="AE38">
        <v>78966</v>
      </c>
      <c r="AF38">
        <v>0</v>
      </c>
      <c r="AG38">
        <v>0</v>
      </c>
      <c r="AH38">
        <v>34317</v>
      </c>
      <c r="AI38">
        <v>12688</v>
      </c>
      <c r="AJ38">
        <v>31961</v>
      </c>
      <c r="AK38">
        <v>0</v>
      </c>
      <c r="AL38">
        <v>301</v>
      </c>
      <c r="AM38">
        <v>3178</v>
      </c>
      <c r="AN38">
        <v>35232</v>
      </c>
      <c r="AO38">
        <v>158297</v>
      </c>
      <c r="AP38">
        <v>0</v>
      </c>
      <c r="AQ38">
        <v>0</v>
      </c>
      <c r="AR38">
        <v>2</v>
      </c>
      <c r="AS38">
        <v>15</v>
      </c>
      <c r="AT38">
        <v>0</v>
      </c>
      <c r="AU38">
        <v>36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7</v>
      </c>
      <c r="BB38">
        <v>19</v>
      </c>
      <c r="BC38">
        <v>1</v>
      </c>
      <c r="BD38">
        <v>2</v>
      </c>
      <c r="BE38">
        <v>0</v>
      </c>
      <c r="BF38">
        <v>2</v>
      </c>
      <c r="BG38">
        <v>2</v>
      </c>
      <c r="BH38">
        <v>2</v>
      </c>
      <c r="BI38">
        <v>2</v>
      </c>
      <c r="BJ38">
        <v>43.549857299999999</v>
      </c>
      <c r="BK38">
        <v>13.511385799999999</v>
      </c>
      <c r="BL38">
        <v>1800</v>
      </c>
      <c r="BM38" t="s">
        <v>83</v>
      </c>
      <c r="BN38" t="s">
        <v>84</v>
      </c>
      <c r="BO38" t="s">
        <v>85</v>
      </c>
      <c r="BP38" t="s">
        <v>86</v>
      </c>
      <c r="BQ38" t="s">
        <v>372</v>
      </c>
      <c r="BR38" t="s">
        <v>369</v>
      </c>
      <c r="BS38">
        <v>1579407</v>
      </c>
      <c r="BT38">
        <v>0</v>
      </c>
      <c r="BU38">
        <v>0</v>
      </c>
      <c r="BV38">
        <v>686356</v>
      </c>
      <c r="BW38">
        <v>253776</v>
      </c>
      <c r="BX38">
        <v>639275</v>
      </c>
      <c r="BY38">
        <v>0</v>
      </c>
      <c r="BZ38">
        <v>1</v>
      </c>
      <c r="CA38" t="s">
        <v>373</v>
      </c>
      <c r="CB38" t="s">
        <v>374</v>
      </c>
      <c r="CC38" s="3">
        <v>46092.557106481479</v>
      </c>
      <c r="CD38" t="s">
        <v>91</v>
      </c>
    </row>
    <row r="39" spans="1:82" ht="16" x14ac:dyDescent="0.2">
      <c r="A39" t="s">
        <v>375</v>
      </c>
      <c r="B39" t="s">
        <v>376</v>
      </c>
      <c r="C39" t="s">
        <v>377</v>
      </c>
      <c r="D39" t="s">
        <v>78</v>
      </c>
      <c r="E39" t="s">
        <v>378</v>
      </c>
      <c r="F39">
        <v>6</v>
      </c>
      <c r="G39">
        <v>300</v>
      </c>
      <c r="H39" t="str">
        <f t="shared" si="1"/>
        <v>6x300</v>
      </c>
      <c r="I39">
        <v>450</v>
      </c>
      <c r="J39" s="4">
        <f t="shared" si="2"/>
        <v>4.1666666666666664E-2</v>
      </c>
      <c r="K39">
        <v>679</v>
      </c>
      <c r="L39" s="4">
        <f t="shared" si="3"/>
        <v>6.2870370370370368E-2</v>
      </c>
      <c r="M39">
        <v>1030</v>
      </c>
      <c r="N39" s="4">
        <f t="shared" si="4"/>
        <v>9.5370370370370369E-2</v>
      </c>
      <c r="O39">
        <v>2055</v>
      </c>
      <c r="P39" s="4">
        <f t="shared" si="5"/>
        <v>0.19027777777777777</v>
      </c>
      <c r="Q39" s="6">
        <f t="shared" si="0"/>
        <v>2035</v>
      </c>
      <c r="R39" s="6">
        <f t="shared" si="6"/>
        <v>4</v>
      </c>
      <c r="S39">
        <v>304</v>
      </c>
      <c r="T39">
        <v>80</v>
      </c>
      <c r="U39">
        <v>11</v>
      </c>
      <c r="V39">
        <v>-7</v>
      </c>
      <c r="W39">
        <v>-11</v>
      </c>
      <c r="X39">
        <v>123</v>
      </c>
      <c r="Y39" s="2" t="s">
        <v>379</v>
      </c>
      <c r="Z39">
        <v>43.735779999999998</v>
      </c>
      <c r="AA39">
        <v>11.29599</v>
      </c>
      <c r="AB39" t="s">
        <v>78</v>
      </c>
      <c r="AC39" t="s">
        <v>81</v>
      </c>
      <c r="AD39" t="s">
        <v>82</v>
      </c>
      <c r="AE39">
        <v>107998</v>
      </c>
      <c r="AF39">
        <v>47825</v>
      </c>
      <c r="AG39">
        <v>0</v>
      </c>
      <c r="AH39">
        <v>46119</v>
      </c>
      <c r="AI39">
        <v>0</v>
      </c>
      <c r="AJ39">
        <v>14054</v>
      </c>
      <c r="AK39">
        <v>0</v>
      </c>
      <c r="AL39">
        <v>4389</v>
      </c>
      <c r="AM39">
        <v>16210</v>
      </c>
      <c r="AN39">
        <v>126571</v>
      </c>
      <c r="AO39">
        <v>439266</v>
      </c>
      <c r="AP39">
        <v>0</v>
      </c>
      <c r="AQ39">
        <v>1</v>
      </c>
      <c r="AR39">
        <v>3</v>
      </c>
      <c r="AS39">
        <v>10</v>
      </c>
      <c r="AT39">
        <v>2</v>
      </c>
      <c r="AU39">
        <v>24</v>
      </c>
      <c r="AV39">
        <v>1</v>
      </c>
      <c r="AW39">
        <v>0</v>
      </c>
      <c r="AX39">
        <v>0</v>
      </c>
      <c r="AY39">
        <v>2</v>
      </c>
      <c r="AZ39">
        <v>0</v>
      </c>
      <c r="BA39">
        <v>10</v>
      </c>
      <c r="BB39">
        <v>22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4</v>
      </c>
      <c r="BJ39">
        <v>43.735883800000003</v>
      </c>
      <c r="BK39">
        <v>11.296255199999999</v>
      </c>
      <c r="BL39">
        <v>1800</v>
      </c>
      <c r="BM39" t="s">
        <v>83</v>
      </c>
      <c r="BN39" t="s">
        <v>84</v>
      </c>
      <c r="BO39" t="s">
        <v>85</v>
      </c>
      <c r="BP39" t="s">
        <v>86</v>
      </c>
      <c r="BQ39" t="s">
        <v>212</v>
      </c>
      <c r="BR39" t="s">
        <v>213</v>
      </c>
      <c r="BS39">
        <v>2542112</v>
      </c>
      <c r="BT39">
        <v>1195645</v>
      </c>
      <c r="BU39">
        <v>0</v>
      </c>
      <c r="BV39">
        <v>1065330</v>
      </c>
      <c r="BW39">
        <v>0</v>
      </c>
      <c r="BX39">
        <v>281137</v>
      </c>
      <c r="BY39">
        <v>0</v>
      </c>
      <c r="BZ39">
        <v>1</v>
      </c>
      <c r="CA39" t="s">
        <v>380</v>
      </c>
      <c r="CB39" t="s">
        <v>381</v>
      </c>
      <c r="CC39" s="3">
        <v>46092.557106481479</v>
      </c>
      <c r="CD39" t="s">
        <v>91</v>
      </c>
    </row>
    <row r="40" spans="1:82" ht="16" x14ac:dyDescent="0.2">
      <c r="A40" t="s">
        <v>382</v>
      </c>
      <c r="B40" t="s">
        <v>383</v>
      </c>
      <c r="C40" t="s">
        <v>384</v>
      </c>
      <c r="D40" t="s">
        <v>78</v>
      </c>
      <c r="E40" t="s">
        <v>385</v>
      </c>
      <c r="F40">
        <v>6</v>
      </c>
      <c r="G40">
        <v>300</v>
      </c>
      <c r="H40" t="str">
        <f t="shared" si="1"/>
        <v>6x300</v>
      </c>
      <c r="I40">
        <v>447</v>
      </c>
      <c r="J40" s="4">
        <f t="shared" si="2"/>
        <v>4.1388888888888885E-2</v>
      </c>
      <c r="K40">
        <v>676</v>
      </c>
      <c r="L40" s="4">
        <f t="shared" si="3"/>
        <v>6.2592592592592602E-2</v>
      </c>
      <c r="M40">
        <v>1024</v>
      </c>
      <c r="N40" s="4">
        <f t="shared" si="4"/>
        <v>9.481481481481481E-2</v>
      </c>
      <c r="O40">
        <v>2045</v>
      </c>
      <c r="P40" s="4">
        <f t="shared" si="5"/>
        <v>0.18935185185185185</v>
      </c>
      <c r="Q40" s="6">
        <f t="shared" si="0"/>
        <v>2035</v>
      </c>
      <c r="R40" s="6">
        <f t="shared" si="6"/>
        <v>4</v>
      </c>
      <c r="S40">
        <v>304</v>
      </c>
      <c r="T40">
        <v>70</v>
      </c>
      <c r="U40">
        <v>-7</v>
      </c>
      <c r="V40">
        <v>11</v>
      </c>
      <c r="W40">
        <v>-4</v>
      </c>
      <c r="X40">
        <v>120</v>
      </c>
      <c r="Y40" s="2" t="s">
        <v>386</v>
      </c>
      <c r="Z40">
        <v>45.542691599016301</v>
      </c>
      <c r="AA40">
        <v>9.0104153595161502</v>
      </c>
      <c r="AB40" t="s">
        <v>78</v>
      </c>
      <c r="AC40" t="s">
        <v>81</v>
      </c>
      <c r="AD40" t="s">
        <v>82</v>
      </c>
      <c r="AE40">
        <v>74194</v>
      </c>
      <c r="AF40">
        <v>0</v>
      </c>
      <c r="AG40">
        <v>0</v>
      </c>
      <c r="AH40">
        <v>28734</v>
      </c>
      <c r="AI40">
        <v>27593</v>
      </c>
      <c r="AJ40">
        <v>17081</v>
      </c>
      <c r="AK40">
        <v>786</v>
      </c>
      <c r="AL40">
        <v>8574</v>
      </c>
      <c r="AM40">
        <v>30058</v>
      </c>
      <c r="AN40">
        <v>144477</v>
      </c>
      <c r="AO40">
        <v>608045</v>
      </c>
      <c r="AP40">
        <v>3</v>
      </c>
      <c r="AQ40">
        <v>0</v>
      </c>
      <c r="AR40">
        <v>2</v>
      </c>
      <c r="AS40">
        <v>18</v>
      </c>
      <c r="AT40">
        <v>5</v>
      </c>
      <c r="AU40">
        <v>29</v>
      </c>
      <c r="AV40">
        <v>1</v>
      </c>
      <c r="AW40">
        <v>0</v>
      </c>
      <c r="AX40">
        <v>2</v>
      </c>
      <c r="AY40">
        <v>0</v>
      </c>
      <c r="AZ40">
        <v>0</v>
      </c>
      <c r="BA40">
        <v>5</v>
      </c>
      <c r="BB40">
        <v>20</v>
      </c>
      <c r="BC40">
        <v>4</v>
      </c>
      <c r="BD40">
        <v>2</v>
      </c>
      <c r="BE40">
        <v>0</v>
      </c>
      <c r="BF40">
        <v>3</v>
      </c>
      <c r="BG40">
        <v>0</v>
      </c>
      <c r="BH40">
        <v>13</v>
      </c>
      <c r="BI40">
        <v>4</v>
      </c>
      <c r="BJ40">
        <v>45.542679300000003</v>
      </c>
      <c r="BK40">
        <v>9.0103826999999992</v>
      </c>
      <c r="BL40">
        <v>1800</v>
      </c>
      <c r="BM40" t="s">
        <v>83</v>
      </c>
      <c r="BN40" t="s">
        <v>84</v>
      </c>
      <c r="BO40" t="s">
        <v>85</v>
      </c>
      <c r="BP40" t="s">
        <v>107</v>
      </c>
      <c r="BQ40" t="s">
        <v>108</v>
      </c>
      <c r="BR40" t="s">
        <v>109</v>
      </c>
      <c r="BS40">
        <v>1483989</v>
      </c>
      <c r="BT40">
        <v>0</v>
      </c>
      <c r="BU40">
        <v>0</v>
      </c>
      <c r="BV40">
        <v>574704</v>
      </c>
      <c r="BW40">
        <v>551894</v>
      </c>
      <c r="BX40">
        <v>341668</v>
      </c>
      <c r="BY40">
        <v>15723</v>
      </c>
      <c r="BZ40">
        <v>1</v>
      </c>
      <c r="CA40" t="s">
        <v>387</v>
      </c>
      <c r="CB40" t="s">
        <v>388</v>
      </c>
      <c r="CC40" s="3">
        <v>46092.557106481479</v>
      </c>
      <c r="CD40" t="s">
        <v>91</v>
      </c>
    </row>
    <row r="41" spans="1:82" ht="16" x14ac:dyDescent="0.2">
      <c r="A41" t="s">
        <v>389</v>
      </c>
      <c r="B41" t="s">
        <v>390</v>
      </c>
      <c r="C41" t="s">
        <v>391</v>
      </c>
      <c r="D41" t="s">
        <v>78</v>
      </c>
      <c r="E41" t="s">
        <v>392</v>
      </c>
      <c r="F41">
        <v>6</v>
      </c>
      <c r="G41">
        <v>300</v>
      </c>
      <c r="H41" t="str">
        <f t="shared" si="1"/>
        <v>6x300</v>
      </c>
      <c r="I41">
        <v>445</v>
      </c>
      <c r="J41" s="4">
        <f t="shared" si="2"/>
        <v>4.1203703703703708E-2</v>
      </c>
      <c r="K41">
        <v>672</v>
      </c>
      <c r="L41" s="4">
        <f t="shared" si="3"/>
        <v>6.2222222222222227E-2</v>
      </c>
      <c r="M41">
        <v>1019</v>
      </c>
      <c r="N41" s="4">
        <f t="shared" si="4"/>
        <v>9.4351851851851853E-2</v>
      </c>
      <c r="O41">
        <v>2034</v>
      </c>
      <c r="P41" s="4">
        <f t="shared" si="5"/>
        <v>0.18833333333333335</v>
      </c>
      <c r="Q41" s="6">
        <f t="shared" si="0"/>
        <v>2035</v>
      </c>
      <c r="R41" s="6">
        <f t="shared" si="6"/>
        <v>4</v>
      </c>
      <c r="S41">
        <v>304</v>
      </c>
      <c r="T41">
        <v>64</v>
      </c>
      <c r="U41">
        <v>11</v>
      </c>
      <c r="V41">
        <v>3</v>
      </c>
      <c r="W41">
        <v>-6</v>
      </c>
      <c r="X41">
        <v>123</v>
      </c>
      <c r="Y41" s="2" t="s">
        <v>393</v>
      </c>
      <c r="Z41">
        <v>43.805397399999997</v>
      </c>
      <c r="AA41">
        <v>11.1132697</v>
      </c>
      <c r="AB41" t="s">
        <v>78</v>
      </c>
      <c r="AC41" t="s">
        <v>81</v>
      </c>
      <c r="AD41" t="s">
        <v>82</v>
      </c>
      <c r="AE41">
        <v>26906</v>
      </c>
      <c r="AF41">
        <v>0</v>
      </c>
      <c r="AG41">
        <v>0</v>
      </c>
      <c r="AH41">
        <v>0</v>
      </c>
      <c r="AI41">
        <v>16760</v>
      </c>
      <c r="AJ41">
        <v>8904</v>
      </c>
      <c r="AK41">
        <v>1242</v>
      </c>
      <c r="AL41">
        <v>3756</v>
      </c>
      <c r="AM41">
        <v>15914</v>
      </c>
      <c r="AN41">
        <v>103128</v>
      </c>
      <c r="AO41">
        <v>503984</v>
      </c>
      <c r="AP41">
        <v>3</v>
      </c>
      <c r="AQ41">
        <v>1</v>
      </c>
      <c r="AR41">
        <v>4</v>
      </c>
      <c r="AS41">
        <v>15</v>
      </c>
      <c r="AT41">
        <v>4</v>
      </c>
      <c r="AU41">
        <v>20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4</v>
      </c>
      <c r="BI41">
        <v>0</v>
      </c>
      <c r="BJ41">
        <v>43.8054299</v>
      </c>
      <c r="BK41">
        <v>11.113152400000001</v>
      </c>
      <c r="BL41">
        <v>1800</v>
      </c>
      <c r="BM41" t="s">
        <v>83</v>
      </c>
      <c r="BN41" t="s">
        <v>84</v>
      </c>
      <c r="BO41" t="s">
        <v>85</v>
      </c>
      <c r="BP41" t="s">
        <v>86</v>
      </c>
      <c r="BQ41" t="s">
        <v>212</v>
      </c>
      <c r="BR41" t="s">
        <v>213</v>
      </c>
      <c r="BS41">
        <v>538175</v>
      </c>
      <c r="BT41">
        <v>0</v>
      </c>
      <c r="BU41">
        <v>0</v>
      </c>
      <c r="BV41">
        <v>0</v>
      </c>
      <c r="BW41">
        <v>335221</v>
      </c>
      <c r="BX41">
        <v>178098</v>
      </c>
      <c r="BY41">
        <v>24856</v>
      </c>
      <c r="BZ41">
        <v>1</v>
      </c>
      <c r="CA41" t="s">
        <v>394</v>
      </c>
      <c r="CB41" t="s">
        <v>395</v>
      </c>
      <c r="CC41" s="3">
        <v>46092.557106481479</v>
      </c>
      <c r="CD41" t="s">
        <v>91</v>
      </c>
    </row>
    <row r="42" spans="1:82" ht="16" x14ac:dyDescent="0.2">
      <c r="A42" t="s">
        <v>396</v>
      </c>
      <c r="B42" t="s">
        <v>397</v>
      </c>
      <c r="C42" t="s">
        <v>398</v>
      </c>
      <c r="D42" t="s">
        <v>78</v>
      </c>
      <c r="E42" t="s">
        <v>399</v>
      </c>
      <c r="F42">
        <v>6</v>
      </c>
      <c r="G42">
        <v>300</v>
      </c>
      <c r="H42" t="str">
        <f t="shared" si="1"/>
        <v>6x300</v>
      </c>
      <c r="I42">
        <v>442</v>
      </c>
      <c r="J42" s="4">
        <f t="shared" si="2"/>
        <v>4.0925925925925928E-2</v>
      </c>
      <c r="K42">
        <v>667</v>
      </c>
      <c r="L42" s="4">
        <f t="shared" si="3"/>
        <v>6.1759259259259257E-2</v>
      </c>
      <c r="M42">
        <v>1011</v>
      </c>
      <c r="N42" s="4">
        <f t="shared" si="4"/>
        <v>9.3611111111111103E-2</v>
      </c>
      <c r="O42">
        <v>2018</v>
      </c>
      <c r="P42" s="4">
        <f t="shared" si="5"/>
        <v>0.18685185185185185</v>
      </c>
      <c r="Q42" s="6">
        <f t="shared" si="0"/>
        <v>2035</v>
      </c>
      <c r="R42" s="6">
        <f t="shared" si="6"/>
        <v>4</v>
      </c>
      <c r="S42">
        <v>304</v>
      </c>
      <c r="T42">
        <v>135</v>
      </c>
      <c r="U42">
        <v>-40</v>
      </c>
      <c r="V42">
        <v>-11</v>
      </c>
      <c r="W42">
        <v>-38</v>
      </c>
      <c r="X42">
        <v>144</v>
      </c>
      <c r="Y42" s="2" t="s">
        <v>400</v>
      </c>
      <c r="Z42">
        <v>41.6770861878679</v>
      </c>
      <c r="AA42">
        <v>12.500755177912099</v>
      </c>
      <c r="AB42" t="s">
        <v>78</v>
      </c>
      <c r="AC42" t="s">
        <v>81</v>
      </c>
      <c r="AD42" t="s">
        <v>82</v>
      </c>
      <c r="AE42">
        <v>99459</v>
      </c>
      <c r="AF42">
        <v>0</v>
      </c>
      <c r="AG42">
        <v>66148</v>
      </c>
      <c r="AH42">
        <v>0</v>
      </c>
      <c r="AI42">
        <v>0</v>
      </c>
      <c r="AJ42">
        <v>23420</v>
      </c>
      <c r="AK42">
        <v>9891</v>
      </c>
      <c r="AL42">
        <v>9326</v>
      </c>
      <c r="AM42">
        <v>25111</v>
      </c>
      <c r="AN42">
        <v>41559</v>
      </c>
      <c r="AO42">
        <v>110995</v>
      </c>
      <c r="AP42">
        <v>6</v>
      </c>
      <c r="AQ42">
        <v>1</v>
      </c>
      <c r="AR42">
        <v>4</v>
      </c>
      <c r="AS42">
        <v>7</v>
      </c>
      <c r="AT42">
        <v>2</v>
      </c>
      <c r="AU42">
        <v>21</v>
      </c>
      <c r="AV42">
        <v>17</v>
      </c>
      <c r="AW42">
        <v>1</v>
      </c>
      <c r="AX42">
        <v>0</v>
      </c>
      <c r="AY42">
        <v>1</v>
      </c>
      <c r="AZ42">
        <v>0</v>
      </c>
      <c r="BA42">
        <v>26</v>
      </c>
      <c r="BB42">
        <v>40</v>
      </c>
      <c r="BC42">
        <v>8</v>
      </c>
      <c r="BD42">
        <v>2</v>
      </c>
      <c r="BE42">
        <v>0</v>
      </c>
      <c r="BF42">
        <v>6</v>
      </c>
      <c r="BG42">
        <v>4</v>
      </c>
      <c r="BH42">
        <v>14</v>
      </c>
      <c r="BI42">
        <v>4</v>
      </c>
      <c r="BJ42">
        <v>41.6772834</v>
      </c>
      <c r="BK42">
        <v>12.500575700000001</v>
      </c>
      <c r="BL42">
        <v>1800</v>
      </c>
      <c r="BM42" t="s">
        <v>83</v>
      </c>
      <c r="BN42" t="s">
        <v>84</v>
      </c>
      <c r="BO42" t="s">
        <v>85</v>
      </c>
      <c r="BP42" t="s">
        <v>86</v>
      </c>
      <c r="BQ42" t="s">
        <v>87</v>
      </c>
      <c r="BR42" t="s">
        <v>88</v>
      </c>
      <c r="BS42">
        <v>2319199</v>
      </c>
      <c r="BT42">
        <v>0</v>
      </c>
      <c r="BU42">
        <v>1719870</v>
      </c>
      <c r="BV42">
        <v>0</v>
      </c>
      <c r="BW42">
        <v>0</v>
      </c>
      <c r="BX42">
        <v>401454</v>
      </c>
      <c r="BY42">
        <v>197875</v>
      </c>
      <c r="BZ42">
        <v>1</v>
      </c>
      <c r="CA42" t="s">
        <v>401</v>
      </c>
      <c r="CB42" t="s">
        <v>402</v>
      </c>
      <c r="CC42" s="3">
        <v>46092.557106481479</v>
      </c>
      <c r="CD42" t="s">
        <v>91</v>
      </c>
    </row>
    <row r="43" spans="1:82" ht="16" x14ac:dyDescent="0.2">
      <c r="A43" t="s">
        <v>403</v>
      </c>
      <c r="B43" t="s">
        <v>404</v>
      </c>
      <c r="C43" t="s">
        <v>405</v>
      </c>
      <c r="D43" t="s">
        <v>78</v>
      </c>
      <c r="E43" t="s">
        <v>406</v>
      </c>
      <c r="F43">
        <v>6</v>
      </c>
      <c r="G43">
        <v>300</v>
      </c>
      <c r="H43" t="str">
        <f t="shared" si="1"/>
        <v>6x300</v>
      </c>
      <c r="I43">
        <v>439</v>
      </c>
      <c r="J43" s="4">
        <f t="shared" si="2"/>
        <v>4.0648148148148149E-2</v>
      </c>
      <c r="K43">
        <v>663</v>
      </c>
      <c r="L43" s="4">
        <f t="shared" si="3"/>
        <v>6.1388888888888889E-2</v>
      </c>
      <c r="M43">
        <v>1006</v>
      </c>
      <c r="N43" s="4">
        <f t="shared" si="4"/>
        <v>9.3148148148148147E-2</v>
      </c>
      <c r="O43">
        <v>2007</v>
      </c>
      <c r="P43" s="4">
        <f t="shared" si="5"/>
        <v>0.18583333333333332</v>
      </c>
      <c r="Q43" s="6">
        <f t="shared" si="0"/>
        <v>2035</v>
      </c>
      <c r="R43" s="6">
        <f t="shared" si="6"/>
        <v>4</v>
      </c>
      <c r="S43">
        <v>304</v>
      </c>
      <c r="T43">
        <v>134</v>
      </c>
      <c r="U43">
        <v>-39</v>
      </c>
      <c r="V43">
        <v>-5</v>
      </c>
      <c r="W43">
        <v>-18</v>
      </c>
      <c r="X43">
        <v>103</v>
      </c>
      <c r="Y43" s="2" t="s">
        <v>407</v>
      </c>
      <c r="Z43">
        <v>43.996139999999997</v>
      </c>
      <c r="AA43">
        <v>12.645759999999999</v>
      </c>
      <c r="AB43" t="s">
        <v>78</v>
      </c>
      <c r="AC43" t="s">
        <v>81</v>
      </c>
      <c r="AD43" t="s">
        <v>82</v>
      </c>
      <c r="AE43">
        <v>75496</v>
      </c>
      <c r="AF43">
        <v>40126</v>
      </c>
      <c r="AG43">
        <v>0</v>
      </c>
      <c r="AH43">
        <v>7125</v>
      </c>
      <c r="AI43">
        <v>0</v>
      </c>
      <c r="AJ43">
        <v>13436</v>
      </c>
      <c r="AK43">
        <v>14809</v>
      </c>
      <c r="AL43">
        <v>8591</v>
      </c>
      <c r="AM43">
        <v>23990</v>
      </c>
      <c r="AN43">
        <v>57288</v>
      </c>
      <c r="AO43">
        <v>185551</v>
      </c>
      <c r="AP43">
        <v>0</v>
      </c>
      <c r="AQ43">
        <v>2</v>
      </c>
      <c r="AR43">
        <v>3</v>
      </c>
      <c r="AS43">
        <v>11</v>
      </c>
      <c r="AT43">
        <v>5</v>
      </c>
      <c r="AU43">
        <v>14</v>
      </c>
      <c r="AV43">
        <v>5</v>
      </c>
      <c r="AW43">
        <v>2</v>
      </c>
      <c r="AX43">
        <v>0</v>
      </c>
      <c r="AY43">
        <v>1</v>
      </c>
      <c r="AZ43">
        <v>0</v>
      </c>
      <c r="BA43">
        <v>13</v>
      </c>
      <c r="BB43">
        <v>46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6</v>
      </c>
      <c r="BI43">
        <v>0</v>
      </c>
      <c r="BJ43">
        <v>43.996139900000003</v>
      </c>
      <c r="BK43">
        <v>12.645739900000001</v>
      </c>
      <c r="BL43">
        <v>1800</v>
      </c>
      <c r="BM43" t="s">
        <v>83</v>
      </c>
      <c r="BN43" t="s">
        <v>84</v>
      </c>
      <c r="BO43" t="s">
        <v>85</v>
      </c>
      <c r="BP43" t="s">
        <v>160</v>
      </c>
      <c r="BQ43" t="s">
        <v>170</v>
      </c>
      <c r="BR43" t="s">
        <v>408</v>
      </c>
      <c r="BS43">
        <v>1710627</v>
      </c>
      <c r="BT43">
        <v>1003151</v>
      </c>
      <c r="BU43">
        <v>0</v>
      </c>
      <c r="BV43">
        <v>142511</v>
      </c>
      <c r="BW43">
        <v>0</v>
      </c>
      <c r="BX43">
        <v>268733</v>
      </c>
      <c r="BY43">
        <v>296232</v>
      </c>
      <c r="BZ43">
        <v>1</v>
      </c>
      <c r="CA43" t="s">
        <v>409</v>
      </c>
      <c r="CB43" t="s">
        <v>410</v>
      </c>
      <c r="CC43" s="3">
        <v>46092.557106481479</v>
      </c>
      <c r="CD43" t="s">
        <v>91</v>
      </c>
    </row>
    <row r="44" spans="1:82" ht="16" x14ac:dyDescent="0.2">
      <c r="A44" t="s">
        <v>411</v>
      </c>
      <c r="B44" t="s">
        <v>412</v>
      </c>
      <c r="C44" t="s">
        <v>413</v>
      </c>
      <c r="D44" t="s">
        <v>78</v>
      </c>
      <c r="E44" t="s">
        <v>414</v>
      </c>
      <c r="F44">
        <v>6</v>
      </c>
      <c r="G44">
        <v>300</v>
      </c>
      <c r="H44" t="str">
        <f t="shared" si="1"/>
        <v>6x300</v>
      </c>
      <c r="I44">
        <v>437</v>
      </c>
      <c r="J44" s="4">
        <f t="shared" si="2"/>
        <v>4.0462962962962964E-2</v>
      </c>
      <c r="K44">
        <v>661</v>
      </c>
      <c r="L44" s="4">
        <f t="shared" si="3"/>
        <v>6.1203703703703698E-2</v>
      </c>
      <c r="M44">
        <v>1002</v>
      </c>
      <c r="N44" s="4">
        <f t="shared" si="4"/>
        <v>9.2777777777777778E-2</v>
      </c>
      <c r="O44">
        <v>1999</v>
      </c>
      <c r="P44" s="4">
        <f t="shared" si="5"/>
        <v>0.18509259259259259</v>
      </c>
      <c r="Q44" s="6">
        <f t="shared" si="0"/>
        <v>2035</v>
      </c>
      <c r="R44" s="6">
        <f t="shared" si="6"/>
        <v>4</v>
      </c>
      <c r="S44">
        <v>304</v>
      </c>
      <c r="T44">
        <v>63</v>
      </c>
      <c r="U44">
        <v>-35</v>
      </c>
      <c r="V44">
        <v>-10</v>
      </c>
      <c r="W44">
        <v>24</v>
      </c>
      <c r="X44">
        <v>149</v>
      </c>
      <c r="Y44" s="2" t="s">
        <v>415</v>
      </c>
      <c r="Z44">
        <v>40.900849999999998</v>
      </c>
      <c r="AA44">
        <v>14.040596000000001</v>
      </c>
      <c r="AB44" t="s">
        <v>78</v>
      </c>
      <c r="AC44" t="s">
        <v>81</v>
      </c>
      <c r="AD44" t="s">
        <v>82</v>
      </c>
      <c r="AE44">
        <v>19160</v>
      </c>
      <c r="AF44">
        <v>0</v>
      </c>
      <c r="AG44">
        <v>0</v>
      </c>
      <c r="AH44">
        <v>0</v>
      </c>
      <c r="AI44">
        <v>12088</v>
      </c>
      <c r="AJ44">
        <v>5580</v>
      </c>
      <c r="AK44">
        <v>1492</v>
      </c>
      <c r="AL44">
        <v>1799</v>
      </c>
      <c r="AM44">
        <v>8336</v>
      </c>
      <c r="AN44">
        <v>42529</v>
      </c>
      <c r="AO44">
        <v>187729</v>
      </c>
      <c r="AP44">
        <v>3</v>
      </c>
      <c r="AQ44">
        <v>0</v>
      </c>
      <c r="AR44">
        <v>3</v>
      </c>
      <c r="AS44">
        <v>12</v>
      </c>
      <c r="AT44">
        <v>2</v>
      </c>
      <c r="AU44">
        <v>21</v>
      </c>
      <c r="AV44">
        <v>0</v>
      </c>
      <c r="AW44">
        <v>0</v>
      </c>
      <c r="AX44">
        <v>5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2</v>
      </c>
      <c r="BE44">
        <v>0</v>
      </c>
      <c r="BF44">
        <v>2</v>
      </c>
      <c r="BG44">
        <v>0</v>
      </c>
      <c r="BH44">
        <v>2</v>
      </c>
      <c r="BI44">
        <v>0</v>
      </c>
      <c r="BJ44">
        <v>40.900739999999999</v>
      </c>
      <c r="BK44">
        <v>14.040509999999999</v>
      </c>
      <c r="BL44">
        <v>1800</v>
      </c>
      <c r="BM44" t="s">
        <v>83</v>
      </c>
      <c r="BN44" t="s">
        <v>84</v>
      </c>
      <c r="BO44" t="s">
        <v>85</v>
      </c>
      <c r="BP44" t="s">
        <v>97</v>
      </c>
      <c r="BQ44" t="s">
        <v>98</v>
      </c>
      <c r="BR44" t="s">
        <v>99</v>
      </c>
      <c r="BS44">
        <v>383320</v>
      </c>
      <c r="BT44">
        <v>0</v>
      </c>
      <c r="BU44">
        <v>0</v>
      </c>
      <c r="BV44">
        <v>0</v>
      </c>
      <c r="BW44">
        <v>241817</v>
      </c>
      <c r="BX44">
        <v>111626</v>
      </c>
      <c r="BY44">
        <v>29877</v>
      </c>
      <c r="BZ44">
        <v>1</v>
      </c>
      <c r="CA44" t="s">
        <v>416</v>
      </c>
      <c r="CB44" t="s">
        <v>417</v>
      </c>
      <c r="CC44" s="3">
        <v>46092.557106481479</v>
      </c>
      <c r="CD44" t="s">
        <v>91</v>
      </c>
    </row>
    <row r="45" spans="1:82" ht="16" x14ac:dyDescent="0.2">
      <c r="A45" t="s">
        <v>418</v>
      </c>
      <c r="B45" t="s">
        <v>419</v>
      </c>
      <c r="C45" t="s">
        <v>420</v>
      </c>
      <c r="D45" t="s">
        <v>78</v>
      </c>
      <c r="E45" t="s">
        <v>421</v>
      </c>
      <c r="F45">
        <v>6</v>
      </c>
      <c r="G45">
        <v>300</v>
      </c>
      <c r="H45" t="str">
        <f t="shared" si="1"/>
        <v>6x300</v>
      </c>
      <c r="I45">
        <v>433</v>
      </c>
      <c r="J45" s="4">
        <f t="shared" si="2"/>
        <v>4.0092592592592589E-2</v>
      </c>
      <c r="K45">
        <v>654</v>
      </c>
      <c r="L45" s="4">
        <f t="shared" si="3"/>
        <v>6.0555555555555557E-2</v>
      </c>
      <c r="M45">
        <v>992</v>
      </c>
      <c r="N45" s="4">
        <f t="shared" si="4"/>
        <v>9.1851851851851851E-2</v>
      </c>
      <c r="O45">
        <v>1979</v>
      </c>
      <c r="P45" s="4">
        <f t="shared" si="5"/>
        <v>0.18324074074074073</v>
      </c>
      <c r="Q45" s="6">
        <f t="shared" si="0"/>
        <v>2035</v>
      </c>
      <c r="R45" s="6">
        <f t="shared" si="6"/>
        <v>4</v>
      </c>
      <c r="S45">
        <v>304</v>
      </c>
      <c r="T45">
        <v>117</v>
      </c>
      <c r="U45">
        <v>-40</v>
      </c>
      <c r="V45">
        <v>-17</v>
      </c>
      <c r="W45">
        <v>-7</v>
      </c>
      <c r="X45">
        <v>129</v>
      </c>
      <c r="Y45" s="2" t="s">
        <v>422</v>
      </c>
      <c r="Z45">
        <v>43.549980120000001</v>
      </c>
      <c r="AA45">
        <v>11.56096037</v>
      </c>
      <c r="AB45" t="s">
        <v>78</v>
      </c>
      <c r="AC45" t="s">
        <v>81</v>
      </c>
      <c r="AD45" t="s">
        <v>82</v>
      </c>
      <c r="AE45">
        <v>106421</v>
      </c>
      <c r="AF45">
        <v>79216</v>
      </c>
      <c r="AG45">
        <v>0</v>
      </c>
      <c r="AH45">
        <v>0</v>
      </c>
      <c r="AI45">
        <v>15083</v>
      </c>
      <c r="AJ45">
        <v>10099</v>
      </c>
      <c r="AK45">
        <v>2023</v>
      </c>
      <c r="AL45">
        <v>1277</v>
      </c>
      <c r="AM45">
        <v>8549</v>
      </c>
      <c r="AN45">
        <v>46015</v>
      </c>
      <c r="AO45">
        <v>83632</v>
      </c>
      <c r="AP45">
        <v>2</v>
      </c>
      <c r="AQ45">
        <v>0</v>
      </c>
      <c r="AR45">
        <v>6</v>
      </c>
      <c r="AS45">
        <v>4</v>
      </c>
      <c r="AT45">
        <v>2</v>
      </c>
      <c r="AU45">
        <v>21</v>
      </c>
      <c r="AV45">
        <v>2</v>
      </c>
      <c r="AW45">
        <v>0</v>
      </c>
      <c r="AX45">
        <v>1</v>
      </c>
      <c r="AY45">
        <v>0</v>
      </c>
      <c r="AZ45">
        <v>0</v>
      </c>
      <c r="BA45">
        <v>6</v>
      </c>
      <c r="BB45">
        <v>21</v>
      </c>
      <c r="BC45">
        <v>4</v>
      </c>
      <c r="BD45">
        <v>4</v>
      </c>
      <c r="BE45">
        <v>0</v>
      </c>
      <c r="BF45">
        <v>4</v>
      </c>
      <c r="BG45">
        <v>0</v>
      </c>
      <c r="BH45">
        <v>6</v>
      </c>
      <c r="BI45">
        <v>0</v>
      </c>
      <c r="BJ45">
        <v>43.549951</v>
      </c>
      <c r="BK45">
        <v>11.560915</v>
      </c>
      <c r="BL45">
        <v>1800</v>
      </c>
      <c r="BM45" t="s">
        <v>83</v>
      </c>
      <c r="BN45" t="s">
        <v>84</v>
      </c>
      <c r="BO45" t="s">
        <v>85</v>
      </c>
      <c r="BP45" t="s">
        <v>86</v>
      </c>
      <c r="BQ45" t="s">
        <v>212</v>
      </c>
      <c r="BR45" t="s">
        <v>423</v>
      </c>
      <c r="BS45">
        <v>2524220</v>
      </c>
      <c r="BT45">
        <v>2018247</v>
      </c>
      <c r="BU45">
        <v>0</v>
      </c>
      <c r="BV45">
        <v>0</v>
      </c>
      <c r="BW45">
        <v>301694</v>
      </c>
      <c r="BX45">
        <v>163813</v>
      </c>
      <c r="BY45">
        <v>40466</v>
      </c>
      <c r="BZ45">
        <v>1</v>
      </c>
      <c r="CA45" t="s">
        <v>424</v>
      </c>
      <c r="CB45" t="s">
        <v>425</v>
      </c>
      <c r="CC45" s="3">
        <v>46092.557106481479</v>
      </c>
      <c r="CD45" t="s">
        <v>91</v>
      </c>
    </row>
    <row r="46" spans="1:82" ht="16" x14ac:dyDescent="0.2">
      <c r="A46" t="s">
        <v>426</v>
      </c>
      <c r="B46" t="s">
        <v>427</v>
      </c>
      <c r="C46" t="s">
        <v>428</v>
      </c>
      <c r="D46" t="s">
        <v>78</v>
      </c>
      <c r="E46" t="s">
        <v>429</v>
      </c>
      <c r="F46">
        <v>6</v>
      </c>
      <c r="G46">
        <v>300</v>
      </c>
      <c r="H46" t="str">
        <f t="shared" si="1"/>
        <v>6x300</v>
      </c>
      <c r="I46">
        <v>427</v>
      </c>
      <c r="J46" s="4">
        <f t="shared" si="2"/>
        <v>3.9537037037037037E-2</v>
      </c>
      <c r="K46">
        <v>645</v>
      </c>
      <c r="L46" s="4">
        <f t="shared" si="3"/>
        <v>5.9722222222222225E-2</v>
      </c>
      <c r="M46">
        <v>979</v>
      </c>
      <c r="N46" s="4">
        <f t="shared" si="4"/>
        <v>9.0648148148148144E-2</v>
      </c>
      <c r="O46">
        <v>1954</v>
      </c>
      <c r="P46" s="4">
        <f t="shared" si="5"/>
        <v>0.18092592592592593</v>
      </c>
      <c r="Q46" s="6">
        <f t="shared" si="0"/>
        <v>2035</v>
      </c>
      <c r="R46" s="6">
        <f t="shared" si="6"/>
        <v>4</v>
      </c>
      <c r="S46">
        <v>304</v>
      </c>
      <c r="T46">
        <v>124</v>
      </c>
      <c r="U46">
        <v>-37</v>
      </c>
      <c r="V46">
        <v>-56</v>
      </c>
      <c r="W46">
        <v>4</v>
      </c>
      <c r="X46">
        <v>145</v>
      </c>
      <c r="Y46" s="2" t="s">
        <v>430</v>
      </c>
      <c r="Z46">
        <v>45.648725403241002</v>
      </c>
      <c r="AA46">
        <v>12.311449886505301</v>
      </c>
      <c r="AB46" t="s">
        <v>78</v>
      </c>
      <c r="AC46" t="s">
        <v>81</v>
      </c>
      <c r="AD46" t="s">
        <v>82</v>
      </c>
      <c r="AE46">
        <v>103576</v>
      </c>
      <c r="AF46">
        <v>57988</v>
      </c>
      <c r="AG46">
        <v>0</v>
      </c>
      <c r="AH46">
        <v>22600</v>
      </c>
      <c r="AI46">
        <v>19027</v>
      </c>
      <c r="AJ46">
        <v>3961</v>
      </c>
      <c r="AK46">
        <v>0</v>
      </c>
      <c r="AL46">
        <v>1601</v>
      </c>
      <c r="AM46">
        <v>7961</v>
      </c>
      <c r="AN46">
        <v>54450</v>
      </c>
      <c r="AO46">
        <v>211501</v>
      </c>
      <c r="AP46">
        <v>0</v>
      </c>
      <c r="AQ46">
        <v>0</v>
      </c>
      <c r="AR46">
        <v>2</v>
      </c>
      <c r="AS46">
        <v>2</v>
      </c>
      <c r="AT46">
        <v>0</v>
      </c>
      <c r="AU46">
        <v>23</v>
      </c>
      <c r="AV46">
        <v>3</v>
      </c>
      <c r="AW46">
        <v>0</v>
      </c>
      <c r="AX46">
        <v>0</v>
      </c>
      <c r="AY46">
        <v>0</v>
      </c>
      <c r="AZ46">
        <v>0</v>
      </c>
      <c r="BA46">
        <v>5</v>
      </c>
      <c r="BB46">
        <v>11</v>
      </c>
      <c r="BC46">
        <v>3</v>
      </c>
      <c r="BD46">
        <v>4</v>
      </c>
      <c r="BE46">
        <v>0</v>
      </c>
      <c r="BF46">
        <v>4</v>
      </c>
      <c r="BG46">
        <v>0</v>
      </c>
      <c r="BH46">
        <v>4</v>
      </c>
      <c r="BI46">
        <v>0</v>
      </c>
      <c r="BJ46">
        <v>45.648766100000003</v>
      </c>
      <c r="BK46">
        <v>12.3114645</v>
      </c>
      <c r="BL46">
        <v>1800</v>
      </c>
      <c r="BM46" t="s">
        <v>83</v>
      </c>
      <c r="BN46" t="s">
        <v>84</v>
      </c>
      <c r="BO46" t="s">
        <v>85</v>
      </c>
      <c r="BP46" t="s">
        <v>160</v>
      </c>
      <c r="BQ46" t="s">
        <v>161</v>
      </c>
      <c r="BR46" t="s">
        <v>428</v>
      </c>
      <c r="BS46">
        <v>2555112</v>
      </c>
      <c r="BT46">
        <v>1507720</v>
      </c>
      <c r="BU46">
        <v>0</v>
      </c>
      <c r="BV46">
        <v>587606</v>
      </c>
      <c r="BW46">
        <v>380550</v>
      </c>
      <c r="BX46">
        <v>79236</v>
      </c>
      <c r="BY46">
        <v>0</v>
      </c>
      <c r="BZ46">
        <v>1</v>
      </c>
      <c r="CA46" t="s">
        <v>431</v>
      </c>
      <c r="CB46" t="s">
        <v>432</v>
      </c>
      <c r="CC46" s="3">
        <v>46092.557106481479</v>
      </c>
      <c r="CD46" t="s">
        <v>91</v>
      </c>
    </row>
    <row r="47" spans="1:82" ht="16" x14ac:dyDescent="0.2">
      <c r="A47" t="s">
        <v>433</v>
      </c>
      <c r="B47" t="s">
        <v>434</v>
      </c>
      <c r="C47" t="s">
        <v>435</v>
      </c>
      <c r="D47" t="s">
        <v>78</v>
      </c>
      <c r="E47" t="s">
        <v>436</v>
      </c>
      <c r="F47">
        <v>6</v>
      </c>
      <c r="G47">
        <v>300</v>
      </c>
      <c r="H47" t="str">
        <f t="shared" si="1"/>
        <v>6x300</v>
      </c>
      <c r="I47">
        <v>425</v>
      </c>
      <c r="J47" s="4">
        <f t="shared" si="2"/>
        <v>3.9351851851851853E-2</v>
      </c>
      <c r="K47">
        <v>641</v>
      </c>
      <c r="L47" s="4">
        <f t="shared" si="3"/>
        <v>5.935185185185185E-2</v>
      </c>
      <c r="M47">
        <v>972</v>
      </c>
      <c r="N47" s="4">
        <f t="shared" si="4"/>
        <v>9.0000000000000011E-2</v>
      </c>
      <c r="O47">
        <v>1941</v>
      </c>
      <c r="P47" s="4">
        <f t="shared" si="5"/>
        <v>0.17972222222222223</v>
      </c>
      <c r="Q47" s="6">
        <f t="shared" si="0"/>
        <v>2035</v>
      </c>
      <c r="R47" s="6">
        <f t="shared" si="6"/>
        <v>4</v>
      </c>
      <c r="S47">
        <v>304</v>
      </c>
      <c r="T47">
        <v>112</v>
      </c>
      <c r="U47">
        <v>-33</v>
      </c>
      <c r="V47">
        <v>-49</v>
      </c>
      <c r="W47">
        <v>9</v>
      </c>
      <c r="X47">
        <v>134</v>
      </c>
      <c r="Y47" s="2" t="s">
        <v>437</v>
      </c>
      <c r="Z47">
        <v>45.142439353893003</v>
      </c>
      <c r="AA47">
        <v>10.0618828085932</v>
      </c>
      <c r="AB47" t="s">
        <v>78</v>
      </c>
      <c r="AC47" t="s">
        <v>81</v>
      </c>
      <c r="AD47" t="s">
        <v>82</v>
      </c>
      <c r="AE47">
        <v>89445</v>
      </c>
      <c r="AF47">
        <v>24722</v>
      </c>
      <c r="AG47">
        <v>14924</v>
      </c>
      <c r="AH47">
        <v>16497</v>
      </c>
      <c r="AI47">
        <v>19496</v>
      </c>
      <c r="AJ47">
        <v>12373</v>
      </c>
      <c r="AK47">
        <v>1433</v>
      </c>
      <c r="AL47">
        <v>2183</v>
      </c>
      <c r="AM47">
        <v>13363</v>
      </c>
      <c r="AN47">
        <v>74879</v>
      </c>
      <c r="AO47">
        <v>108543</v>
      </c>
      <c r="AP47">
        <v>0</v>
      </c>
      <c r="AQ47">
        <v>0</v>
      </c>
      <c r="AR47">
        <v>1</v>
      </c>
      <c r="AS47">
        <v>0</v>
      </c>
      <c r="AT47">
        <v>2</v>
      </c>
      <c r="AU47">
        <v>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</v>
      </c>
      <c r="BB47">
        <v>19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2</v>
      </c>
      <c r="BI47">
        <v>6</v>
      </c>
      <c r="BJ47">
        <v>45.142510000000001</v>
      </c>
      <c r="BK47">
        <v>10.06179</v>
      </c>
      <c r="BL47">
        <v>1800</v>
      </c>
      <c r="BM47" t="s">
        <v>83</v>
      </c>
      <c r="BN47" t="s">
        <v>84</v>
      </c>
      <c r="BO47" t="s">
        <v>85</v>
      </c>
      <c r="BP47" t="s">
        <v>107</v>
      </c>
      <c r="BQ47" t="s">
        <v>108</v>
      </c>
      <c r="BR47" t="s">
        <v>435</v>
      </c>
      <c r="BS47">
        <v>1937462</v>
      </c>
      <c r="BT47">
        <v>642788</v>
      </c>
      <c r="BU47">
        <v>298500</v>
      </c>
      <c r="BV47">
        <v>329948</v>
      </c>
      <c r="BW47">
        <v>390006</v>
      </c>
      <c r="BX47">
        <v>247538</v>
      </c>
      <c r="BY47">
        <v>28682</v>
      </c>
      <c r="BZ47">
        <v>1</v>
      </c>
      <c r="CA47" t="s">
        <v>438</v>
      </c>
      <c r="CB47" t="s">
        <v>439</v>
      </c>
      <c r="CC47" s="3">
        <v>46092.557106481479</v>
      </c>
      <c r="CD47" t="s">
        <v>91</v>
      </c>
    </row>
    <row r="48" spans="1:82" ht="16" x14ac:dyDescent="0.2">
      <c r="A48" t="s">
        <v>440</v>
      </c>
      <c r="B48" t="s">
        <v>441</v>
      </c>
      <c r="C48" t="s">
        <v>442</v>
      </c>
      <c r="D48" t="s">
        <v>78</v>
      </c>
      <c r="E48" t="s">
        <v>443</v>
      </c>
      <c r="F48">
        <v>6</v>
      </c>
      <c r="G48">
        <v>300</v>
      </c>
      <c r="H48" t="str">
        <f t="shared" si="1"/>
        <v>6x300</v>
      </c>
      <c r="I48">
        <v>424</v>
      </c>
      <c r="J48" s="4">
        <f t="shared" si="2"/>
        <v>3.9259259259259258E-2</v>
      </c>
      <c r="K48">
        <v>640</v>
      </c>
      <c r="L48" s="4">
        <f t="shared" si="3"/>
        <v>5.9259259259259262E-2</v>
      </c>
      <c r="M48">
        <v>970</v>
      </c>
      <c r="N48" s="4">
        <f t="shared" si="4"/>
        <v>8.9814814814814806E-2</v>
      </c>
      <c r="O48">
        <v>1936</v>
      </c>
      <c r="P48" s="4">
        <f t="shared" si="5"/>
        <v>0.17925925925925926</v>
      </c>
      <c r="Q48" s="6">
        <f t="shared" si="0"/>
        <v>2035</v>
      </c>
      <c r="R48" s="6">
        <f t="shared" si="6"/>
        <v>4</v>
      </c>
      <c r="S48">
        <v>304</v>
      </c>
      <c r="T48">
        <v>-3</v>
      </c>
      <c r="U48">
        <v>80</v>
      </c>
      <c r="V48">
        <v>-7</v>
      </c>
      <c r="W48">
        <v>-23</v>
      </c>
      <c r="X48">
        <v>107</v>
      </c>
      <c r="Y48" s="2" t="s">
        <v>444</v>
      </c>
      <c r="Z48">
        <v>40.455229899999999</v>
      </c>
      <c r="AA48">
        <v>17.2685414</v>
      </c>
      <c r="AB48" t="s">
        <v>78</v>
      </c>
      <c r="AC48" t="s">
        <v>81</v>
      </c>
      <c r="AD48" t="s">
        <v>82</v>
      </c>
      <c r="AE48">
        <v>43997</v>
      </c>
      <c r="AF48">
        <v>0</v>
      </c>
      <c r="AG48">
        <v>0</v>
      </c>
      <c r="AH48">
        <v>0</v>
      </c>
      <c r="AI48">
        <v>0</v>
      </c>
      <c r="AJ48">
        <v>43997</v>
      </c>
      <c r="AK48">
        <v>0</v>
      </c>
      <c r="AL48">
        <v>29576</v>
      </c>
      <c r="AM48">
        <v>89223</v>
      </c>
      <c r="AN48">
        <v>129066</v>
      </c>
      <c r="AO48">
        <v>216513</v>
      </c>
      <c r="AP48">
        <v>1</v>
      </c>
      <c r="AQ48">
        <v>0</v>
      </c>
      <c r="AR48">
        <v>1</v>
      </c>
      <c r="AS48">
        <v>1</v>
      </c>
      <c r="AT48">
        <v>2</v>
      </c>
      <c r="AU48">
        <v>13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16</v>
      </c>
      <c r="BB48">
        <v>38</v>
      </c>
      <c r="BC48">
        <v>5</v>
      </c>
      <c r="BD48">
        <v>4</v>
      </c>
      <c r="BE48">
        <v>0</v>
      </c>
      <c r="BF48">
        <v>6</v>
      </c>
      <c r="BG48">
        <v>0</v>
      </c>
      <c r="BH48">
        <v>10</v>
      </c>
      <c r="BI48">
        <v>0</v>
      </c>
      <c r="BJ48">
        <v>40.455267300000003</v>
      </c>
      <c r="BK48">
        <v>17.2684839</v>
      </c>
      <c r="BL48">
        <v>1800</v>
      </c>
      <c r="BM48" t="s">
        <v>83</v>
      </c>
      <c r="BN48" t="s">
        <v>84</v>
      </c>
      <c r="BO48" t="s">
        <v>85</v>
      </c>
      <c r="BP48" t="s">
        <v>97</v>
      </c>
      <c r="BQ48" t="s">
        <v>187</v>
      </c>
      <c r="BR48" t="s">
        <v>442</v>
      </c>
      <c r="BS48">
        <v>777417</v>
      </c>
      <c r="BT48">
        <v>0</v>
      </c>
      <c r="BU48">
        <v>0</v>
      </c>
      <c r="BV48">
        <v>0</v>
      </c>
      <c r="BW48">
        <v>0</v>
      </c>
      <c r="BX48">
        <v>777417</v>
      </c>
      <c r="BY48">
        <v>0</v>
      </c>
      <c r="BZ48">
        <v>1</v>
      </c>
      <c r="CA48" t="s">
        <v>445</v>
      </c>
      <c r="CB48" t="s">
        <v>446</v>
      </c>
      <c r="CC48" s="3">
        <v>46092.557106481479</v>
      </c>
      <c r="CD48" t="s">
        <v>91</v>
      </c>
    </row>
    <row r="49" spans="1:82" ht="16" x14ac:dyDescent="0.2">
      <c r="A49" t="s">
        <v>449</v>
      </c>
      <c r="B49" t="s">
        <v>450</v>
      </c>
      <c r="C49" t="s">
        <v>451</v>
      </c>
      <c r="D49" t="s">
        <v>78</v>
      </c>
      <c r="E49" t="s">
        <v>452</v>
      </c>
      <c r="F49">
        <v>6</v>
      </c>
      <c r="G49">
        <v>300</v>
      </c>
      <c r="H49" t="str">
        <f t="shared" si="1"/>
        <v>6x300</v>
      </c>
      <c r="I49">
        <v>419</v>
      </c>
      <c r="J49" s="4">
        <f t="shared" si="2"/>
        <v>3.8796296296296294E-2</v>
      </c>
      <c r="K49">
        <v>632</v>
      </c>
      <c r="L49" s="4">
        <f t="shared" si="3"/>
        <v>5.8518518518518518E-2</v>
      </c>
      <c r="M49">
        <v>959</v>
      </c>
      <c r="N49" s="4">
        <f t="shared" si="4"/>
        <v>8.8796296296296304E-2</v>
      </c>
      <c r="O49">
        <v>1913</v>
      </c>
      <c r="P49" s="4">
        <f t="shared" si="5"/>
        <v>0.17712962962962964</v>
      </c>
      <c r="Q49" s="6">
        <f t="shared" si="0"/>
        <v>2035</v>
      </c>
      <c r="R49" s="6">
        <f t="shared" si="6"/>
        <v>4</v>
      </c>
      <c r="S49">
        <v>304</v>
      </c>
      <c r="T49">
        <v>97</v>
      </c>
      <c r="U49">
        <v>-44</v>
      </c>
      <c r="V49">
        <v>-13</v>
      </c>
      <c r="W49">
        <v>-15</v>
      </c>
      <c r="X49">
        <v>143</v>
      </c>
      <c r="Y49" s="2" t="s">
        <v>453</v>
      </c>
      <c r="Z49">
        <v>43.572907600000001</v>
      </c>
      <c r="AA49">
        <v>10.3305513</v>
      </c>
      <c r="AB49" t="s">
        <v>78</v>
      </c>
      <c r="AC49" t="s">
        <v>81</v>
      </c>
      <c r="AD49" t="s">
        <v>82</v>
      </c>
      <c r="AE49">
        <v>74950</v>
      </c>
      <c r="AF49">
        <v>0</v>
      </c>
      <c r="AG49">
        <v>50105</v>
      </c>
      <c r="AH49">
        <v>17331</v>
      </c>
      <c r="AI49">
        <v>2357</v>
      </c>
      <c r="AJ49">
        <v>567</v>
      </c>
      <c r="AK49">
        <v>4590</v>
      </c>
      <c r="AL49">
        <v>4182</v>
      </c>
      <c r="AM49">
        <v>26464</v>
      </c>
      <c r="AN49">
        <v>124618</v>
      </c>
      <c r="AO49">
        <v>168659</v>
      </c>
      <c r="AP49">
        <v>1</v>
      </c>
      <c r="AQ49">
        <v>0</v>
      </c>
      <c r="AR49">
        <v>1</v>
      </c>
      <c r="AS49">
        <v>3</v>
      </c>
      <c r="AT49">
        <v>0</v>
      </c>
      <c r="AU49">
        <v>14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6</v>
      </c>
      <c r="BB49">
        <v>16</v>
      </c>
      <c r="BC49">
        <v>4</v>
      </c>
      <c r="BD49">
        <v>0</v>
      </c>
      <c r="BE49">
        <v>0</v>
      </c>
      <c r="BF49">
        <v>0</v>
      </c>
      <c r="BG49">
        <v>0</v>
      </c>
      <c r="BH49">
        <v>8</v>
      </c>
      <c r="BI49">
        <v>0</v>
      </c>
      <c r="BJ49">
        <v>43.573089899999999</v>
      </c>
      <c r="BK49">
        <v>10.330909999999999</v>
      </c>
      <c r="BL49">
        <v>1800</v>
      </c>
      <c r="BM49" t="s">
        <v>83</v>
      </c>
      <c r="BN49" t="s">
        <v>84</v>
      </c>
      <c r="BO49" t="s">
        <v>85</v>
      </c>
      <c r="BP49" t="s">
        <v>86</v>
      </c>
      <c r="BQ49" t="s">
        <v>212</v>
      </c>
      <c r="BR49" t="s">
        <v>454</v>
      </c>
      <c r="BS49">
        <v>1499176</v>
      </c>
      <c r="BT49">
        <v>0</v>
      </c>
      <c r="BU49">
        <v>1002140</v>
      </c>
      <c r="BV49">
        <v>346682</v>
      </c>
      <c r="BW49">
        <v>47171</v>
      </c>
      <c r="BX49">
        <v>11355</v>
      </c>
      <c r="BY49">
        <v>91828</v>
      </c>
      <c r="BZ49">
        <v>1</v>
      </c>
      <c r="CA49" t="s">
        <v>455</v>
      </c>
      <c r="CB49" t="s">
        <v>456</v>
      </c>
      <c r="CC49" s="3">
        <v>46092.557106481479</v>
      </c>
      <c r="CD49" t="s">
        <v>91</v>
      </c>
    </row>
    <row r="50" spans="1:82" ht="16" x14ac:dyDescent="0.2">
      <c r="A50" t="s">
        <v>457</v>
      </c>
      <c r="B50" t="s">
        <v>458</v>
      </c>
      <c r="C50" t="s">
        <v>459</v>
      </c>
      <c r="D50" t="s">
        <v>78</v>
      </c>
      <c r="E50" t="s">
        <v>460</v>
      </c>
      <c r="F50">
        <v>6</v>
      </c>
      <c r="G50">
        <v>300</v>
      </c>
      <c r="H50" t="str">
        <f t="shared" si="1"/>
        <v>6x300</v>
      </c>
      <c r="I50">
        <v>417</v>
      </c>
      <c r="J50" s="4">
        <f t="shared" si="2"/>
        <v>3.861111111111111E-2</v>
      </c>
      <c r="K50">
        <v>630</v>
      </c>
      <c r="L50" s="4">
        <f t="shared" si="3"/>
        <v>5.8333333333333341E-2</v>
      </c>
      <c r="M50">
        <v>955</v>
      </c>
      <c r="N50" s="4">
        <f t="shared" si="4"/>
        <v>8.8425925925925922E-2</v>
      </c>
      <c r="O50">
        <v>1907</v>
      </c>
      <c r="P50" s="4">
        <f t="shared" si="5"/>
        <v>0.17657407407407408</v>
      </c>
      <c r="Q50" s="6">
        <f t="shared" si="0"/>
        <v>2035</v>
      </c>
      <c r="R50" s="6">
        <f t="shared" si="6"/>
        <v>4</v>
      </c>
      <c r="S50">
        <v>304</v>
      </c>
      <c r="T50">
        <v>79</v>
      </c>
      <c r="U50">
        <v>-51</v>
      </c>
      <c r="V50">
        <v>31</v>
      </c>
      <c r="W50">
        <v>-23</v>
      </c>
      <c r="X50">
        <v>126</v>
      </c>
      <c r="Y50" s="2" t="s">
        <v>461</v>
      </c>
      <c r="Z50">
        <v>44.548679999999997</v>
      </c>
      <c r="AA50">
        <v>10.797639999999999</v>
      </c>
      <c r="AB50" t="s">
        <v>78</v>
      </c>
      <c r="AC50" t="s">
        <v>81</v>
      </c>
      <c r="AD50" t="s">
        <v>82</v>
      </c>
      <c r="AE50">
        <v>73261</v>
      </c>
      <c r="AF50">
        <v>0</v>
      </c>
      <c r="AG50">
        <v>0</v>
      </c>
      <c r="AH50">
        <v>0</v>
      </c>
      <c r="AI50">
        <v>36143</v>
      </c>
      <c r="AJ50">
        <v>26183</v>
      </c>
      <c r="AK50">
        <v>10935</v>
      </c>
      <c r="AL50">
        <v>10536</v>
      </c>
      <c r="AM50">
        <v>30689</v>
      </c>
      <c r="AN50">
        <v>79623</v>
      </c>
      <c r="AO50">
        <v>162896</v>
      </c>
      <c r="AP50">
        <v>3</v>
      </c>
      <c r="AQ50">
        <v>0</v>
      </c>
      <c r="AR50">
        <v>3</v>
      </c>
      <c r="AS50">
        <v>10</v>
      </c>
      <c r="AT50">
        <v>0</v>
      </c>
      <c r="AU50">
        <v>33</v>
      </c>
      <c r="AV50">
        <v>5</v>
      </c>
      <c r="AW50">
        <v>2</v>
      </c>
      <c r="AX50">
        <v>2</v>
      </c>
      <c r="AY50">
        <v>0</v>
      </c>
      <c r="AZ50">
        <v>2</v>
      </c>
      <c r="BA50">
        <v>21</v>
      </c>
      <c r="BB50">
        <v>55</v>
      </c>
      <c r="BC50">
        <v>4</v>
      </c>
      <c r="BD50">
        <v>0</v>
      </c>
      <c r="BE50">
        <v>0</v>
      </c>
      <c r="BF50">
        <v>6</v>
      </c>
      <c r="BG50">
        <v>0</v>
      </c>
      <c r="BH50">
        <v>8</v>
      </c>
      <c r="BI50">
        <v>0</v>
      </c>
      <c r="BJ50">
        <v>44.548670000000001</v>
      </c>
      <c r="BK50">
        <v>10.7974999</v>
      </c>
      <c r="BL50">
        <v>1800</v>
      </c>
      <c r="BM50" t="s">
        <v>83</v>
      </c>
      <c r="BN50" t="s">
        <v>84</v>
      </c>
      <c r="BO50" t="s">
        <v>85</v>
      </c>
      <c r="BP50" t="s">
        <v>160</v>
      </c>
      <c r="BQ50" t="s">
        <v>170</v>
      </c>
      <c r="BR50" t="s">
        <v>462</v>
      </c>
      <c r="BS50">
        <v>1139497</v>
      </c>
      <c r="BT50">
        <v>0</v>
      </c>
      <c r="BU50">
        <v>0</v>
      </c>
      <c r="BV50">
        <v>0</v>
      </c>
      <c r="BW50">
        <v>397020</v>
      </c>
      <c r="BX50">
        <v>523705</v>
      </c>
      <c r="BY50">
        <v>218772</v>
      </c>
      <c r="BZ50">
        <v>1</v>
      </c>
      <c r="CA50" t="s">
        <v>463</v>
      </c>
      <c r="CB50" t="s">
        <v>464</v>
      </c>
      <c r="CC50" s="3">
        <v>46092.557106481479</v>
      </c>
      <c r="CD50" t="s">
        <v>91</v>
      </c>
    </row>
    <row r="51" spans="1:82" ht="16" x14ac:dyDescent="0.2">
      <c r="A51" t="s">
        <v>465</v>
      </c>
      <c r="B51" t="s">
        <v>466</v>
      </c>
      <c r="C51" t="s">
        <v>179</v>
      </c>
      <c r="D51" t="s">
        <v>78</v>
      </c>
      <c r="E51" t="s">
        <v>467</v>
      </c>
      <c r="F51">
        <v>6</v>
      </c>
      <c r="G51">
        <v>300</v>
      </c>
      <c r="H51" t="str">
        <f t="shared" si="1"/>
        <v>6x300</v>
      </c>
      <c r="I51">
        <v>416</v>
      </c>
      <c r="J51" s="4">
        <f t="shared" si="2"/>
        <v>3.8518518518518521E-2</v>
      </c>
      <c r="K51">
        <v>628</v>
      </c>
      <c r="L51" s="4">
        <f t="shared" si="3"/>
        <v>5.8148148148148143E-2</v>
      </c>
      <c r="M51">
        <v>952</v>
      </c>
      <c r="N51" s="4">
        <f t="shared" si="4"/>
        <v>8.8148148148148142E-2</v>
      </c>
      <c r="O51">
        <v>1900</v>
      </c>
      <c r="P51" s="4">
        <f t="shared" si="5"/>
        <v>0.17592592592592593</v>
      </c>
      <c r="Q51" s="6">
        <f t="shared" si="0"/>
        <v>2035</v>
      </c>
      <c r="R51" s="6">
        <f t="shared" si="6"/>
        <v>4</v>
      </c>
      <c r="S51">
        <v>304</v>
      </c>
      <c r="T51">
        <v>94</v>
      </c>
      <c r="U51">
        <v>-46</v>
      </c>
      <c r="V51">
        <v>25</v>
      </c>
      <c r="W51">
        <v>-40</v>
      </c>
      <c r="X51">
        <v>129</v>
      </c>
      <c r="Y51" s="2" t="s">
        <v>468</v>
      </c>
      <c r="Z51">
        <v>45.558286191935501</v>
      </c>
      <c r="AA51">
        <v>10.2275211779121</v>
      </c>
      <c r="AB51" t="s">
        <v>78</v>
      </c>
      <c r="AC51" t="s">
        <v>81</v>
      </c>
      <c r="AD51" t="s">
        <v>82</v>
      </c>
      <c r="AE51">
        <v>131017</v>
      </c>
      <c r="AF51">
        <v>0</v>
      </c>
      <c r="AG51">
        <v>0</v>
      </c>
      <c r="AH51">
        <v>10595</v>
      </c>
      <c r="AI51">
        <v>59406</v>
      </c>
      <c r="AJ51">
        <v>53084</v>
      </c>
      <c r="AK51">
        <v>7932</v>
      </c>
      <c r="AL51">
        <v>14985</v>
      </c>
      <c r="AM51">
        <v>48242</v>
      </c>
      <c r="AN51">
        <v>185581</v>
      </c>
      <c r="AO51">
        <v>349290</v>
      </c>
      <c r="AP51">
        <v>5</v>
      </c>
      <c r="AQ51">
        <v>0</v>
      </c>
      <c r="AR51">
        <v>4</v>
      </c>
      <c r="AS51">
        <v>5</v>
      </c>
      <c r="AT51">
        <v>2</v>
      </c>
      <c r="AU51">
        <v>31</v>
      </c>
      <c r="AV51">
        <v>8</v>
      </c>
      <c r="AW51">
        <v>0</v>
      </c>
      <c r="AX51">
        <v>3</v>
      </c>
      <c r="AY51">
        <v>1</v>
      </c>
      <c r="AZ51">
        <v>1</v>
      </c>
      <c r="BA51">
        <v>55</v>
      </c>
      <c r="BB51">
        <v>105</v>
      </c>
      <c r="BC51">
        <v>12</v>
      </c>
      <c r="BD51">
        <v>6</v>
      </c>
      <c r="BE51">
        <v>0</v>
      </c>
      <c r="BF51">
        <v>20</v>
      </c>
      <c r="BG51">
        <v>0</v>
      </c>
      <c r="BH51">
        <v>34</v>
      </c>
      <c r="BI51">
        <v>1</v>
      </c>
      <c r="BJ51">
        <v>45.558267899999997</v>
      </c>
      <c r="BK51">
        <v>10.227610200000001</v>
      </c>
      <c r="BL51">
        <v>1800</v>
      </c>
      <c r="BM51" t="s">
        <v>83</v>
      </c>
      <c r="BN51" t="s">
        <v>84</v>
      </c>
      <c r="BO51" t="s">
        <v>85</v>
      </c>
      <c r="BP51" t="s">
        <v>107</v>
      </c>
      <c r="BQ51" t="s">
        <v>108</v>
      </c>
      <c r="BR51" t="s">
        <v>179</v>
      </c>
      <c r="BS51">
        <v>2412912</v>
      </c>
      <c r="BT51">
        <v>0</v>
      </c>
      <c r="BU51">
        <v>0</v>
      </c>
      <c r="BV51">
        <v>211906</v>
      </c>
      <c r="BW51">
        <v>1198584</v>
      </c>
      <c r="BX51">
        <v>843753</v>
      </c>
      <c r="BY51">
        <v>158669</v>
      </c>
      <c r="BZ51">
        <v>1</v>
      </c>
      <c r="CA51" t="s">
        <v>469</v>
      </c>
      <c r="CB51" t="s">
        <v>470</v>
      </c>
      <c r="CC51" s="3">
        <v>46092.557106481479</v>
      </c>
      <c r="CD51" t="s">
        <v>91</v>
      </c>
    </row>
    <row r="52" spans="1:82" ht="16" x14ac:dyDescent="0.2">
      <c r="A52" t="s">
        <v>471</v>
      </c>
      <c r="B52" t="s">
        <v>472</v>
      </c>
      <c r="C52" t="s">
        <v>473</v>
      </c>
      <c r="D52" t="s">
        <v>78</v>
      </c>
      <c r="E52" t="s">
        <v>474</v>
      </c>
      <c r="F52">
        <v>6</v>
      </c>
      <c r="G52">
        <v>300</v>
      </c>
      <c r="H52" t="str">
        <f t="shared" si="1"/>
        <v>6x300</v>
      </c>
      <c r="I52">
        <v>413</v>
      </c>
      <c r="J52" s="4">
        <f t="shared" si="2"/>
        <v>3.8240740740740742E-2</v>
      </c>
      <c r="K52">
        <v>623</v>
      </c>
      <c r="L52" s="4">
        <f t="shared" si="3"/>
        <v>5.768518518518518E-2</v>
      </c>
      <c r="M52">
        <v>945</v>
      </c>
      <c r="N52" s="4">
        <f t="shared" si="4"/>
        <v>8.7500000000000008E-2</v>
      </c>
      <c r="O52">
        <v>1887</v>
      </c>
      <c r="P52" s="4">
        <f t="shared" si="5"/>
        <v>0.17472222222222222</v>
      </c>
      <c r="Q52" s="6">
        <f t="shared" si="0"/>
        <v>2035</v>
      </c>
      <c r="R52" s="6">
        <f t="shared" si="6"/>
        <v>4</v>
      </c>
      <c r="S52">
        <v>304</v>
      </c>
      <c r="T52">
        <v>12</v>
      </c>
      <c r="U52">
        <v>-37</v>
      </c>
      <c r="V52">
        <v>35</v>
      </c>
      <c r="W52">
        <v>21</v>
      </c>
      <c r="X52">
        <v>124</v>
      </c>
      <c r="Y52" s="2" t="s">
        <v>475</v>
      </c>
      <c r="Z52">
        <v>45.326529999999998</v>
      </c>
      <c r="AA52">
        <v>9.1355400000000007</v>
      </c>
      <c r="AB52" t="s">
        <v>78</v>
      </c>
      <c r="AC52" t="s">
        <v>81</v>
      </c>
      <c r="AD52" t="s">
        <v>82</v>
      </c>
      <c r="AE52">
        <v>58690</v>
      </c>
      <c r="AF52">
        <v>0</v>
      </c>
      <c r="AG52">
        <v>0</v>
      </c>
      <c r="AH52">
        <v>45539</v>
      </c>
      <c r="AI52">
        <v>0</v>
      </c>
      <c r="AJ52">
        <v>13151</v>
      </c>
      <c r="AK52">
        <v>0</v>
      </c>
      <c r="AL52">
        <v>5432</v>
      </c>
      <c r="AM52">
        <v>8434</v>
      </c>
      <c r="AN52">
        <v>43328</v>
      </c>
      <c r="AO52">
        <v>205129</v>
      </c>
      <c r="AP52">
        <v>0</v>
      </c>
      <c r="AQ52">
        <v>0</v>
      </c>
      <c r="AR52">
        <v>4</v>
      </c>
      <c r="AS52">
        <v>4</v>
      </c>
      <c r="AT52">
        <v>4</v>
      </c>
      <c r="AU52">
        <v>7</v>
      </c>
      <c r="AV52">
        <v>9</v>
      </c>
      <c r="AW52">
        <v>1</v>
      </c>
      <c r="AX52">
        <v>2</v>
      </c>
      <c r="AY52">
        <v>0</v>
      </c>
      <c r="AZ52">
        <v>1</v>
      </c>
      <c r="BA52">
        <v>3</v>
      </c>
      <c r="BB52">
        <v>3</v>
      </c>
      <c r="BC52">
        <v>0</v>
      </c>
      <c r="BD52">
        <v>2</v>
      </c>
      <c r="BE52">
        <v>0</v>
      </c>
      <c r="BF52">
        <v>2</v>
      </c>
      <c r="BG52">
        <v>0</v>
      </c>
      <c r="BH52">
        <v>2</v>
      </c>
      <c r="BI52">
        <v>0</v>
      </c>
      <c r="BJ52">
        <v>45.326535499999999</v>
      </c>
      <c r="BK52">
        <v>9.1357391999999997</v>
      </c>
      <c r="BL52">
        <v>1800</v>
      </c>
      <c r="BM52" t="s">
        <v>83</v>
      </c>
      <c r="BN52" t="s">
        <v>84</v>
      </c>
      <c r="BO52" t="s">
        <v>85</v>
      </c>
      <c r="BP52" t="s">
        <v>107</v>
      </c>
      <c r="BQ52" t="s">
        <v>108</v>
      </c>
      <c r="BR52" t="s">
        <v>109</v>
      </c>
      <c r="BS52">
        <v>1173885</v>
      </c>
      <c r="BT52">
        <v>0</v>
      </c>
      <c r="BU52">
        <v>0</v>
      </c>
      <c r="BV52">
        <v>910822</v>
      </c>
      <c r="BW52">
        <v>0</v>
      </c>
      <c r="BX52">
        <v>263063</v>
      </c>
      <c r="BY52">
        <v>0</v>
      </c>
      <c r="BZ52">
        <v>1</v>
      </c>
      <c r="CA52" t="s">
        <v>476</v>
      </c>
      <c r="CB52" t="s">
        <v>477</v>
      </c>
      <c r="CC52" s="3">
        <v>46092.557106481479</v>
      </c>
      <c r="CD52" t="s">
        <v>91</v>
      </c>
    </row>
    <row r="53" spans="1:82" ht="16" x14ac:dyDescent="0.2">
      <c r="A53" t="s">
        <v>478</v>
      </c>
      <c r="B53" t="s">
        <v>479</v>
      </c>
      <c r="C53" t="s">
        <v>480</v>
      </c>
      <c r="D53" t="s">
        <v>78</v>
      </c>
      <c r="E53" t="s">
        <v>481</v>
      </c>
      <c r="F53">
        <v>6</v>
      </c>
      <c r="G53">
        <v>300</v>
      </c>
      <c r="H53" t="str">
        <f t="shared" si="1"/>
        <v>6x300</v>
      </c>
      <c r="I53">
        <v>408</v>
      </c>
      <c r="J53" s="4">
        <f t="shared" si="2"/>
        <v>3.7777777777777778E-2</v>
      </c>
      <c r="K53">
        <v>616</v>
      </c>
      <c r="L53" s="4">
        <f t="shared" si="3"/>
        <v>5.7037037037037032E-2</v>
      </c>
      <c r="M53">
        <v>934</v>
      </c>
      <c r="N53" s="4">
        <f t="shared" si="4"/>
        <v>8.6481481481481479E-2</v>
      </c>
      <c r="O53">
        <v>1863</v>
      </c>
      <c r="P53" s="4">
        <f t="shared" si="5"/>
        <v>0.17249999999999999</v>
      </c>
      <c r="Q53" s="6">
        <f t="shared" si="0"/>
        <v>2035</v>
      </c>
      <c r="R53" s="6">
        <f t="shared" si="6"/>
        <v>4</v>
      </c>
      <c r="S53">
        <v>304</v>
      </c>
      <c r="T53">
        <v>14</v>
      </c>
      <c r="U53">
        <v>5</v>
      </c>
      <c r="V53">
        <v>9</v>
      </c>
      <c r="W53">
        <v>2</v>
      </c>
      <c r="X53">
        <v>121</v>
      </c>
      <c r="Y53" s="2" t="s">
        <v>482</v>
      </c>
      <c r="Z53">
        <v>45.482546900000003</v>
      </c>
      <c r="AA53">
        <v>8.9633058000000005</v>
      </c>
      <c r="AB53" t="s">
        <v>78</v>
      </c>
      <c r="AC53" t="s">
        <v>81</v>
      </c>
      <c r="AD53" t="s">
        <v>82</v>
      </c>
      <c r="AE53">
        <v>60635</v>
      </c>
      <c r="AF53">
        <v>0</v>
      </c>
      <c r="AG53">
        <v>0</v>
      </c>
      <c r="AH53">
        <v>17172</v>
      </c>
      <c r="AI53">
        <v>10053</v>
      </c>
      <c r="AJ53">
        <v>22381</v>
      </c>
      <c r="AK53">
        <v>11029</v>
      </c>
      <c r="AL53">
        <v>8239</v>
      </c>
      <c r="AM53">
        <v>22409</v>
      </c>
      <c r="AN53">
        <v>94841</v>
      </c>
      <c r="AO53">
        <v>386818</v>
      </c>
      <c r="AP53">
        <v>0</v>
      </c>
      <c r="AQ53">
        <v>0</v>
      </c>
      <c r="AR53">
        <v>2</v>
      </c>
      <c r="AS53">
        <v>2</v>
      </c>
      <c r="AT53">
        <v>0</v>
      </c>
      <c r="AU53">
        <v>9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20</v>
      </c>
      <c r="BB53">
        <v>33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</v>
      </c>
      <c r="BI53">
        <v>0</v>
      </c>
      <c r="BJ53">
        <v>45.482489899999997</v>
      </c>
      <c r="BK53">
        <v>8.9632699999999996</v>
      </c>
      <c r="BL53">
        <v>1800</v>
      </c>
      <c r="BM53" t="s">
        <v>83</v>
      </c>
      <c r="BN53" t="s">
        <v>84</v>
      </c>
      <c r="BO53" t="s">
        <v>85</v>
      </c>
      <c r="BP53" t="s">
        <v>107</v>
      </c>
      <c r="BQ53" t="s">
        <v>108</v>
      </c>
      <c r="BR53" t="s">
        <v>109</v>
      </c>
      <c r="BS53">
        <v>1127254</v>
      </c>
      <c r="BT53">
        <v>0</v>
      </c>
      <c r="BU53">
        <v>0</v>
      </c>
      <c r="BV53">
        <v>343459</v>
      </c>
      <c r="BW53">
        <v>201064</v>
      </c>
      <c r="BX53">
        <v>362151</v>
      </c>
      <c r="BY53">
        <v>220580</v>
      </c>
      <c r="BZ53">
        <v>1</v>
      </c>
      <c r="CA53" t="s">
        <v>483</v>
      </c>
      <c r="CB53" t="s">
        <v>484</v>
      </c>
      <c r="CC53" s="3">
        <v>46092.557106481479</v>
      </c>
      <c r="CD53" t="s">
        <v>91</v>
      </c>
    </row>
    <row r="54" spans="1:82" ht="16" x14ac:dyDescent="0.2">
      <c r="A54" t="s">
        <v>485</v>
      </c>
      <c r="B54" t="s">
        <v>486</v>
      </c>
      <c r="C54" t="s">
        <v>487</v>
      </c>
      <c r="D54" t="s">
        <v>78</v>
      </c>
      <c r="E54" t="s">
        <v>488</v>
      </c>
      <c r="F54">
        <v>6</v>
      </c>
      <c r="G54">
        <v>300</v>
      </c>
      <c r="H54" t="str">
        <f t="shared" si="1"/>
        <v>6x300</v>
      </c>
      <c r="I54">
        <v>403</v>
      </c>
      <c r="J54" s="4">
        <f t="shared" si="2"/>
        <v>3.7314814814814815E-2</v>
      </c>
      <c r="K54">
        <v>608</v>
      </c>
      <c r="L54" s="4">
        <f t="shared" si="3"/>
        <v>5.6296296296296296E-2</v>
      </c>
      <c r="M54">
        <v>922</v>
      </c>
      <c r="N54" s="4">
        <f t="shared" si="4"/>
        <v>8.5370370370370374E-2</v>
      </c>
      <c r="O54">
        <v>1840</v>
      </c>
      <c r="P54" s="4">
        <f t="shared" si="5"/>
        <v>0.17037037037037039</v>
      </c>
      <c r="Q54" s="6">
        <f t="shared" si="0"/>
        <v>2035</v>
      </c>
      <c r="R54" s="6">
        <f t="shared" si="6"/>
        <v>4</v>
      </c>
      <c r="S54">
        <v>304</v>
      </c>
      <c r="T54">
        <v>38</v>
      </c>
      <c r="U54">
        <v>0</v>
      </c>
      <c r="V54">
        <v>7</v>
      </c>
      <c r="W54">
        <v>-14</v>
      </c>
      <c r="X54">
        <v>110</v>
      </c>
      <c r="Y54" s="2" t="s">
        <v>489</v>
      </c>
      <c r="Z54">
        <v>45.633763480705198</v>
      </c>
      <c r="AA54">
        <v>8.8334207826973206</v>
      </c>
      <c r="AB54" t="s">
        <v>78</v>
      </c>
      <c r="AC54" t="s">
        <v>81</v>
      </c>
      <c r="AD54" t="s">
        <v>82</v>
      </c>
      <c r="AE54">
        <v>122532</v>
      </c>
      <c r="AF54">
        <v>0</v>
      </c>
      <c r="AG54">
        <v>0</v>
      </c>
      <c r="AH54">
        <v>54210</v>
      </c>
      <c r="AI54">
        <v>11128</v>
      </c>
      <c r="AJ54">
        <v>44571</v>
      </c>
      <c r="AK54">
        <v>12623</v>
      </c>
      <c r="AL54">
        <v>7819</v>
      </c>
      <c r="AM54">
        <v>22609</v>
      </c>
      <c r="AN54">
        <v>176153</v>
      </c>
      <c r="AO54">
        <v>469344</v>
      </c>
      <c r="AP54">
        <v>2</v>
      </c>
      <c r="AQ54">
        <v>0</v>
      </c>
      <c r="AR54">
        <v>4</v>
      </c>
      <c r="AS54">
        <v>13</v>
      </c>
      <c r="AT54">
        <v>1</v>
      </c>
      <c r="AU54">
        <v>18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14</v>
      </c>
      <c r="BB54">
        <v>30</v>
      </c>
      <c r="BC54">
        <v>14</v>
      </c>
      <c r="BD54">
        <v>2</v>
      </c>
      <c r="BE54">
        <v>0</v>
      </c>
      <c r="BF54">
        <v>2</v>
      </c>
      <c r="BG54">
        <v>0</v>
      </c>
      <c r="BH54">
        <v>12</v>
      </c>
      <c r="BI54">
        <v>0</v>
      </c>
      <c r="BJ54">
        <v>45.633851999999997</v>
      </c>
      <c r="BK54">
        <v>8.8332733999999995</v>
      </c>
      <c r="BL54">
        <v>1800</v>
      </c>
      <c r="BM54" t="s">
        <v>83</v>
      </c>
      <c r="BN54" t="s">
        <v>84</v>
      </c>
      <c r="BO54" t="s">
        <v>85</v>
      </c>
      <c r="BP54" t="s">
        <v>107</v>
      </c>
      <c r="BQ54" t="s">
        <v>108</v>
      </c>
      <c r="BR54" t="s">
        <v>305</v>
      </c>
      <c r="BS54">
        <v>2079723</v>
      </c>
      <c r="BT54">
        <v>0</v>
      </c>
      <c r="BU54">
        <v>0</v>
      </c>
      <c r="BV54">
        <v>881330</v>
      </c>
      <c r="BW54">
        <v>222565</v>
      </c>
      <c r="BX54">
        <v>723343</v>
      </c>
      <c r="BY54">
        <v>252485</v>
      </c>
      <c r="BZ54">
        <v>1</v>
      </c>
      <c r="CA54" t="s">
        <v>490</v>
      </c>
      <c r="CB54" t="s">
        <v>491</v>
      </c>
      <c r="CC54" s="3">
        <v>46092.557106481479</v>
      </c>
      <c r="CD54" t="s">
        <v>91</v>
      </c>
    </row>
    <row r="55" spans="1:82" ht="16" x14ac:dyDescent="0.2">
      <c r="A55" t="s">
        <v>492</v>
      </c>
      <c r="B55" t="s">
        <v>493</v>
      </c>
      <c r="C55" t="s">
        <v>494</v>
      </c>
      <c r="D55" t="s">
        <v>78</v>
      </c>
      <c r="E55" t="s">
        <v>495</v>
      </c>
      <c r="F55">
        <v>6</v>
      </c>
      <c r="G55">
        <v>300</v>
      </c>
      <c r="H55" t="str">
        <f t="shared" si="1"/>
        <v>6x300</v>
      </c>
      <c r="I55">
        <v>399</v>
      </c>
      <c r="J55" s="4">
        <f t="shared" si="2"/>
        <v>3.6944444444444446E-2</v>
      </c>
      <c r="K55">
        <v>603</v>
      </c>
      <c r="L55" s="4">
        <f t="shared" si="3"/>
        <v>5.5833333333333325E-2</v>
      </c>
      <c r="M55">
        <v>914</v>
      </c>
      <c r="N55" s="4">
        <f t="shared" si="4"/>
        <v>8.4629629629629624E-2</v>
      </c>
      <c r="O55">
        <v>1825</v>
      </c>
      <c r="P55" s="4">
        <f t="shared" si="5"/>
        <v>0.16898148148148148</v>
      </c>
      <c r="Q55" s="6">
        <f t="shared" si="0"/>
        <v>2035</v>
      </c>
      <c r="R55" s="6">
        <f t="shared" si="6"/>
        <v>4</v>
      </c>
      <c r="S55">
        <v>304</v>
      </c>
      <c r="T55">
        <v>72</v>
      </c>
      <c r="U55">
        <v>-47</v>
      </c>
      <c r="V55">
        <v>30</v>
      </c>
      <c r="W55">
        <v>-30</v>
      </c>
      <c r="X55">
        <v>112</v>
      </c>
      <c r="Y55" s="2" t="s">
        <v>496</v>
      </c>
      <c r="Z55">
        <v>45.149234633140402</v>
      </c>
      <c r="AA55">
        <v>9.9948157797580706</v>
      </c>
      <c r="AB55" t="s">
        <v>78</v>
      </c>
      <c r="AC55" t="s">
        <v>81</v>
      </c>
      <c r="AD55" t="s">
        <v>82</v>
      </c>
      <c r="AE55">
        <v>58738</v>
      </c>
      <c r="AF55">
        <v>0</v>
      </c>
      <c r="AG55">
        <v>0</v>
      </c>
      <c r="AH55">
        <v>26191</v>
      </c>
      <c r="AI55">
        <v>29765</v>
      </c>
      <c r="AJ55">
        <v>2335</v>
      </c>
      <c r="AK55">
        <v>447</v>
      </c>
      <c r="AL55">
        <v>3613</v>
      </c>
      <c r="AM55">
        <v>15098</v>
      </c>
      <c r="AN55">
        <v>73867</v>
      </c>
      <c r="AO55">
        <v>104579</v>
      </c>
      <c r="AP55">
        <v>0</v>
      </c>
      <c r="AQ55">
        <v>0</v>
      </c>
      <c r="AR55">
        <v>5</v>
      </c>
      <c r="AS55">
        <v>29</v>
      </c>
      <c r="AT55">
        <v>3</v>
      </c>
      <c r="AU55">
        <v>16</v>
      </c>
      <c r="AV55">
        <v>1</v>
      </c>
      <c r="AW55">
        <v>2</v>
      </c>
      <c r="AX55">
        <v>0</v>
      </c>
      <c r="AY55">
        <v>0</v>
      </c>
      <c r="AZ55">
        <v>0</v>
      </c>
      <c r="BA55">
        <v>22</v>
      </c>
      <c r="BB55">
        <v>43</v>
      </c>
      <c r="BC55">
        <v>17</v>
      </c>
      <c r="BD55">
        <v>4</v>
      </c>
      <c r="BE55">
        <v>0</v>
      </c>
      <c r="BF55">
        <v>10</v>
      </c>
      <c r="BG55">
        <v>0</v>
      </c>
      <c r="BH55">
        <v>14</v>
      </c>
      <c r="BI55">
        <v>0</v>
      </c>
      <c r="BJ55">
        <v>45.1492</v>
      </c>
      <c r="BK55">
        <v>9.9948399000000006</v>
      </c>
      <c r="BL55">
        <v>1800</v>
      </c>
      <c r="BM55" t="s">
        <v>83</v>
      </c>
      <c r="BN55" t="s">
        <v>84</v>
      </c>
      <c r="BO55" t="s">
        <v>85</v>
      </c>
      <c r="BP55" t="s">
        <v>107</v>
      </c>
      <c r="BQ55" t="s">
        <v>108</v>
      </c>
      <c r="BR55" t="s">
        <v>435</v>
      </c>
      <c r="BS55">
        <v>1169738</v>
      </c>
      <c r="BT55">
        <v>0</v>
      </c>
      <c r="BU55">
        <v>0</v>
      </c>
      <c r="BV55">
        <v>523837</v>
      </c>
      <c r="BW55">
        <v>590215</v>
      </c>
      <c r="BX55">
        <v>46712</v>
      </c>
      <c r="BY55">
        <v>8974</v>
      </c>
      <c r="BZ55">
        <v>1</v>
      </c>
      <c r="CA55" t="s">
        <v>497</v>
      </c>
      <c r="CB55" t="s">
        <v>498</v>
      </c>
      <c r="CC55" s="3">
        <v>46092.557106481479</v>
      </c>
      <c r="CD55" t="s">
        <v>91</v>
      </c>
    </row>
    <row r="56" spans="1:82" ht="16" x14ac:dyDescent="0.2">
      <c r="A56" t="s">
        <v>499</v>
      </c>
      <c r="B56" t="s">
        <v>500</v>
      </c>
      <c r="C56" t="s">
        <v>501</v>
      </c>
      <c r="D56" t="s">
        <v>78</v>
      </c>
      <c r="E56" t="s">
        <v>502</v>
      </c>
      <c r="F56">
        <v>6</v>
      </c>
      <c r="G56">
        <v>300</v>
      </c>
      <c r="H56" t="str">
        <f t="shared" si="1"/>
        <v>6x300</v>
      </c>
      <c r="I56">
        <v>397</v>
      </c>
      <c r="J56" s="4">
        <f t="shared" si="2"/>
        <v>3.6759259259259255E-2</v>
      </c>
      <c r="K56">
        <v>599</v>
      </c>
      <c r="L56" s="4">
        <f t="shared" si="3"/>
        <v>5.5462962962962964E-2</v>
      </c>
      <c r="M56">
        <v>909</v>
      </c>
      <c r="N56" s="4">
        <f t="shared" si="4"/>
        <v>8.4166666666666667E-2</v>
      </c>
      <c r="O56">
        <v>1814</v>
      </c>
      <c r="P56" s="4">
        <f t="shared" si="5"/>
        <v>0.16796296296296298</v>
      </c>
      <c r="Q56" s="6">
        <f t="shared" si="0"/>
        <v>2035</v>
      </c>
      <c r="R56" s="6">
        <f t="shared" si="6"/>
        <v>4</v>
      </c>
      <c r="S56">
        <v>304</v>
      </c>
      <c r="T56">
        <v>4</v>
      </c>
      <c r="U56">
        <v>-40</v>
      </c>
      <c r="V56">
        <v>56</v>
      </c>
      <c r="W56">
        <v>-7</v>
      </c>
      <c r="X56">
        <v>134</v>
      </c>
      <c r="Y56" s="2" t="s">
        <v>503</v>
      </c>
      <c r="Z56">
        <v>45.161174593903397</v>
      </c>
      <c r="AA56">
        <v>9.1316349018458904</v>
      </c>
      <c r="AB56" t="s">
        <v>78</v>
      </c>
      <c r="AC56" t="s">
        <v>81</v>
      </c>
      <c r="AD56" t="s">
        <v>82</v>
      </c>
      <c r="AE56">
        <v>50624</v>
      </c>
      <c r="AF56">
        <v>17953</v>
      </c>
      <c r="AG56">
        <v>0</v>
      </c>
      <c r="AH56">
        <v>16223</v>
      </c>
      <c r="AI56">
        <v>6121</v>
      </c>
      <c r="AJ56">
        <v>10327</v>
      </c>
      <c r="AK56">
        <v>0</v>
      </c>
      <c r="AL56">
        <v>3621</v>
      </c>
      <c r="AM56">
        <v>8949</v>
      </c>
      <c r="AN56">
        <v>68261</v>
      </c>
      <c r="AO56">
        <v>118625</v>
      </c>
      <c r="AP56">
        <v>0</v>
      </c>
      <c r="AQ56">
        <v>0</v>
      </c>
      <c r="AR56">
        <v>6</v>
      </c>
      <c r="AS56">
        <v>7</v>
      </c>
      <c r="AT56">
        <v>2</v>
      </c>
      <c r="AU56">
        <v>34</v>
      </c>
      <c r="AV56">
        <v>2</v>
      </c>
      <c r="AW56">
        <v>0</v>
      </c>
      <c r="AX56">
        <v>3</v>
      </c>
      <c r="AY56">
        <v>0</v>
      </c>
      <c r="AZ56">
        <v>1</v>
      </c>
      <c r="BA56">
        <v>14</v>
      </c>
      <c r="BB56">
        <v>24</v>
      </c>
      <c r="BC56">
        <v>9</v>
      </c>
      <c r="BD56">
        <v>2</v>
      </c>
      <c r="BE56">
        <v>0</v>
      </c>
      <c r="BF56">
        <v>4</v>
      </c>
      <c r="BG56">
        <v>0</v>
      </c>
      <c r="BH56">
        <v>6</v>
      </c>
      <c r="BI56">
        <v>0</v>
      </c>
      <c r="BJ56">
        <v>45.160783199999997</v>
      </c>
      <c r="BK56">
        <v>9.1322530999999998</v>
      </c>
      <c r="BL56">
        <v>1800</v>
      </c>
      <c r="BM56" t="s">
        <v>83</v>
      </c>
      <c r="BN56" t="s">
        <v>84</v>
      </c>
      <c r="BO56" t="s">
        <v>85</v>
      </c>
      <c r="BP56" t="s">
        <v>107</v>
      </c>
      <c r="BQ56" t="s">
        <v>108</v>
      </c>
      <c r="BR56" t="s">
        <v>501</v>
      </c>
      <c r="BS56">
        <v>1012573</v>
      </c>
      <c r="BT56">
        <v>359065</v>
      </c>
      <c r="BU56">
        <v>0</v>
      </c>
      <c r="BV56">
        <v>324488</v>
      </c>
      <c r="BW56">
        <v>122439</v>
      </c>
      <c r="BX56">
        <v>206581</v>
      </c>
      <c r="BY56">
        <v>0</v>
      </c>
      <c r="BZ56">
        <v>1</v>
      </c>
      <c r="CA56" t="s">
        <v>504</v>
      </c>
      <c r="CB56" t="s">
        <v>505</v>
      </c>
      <c r="CC56" s="3">
        <v>46092.557106481479</v>
      </c>
      <c r="CD56" t="s">
        <v>91</v>
      </c>
    </row>
    <row r="57" spans="1:82" ht="16" x14ac:dyDescent="0.2">
      <c r="A57" t="s">
        <v>507</v>
      </c>
      <c r="B57" t="s">
        <v>508</v>
      </c>
      <c r="C57" t="s">
        <v>509</v>
      </c>
      <c r="D57" t="s">
        <v>78</v>
      </c>
      <c r="E57" t="s">
        <v>510</v>
      </c>
      <c r="F57">
        <v>6</v>
      </c>
      <c r="G57">
        <v>300</v>
      </c>
      <c r="H57" t="str">
        <f t="shared" si="1"/>
        <v>6x300</v>
      </c>
      <c r="I57">
        <v>394</v>
      </c>
      <c r="J57" s="4">
        <f t="shared" si="2"/>
        <v>3.6481481481481483E-2</v>
      </c>
      <c r="K57">
        <v>595</v>
      </c>
      <c r="L57" s="4">
        <f t="shared" si="3"/>
        <v>5.5092592592592589E-2</v>
      </c>
      <c r="M57">
        <v>903</v>
      </c>
      <c r="N57" s="4">
        <f t="shared" si="4"/>
        <v>8.3611111111111094E-2</v>
      </c>
      <c r="O57">
        <v>1802</v>
      </c>
      <c r="P57" s="4">
        <f t="shared" si="5"/>
        <v>0.16685185185185183</v>
      </c>
      <c r="Q57" s="6">
        <f t="shared" si="0"/>
        <v>2035</v>
      </c>
      <c r="R57" s="6">
        <f t="shared" si="6"/>
        <v>4</v>
      </c>
      <c r="S57">
        <v>304</v>
      </c>
      <c r="T57">
        <v>113</v>
      </c>
      <c r="U57">
        <v>-47</v>
      </c>
      <c r="V57">
        <v>-32</v>
      </c>
      <c r="W57">
        <v>-23</v>
      </c>
      <c r="X57">
        <v>132</v>
      </c>
      <c r="Y57" s="2" t="s">
        <v>511</v>
      </c>
      <c r="Z57">
        <v>44.653759999999998</v>
      </c>
      <c r="AA57">
        <v>10.909890000000001</v>
      </c>
      <c r="AB57" t="s">
        <v>78</v>
      </c>
      <c r="AC57" t="s">
        <v>81</v>
      </c>
      <c r="AD57" t="s">
        <v>82</v>
      </c>
      <c r="AE57">
        <v>100189</v>
      </c>
      <c r="AF57">
        <v>0</v>
      </c>
      <c r="AG57">
        <v>0</v>
      </c>
      <c r="AH57">
        <v>0</v>
      </c>
      <c r="AI57">
        <v>21684</v>
      </c>
      <c r="AJ57">
        <v>64945</v>
      </c>
      <c r="AK57">
        <v>13560</v>
      </c>
      <c r="AL57">
        <v>13026</v>
      </c>
      <c r="AM57">
        <v>55648</v>
      </c>
      <c r="AN57">
        <v>162561</v>
      </c>
      <c r="AO57">
        <v>232464</v>
      </c>
      <c r="AP57">
        <v>0</v>
      </c>
      <c r="AQ57">
        <v>1</v>
      </c>
      <c r="AR57">
        <v>4</v>
      </c>
      <c r="AS57">
        <v>10</v>
      </c>
      <c r="AT57">
        <v>5</v>
      </c>
      <c r="AU57">
        <v>30</v>
      </c>
      <c r="AV57">
        <v>1</v>
      </c>
      <c r="AW57">
        <v>0</v>
      </c>
      <c r="AX57">
        <v>1</v>
      </c>
      <c r="AY57">
        <v>0</v>
      </c>
      <c r="AZ57">
        <v>4</v>
      </c>
      <c r="BA57">
        <v>10</v>
      </c>
      <c r="BB57">
        <v>63</v>
      </c>
      <c r="BC57">
        <v>2</v>
      </c>
      <c r="BD57">
        <v>1</v>
      </c>
      <c r="BE57">
        <v>0</v>
      </c>
      <c r="BF57">
        <v>3</v>
      </c>
      <c r="BG57">
        <v>0</v>
      </c>
      <c r="BH57">
        <v>15</v>
      </c>
      <c r="BI57">
        <v>0</v>
      </c>
      <c r="BJ57">
        <v>44.653704300000001</v>
      </c>
      <c r="BK57">
        <v>10.910024399999999</v>
      </c>
      <c r="BL57">
        <v>1800</v>
      </c>
      <c r="BM57" t="s">
        <v>83</v>
      </c>
      <c r="BN57" t="s">
        <v>84</v>
      </c>
      <c r="BO57" t="s">
        <v>85</v>
      </c>
      <c r="BP57" t="s">
        <v>160</v>
      </c>
      <c r="BQ57" t="s">
        <v>170</v>
      </c>
      <c r="BR57" t="s">
        <v>462</v>
      </c>
      <c r="BS57">
        <v>1839620</v>
      </c>
      <c r="BT57">
        <v>0</v>
      </c>
      <c r="BU57">
        <v>0</v>
      </c>
      <c r="BV57">
        <v>0</v>
      </c>
      <c r="BW57">
        <v>433699</v>
      </c>
      <c r="BX57">
        <v>1134683</v>
      </c>
      <c r="BY57">
        <v>271238</v>
      </c>
      <c r="BZ57">
        <v>1</v>
      </c>
      <c r="CA57" t="s">
        <v>512</v>
      </c>
      <c r="CB57" t="s">
        <v>513</v>
      </c>
      <c r="CC57" s="3">
        <v>46092.557106481479</v>
      </c>
      <c r="CD57" t="s">
        <v>91</v>
      </c>
    </row>
    <row r="58" spans="1:82" ht="16" x14ac:dyDescent="0.2">
      <c r="A58" t="s">
        <v>514</v>
      </c>
      <c r="B58" t="s">
        <v>515</v>
      </c>
      <c r="C58" t="s">
        <v>516</v>
      </c>
      <c r="D58" t="s">
        <v>78</v>
      </c>
      <c r="E58" t="s">
        <v>517</v>
      </c>
      <c r="F58">
        <v>6</v>
      </c>
      <c r="G58">
        <v>300</v>
      </c>
      <c r="H58" t="str">
        <f t="shared" si="1"/>
        <v>6x300</v>
      </c>
      <c r="I58">
        <v>387</v>
      </c>
      <c r="J58" s="4">
        <f t="shared" si="2"/>
        <v>3.5833333333333335E-2</v>
      </c>
      <c r="K58">
        <v>585</v>
      </c>
      <c r="L58" s="4">
        <f t="shared" si="3"/>
        <v>5.4166666666666669E-2</v>
      </c>
      <c r="M58">
        <v>887</v>
      </c>
      <c r="N58" s="4">
        <f t="shared" si="4"/>
        <v>8.2129629629629622E-2</v>
      </c>
      <c r="O58">
        <v>1770</v>
      </c>
      <c r="P58" s="4">
        <f t="shared" si="5"/>
        <v>0.16388888888888889</v>
      </c>
      <c r="Q58" s="6">
        <f t="shared" si="0"/>
        <v>2035</v>
      </c>
      <c r="R58" s="6">
        <f t="shared" si="6"/>
        <v>4</v>
      </c>
      <c r="S58">
        <v>304</v>
      </c>
      <c r="T58">
        <v>42</v>
      </c>
      <c r="U58">
        <v>-36</v>
      </c>
      <c r="V58">
        <v>4</v>
      </c>
      <c r="W58">
        <v>1</v>
      </c>
      <c r="X58">
        <v>117</v>
      </c>
      <c r="Y58" s="2" t="s">
        <v>518</v>
      </c>
      <c r="Z58">
        <v>45.64284</v>
      </c>
      <c r="AA58">
        <v>11.77336</v>
      </c>
      <c r="AB58" t="s">
        <v>78</v>
      </c>
      <c r="AC58" t="s">
        <v>81</v>
      </c>
      <c r="AD58" t="s">
        <v>82</v>
      </c>
      <c r="AE58">
        <v>67358</v>
      </c>
      <c r="AF58">
        <v>0</v>
      </c>
      <c r="AG58">
        <v>20549</v>
      </c>
      <c r="AH58">
        <v>26964</v>
      </c>
      <c r="AI58">
        <v>0</v>
      </c>
      <c r="AJ58">
        <v>19845</v>
      </c>
      <c r="AK58">
        <v>0</v>
      </c>
      <c r="AL58">
        <v>3841</v>
      </c>
      <c r="AM58">
        <v>11982</v>
      </c>
      <c r="AN58">
        <v>44200</v>
      </c>
      <c r="AO58">
        <v>139715</v>
      </c>
      <c r="AP58">
        <v>0</v>
      </c>
      <c r="AQ58">
        <v>1</v>
      </c>
      <c r="AR58">
        <v>4</v>
      </c>
      <c r="AS58">
        <v>6</v>
      </c>
      <c r="AT58">
        <v>1</v>
      </c>
      <c r="AU58">
        <v>10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</v>
      </c>
      <c r="BB58">
        <v>16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45.642820700000001</v>
      </c>
      <c r="BK58">
        <v>11.773377200000001</v>
      </c>
      <c r="BL58">
        <v>1800</v>
      </c>
      <c r="BM58" t="s">
        <v>83</v>
      </c>
      <c r="BN58" t="s">
        <v>84</v>
      </c>
      <c r="BO58" t="s">
        <v>85</v>
      </c>
      <c r="BP58" t="s">
        <v>160</v>
      </c>
      <c r="BQ58" t="s">
        <v>161</v>
      </c>
      <c r="BR58" t="s">
        <v>519</v>
      </c>
      <c r="BS58">
        <v>1347317</v>
      </c>
      <c r="BT58">
        <v>0</v>
      </c>
      <c r="BU58">
        <v>410998</v>
      </c>
      <c r="BV58">
        <v>539321</v>
      </c>
      <c r="BW58">
        <v>0</v>
      </c>
      <c r="BX58">
        <v>396998</v>
      </c>
      <c r="BY58">
        <v>0</v>
      </c>
      <c r="BZ58">
        <v>1</v>
      </c>
      <c r="CA58" t="s">
        <v>520</v>
      </c>
      <c r="CB58" t="s">
        <v>521</v>
      </c>
      <c r="CC58" s="3">
        <v>46092.557106481479</v>
      </c>
      <c r="CD58" t="s">
        <v>91</v>
      </c>
    </row>
    <row r="59" spans="1:82" ht="16" x14ac:dyDescent="0.2">
      <c r="A59" t="s">
        <v>522</v>
      </c>
      <c r="B59" t="s">
        <v>523</v>
      </c>
      <c r="C59" t="s">
        <v>524</v>
      </c>
      <c r="D59" t="s">
        <v>78</v>
      </c>
      <c r="E59" t="s">
        <v>525</v>
      </c>
      <c r="F59">
        <v>6</v>
      </c>
      <c r="G59">
        <v>300</v>
      </c>
      <c r="H59" t="str">
        <f t="shared" si="1"/>
        <v>6x300</v>
      </c>
      <c r="I59">
        <v>385</v>
      </c>
      <c r="J59" s="4">
        <f t="shared" si="2"/>
        <v>3.5648148148148151E-2</v>
      </c>
      <c r="K59">
        <v>581</v>
      </c>
      <c r="L59" s="4">
        <f t="shared" si="3"/>
        <v>5.3796296296296293E-2</v>
      </c>
      <c r="M59">
        <v>881</v>
      </c>
      <c r="N59" s="4">
        <f t="shared" si="4"/>
        <v>8.1574074074074063E-2</v>
      </c>
      <c r="O59">
        <v>1758</v>
      </c>
      <c r="P59" s="4">
        <f t="shared" si="5"/>
        <v>0.16277777777777777</v>
      </c>
      <c r="Q59" s="6">
        <f t="shared" si="0"/>
        <v>2035</v>
      </c>
      <c r="R59" s="6">
        <f t="shared" si="6"/>
        <v>4</v>
      </c>
      <c r="S59">
        <v>304</v>
      </c>
      <c r="T59">
        <v>76</v>
      </c>
      <c r="U59">
        <v>-39</v>
      </c>
      <c r="V59">
        <v>-19</v>
      </c>
      <c r="W59">
        <v>-7</v>
      </c>
      <c r="X59">
        <v>120</v>
      </c>
      <c r="Y59" s="2" t="s">
        <v>526</v>
      </c>
      <c r="Z59">
        <v>45.689129007680002</v>
      </c>
      <c r="AA59">
        <v>11.4842185865053</v>
      </c>
      <c r="AB59" t="s">
        <v>78</v>
      </c>
      <c r="AC59" t="s">
        <v>81</v>
      </c>
      <c r="AD59" t="s">
        <v>82</v>
      </c>
      <c r="AE59">
        <v>39893</v>
      </c>
      <c r="AF59">
        <v>0</v>
      </c>
      <c r="AG59">
        <v>0</v>
      </c>
      <c r="AH59">
        <v>0</v>
      </c>
      <c r="AI59">
        <v>32595</v>
      </c>
      <c r="AJ59">
        <v>7298</v>
      </c>
      <c r="AK59">
        <v>0</v>
      </c>
      <c r="AL59">
        <v>2790</v>
      </c>
      <c r="AM59">
        <v>12185</v>
      </c>
      <c r="AN59">
        <v>54584</v>
      </c>
      <c r="AO59">
        <v>172006</v>
      </c>
      <c r="AP59">
        <v>3</v>
      </c>
      <c r="AQ59">
        <v>0</v>
      </c>
      <c r="AR59">
        <v>6</v>
      </c>
      <c r="AS59">
        <v>16</v>
      </c>
      <c r="AT59">
        <v>1</v>
      </c>
      <c r="AU59">
        <v>29</v>
      </c>
      <c r="AV59">
        <v>2</v>
      </c>
      <c r="AW59">
        <v>1</v>
      </c>
      <c r="AX59">
        <v>0</v>
      </c>
      <c r="AY59">
        <v>0</v>
      </c>
      <c r="AZ59">
        <v>0</v>
      </c>
      <c r="BA59">
        <v>8</v>
      </c>
      <c r="BB59">
        <v>16</v>
      </c>
      <c r="BC59">
        <v>2</v>
      </c>
      <c r="BD59">
        <v>0</v>
      </c>
      <c r="BE59">
        <v>0</v>
      </c>
      <c r="BF59">
        <v>4</v>
      </c>
      <c r="BG59">
        <v>0</v>
      </c>
      <c r="BH59">
        <v>4</v>
      </c>
      <c r="BI59">
        <v>0</v>
      </c>
      <c r="BJ59">
        <v>45.689099599999999</v>
      </c>
      <c r="BK59">
        <v>11.4842213</v>
      </c>
      <c r="BL59">
        <v>1800</v>
      </c>
      <c r="BM59" t="s">
        <v>83</v>
      </c>
      <c r="BN59" t="s">
        <v>84</v>
      </c>
      <c r="BO59" t="s">
        <v>85</v>
      </c>
      <c r="BP59" t="s">
        <v>160</v>
      </c>
      <c r="BQ59" t="s">
        <v>161</v>
      </c>
      <c r="BR59" t="s">
        <v>527</v>
      </c>
      <c r="BS59">
        <v>797949</v>
      </c>
      <c r="BT59">
        <v>0</v>
      </c>
      <c r="BU59">
        <v>0</v>
      </c>
      <c r="BV59">
        <v>0</v>
      </c>
      <c r="BW59">
        <v>651960</v>
      </c>
      <c r="BX59">
        <v>145989</v>
      </c>
      <c r="BY59">
        <v>0</v>
      </c>
      <c r="BZ59">
        <v>1</v>
      </c>
      <c r="CA59" t="s">
        <v>528</v>
      </c>
      <c r="CB59" t="s">
        <v>529</v>
      </c>
      <c r="CC59" s="3">
        <v>46092.557106481479</v>
      </c>
      <c r="CD59" t="s">
        <v>91</v>
      </c>
    </row>
    <row r="60" spans="1:82" ht="16" x14ac:dyDescent="0.2">
      <c r="A60" t="s">
        <v>530</v>
      </c>
      <c r="B60" t="s">
        <v>531</v>
      </c>
      <c r="C60" t="s">
        <v>532</v>
      </c>
      <c r="D60" t="s">
        <v>78</v>
      </c>
      <c r="E60" t="s">
        <v>533</v>
      </c>
      <c r="F60">
        <v>6</v>
      </c>
      <c r="G60">
        <v>300</v>
      </c>
      <c r="H60" t="str">
        <f t="shared" si="1"/>
        <v>6x300</v>
      </c>
      <c r="I60">
        <v>383</v>
      </c>
      <c r="J60" s="4">
        <f t="shared" si="2"/>
        <v>3.546296296296296E-2</v>
      </c>
      <c r="K60">
        <v>579</v>
      </c>
      <c r="L60" s="4">
        <f t="shared" si="3"/>
        <v>5.3611111111111109E-2</v>
      </c>
      <c r="M60">
        <v>878</v>
      </c>
      <c r="N60" s="4">
        <f t="shared" si="4"/>
        <v>8.1296296296296297E-2</v>
      </c>
      <c r="O60">
        <v>1752</v>
      </c>
      <c r="P60" s="4">
        <f t="shared" si="5"/>
        <v>0.16222222222222221</v>
      </c>
      <c r="Q60" s="6">
        <f t="shared" si="0"/>
        <v>2035</v>
      </c>
      <c r="R60" s="6">
        <f t="shared" si="6"/>
        <v>4</v>
      </c>
      <c r="S60">
        <v>304</v>
      </c>
      <c r="T60">
        <v>21</v>
      </c>
      <c r="U60">
        <v>-2</v>
      </c>
      <c r="V60">
        <v>8</v>
      </c>
      <c r="W60">
        <v>-16</v>
      </c>
      <c r="X60">
        <v>110</v>
      </c>
      <c r="Y60" s="2" t="s">
        <v>534</v>
      </c>
      <c r="Z60">
        <v>45.590515099999998</v>
      </c>
      <c r="AA60">
        <v>9.0504111999999992</v>
      </c>
      <c r="AB60" t="s">
        <v>78</v>
      </c>
      <c r="AC60" t="s">
        <v>81</v>
      </c>
      <c r="AD60" t="s">
        <v>82</v>
      </c>
      <c r="AE60">
        <v>44775</v>
      </c>
      <c r="AF60">
        <v>0</v>
      </c>
      <c r="AG60">
        <v>0</v>
      </c>
      <c r="AH60">
        <v>16158</v>
      </c>
      <c r="AI60">
        <v>0</v>
      </c>
      <c r="AJ60">
        <v>21245</v>
      </c>
      <c r="AK60">
        <v>7372</v>
      </c>
      <c r="AL60">
        <v>9548</v>
      </c>
      <c r="AM60">
        <v>31791</v>
      </c>
      <c r="AN60">
        <v>157161</v>
      </c>
      <c r="AO60">
        <v>675690</v>
      </c>
      <c r="AP60">
        <v>0</v>
      </c>
      <c r="AQ60">
        <v>1</v>
      </c>
      <c r="AR60">
        <v>4</v>
      </c>
      <c r="AS60">
        <v>11</v>
      </c>
      <c r="AT60">
        <v>0</v>
      </c>
      <c r="AU60">
        <v>19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7</v>
      </c>
      <c r="BB60">
        <v>18</v>
      </c>
      <c r="BC60">
        <v>4</v>
      </c>
      <c r="BD60">
        <v>2</v>
      </c>
      <c r="BE60">
        <v>0</v>
      </c>
      <c r="BF60">
        <v>4</v>
      </c>
      <c r="BG60">
        <v>0</v>
      </c>
      <c r="BH60">
        <v>10</v>
      </c>
      <c r="BI60">
        <v>0</v>
      </c>
      <c r="BJ60">
        <v>45.590637800000003</v>
      </c>
      <c r="BK60">
        <v>9.0503678999999995</v>
      </c>
      <c r="BL60">
        <v>1800</v>
      </c>
      <c r="BM60" t="s">
        <v>83</v>
      </c>
      <c r="BN60" t="s">
        <v>84</v>
      </c>
      <c r="BO60" t="s">
        <v>85</v>
      </c>
      <c r="BP60" t="s">
        <v>107</v>
      </c>
      <c r="BQ60" t="s">
        <v>108</v>
      </c>
      <c r="BR60" t="s">
        <v>305</v>
      </c>
      <c r="BS60">
        <v>895644</v>
      </c>
      <c r="BT60">
        <v>0</v>
      </c>
      <c r="BU60">
        <v>0</v>
      </c>
      <c r="BV60">
        <v>323192</v>
      </c>
      <c r="BW60">
        <v>0</v>
      </c>
      <c r="BX60">
        <v>424962</v>
      </c>
      <c r="BY60">
        <v>147490</v>
      </c>
      <c r="BZ60">
        <v>1</v>
      </c>
      <c r="CA60" t="s">
        <v>535</v>
      </c>
      <c r="CB60" t="s">
        <v>536</v>
      </c>
      <c r="CC60" s="3">
        <v>46092.557106481479</v>
      </c>
      <c r="CD60" t="s">
        <v>91</v>
      </c>
    </row>
    <row r="61" spans="1:82" ht="16" x14ac:dyDescent="0.2">
      <c r="A61" t="s">
        <v>537</v>
      </c>
      <c r="B61" t="s">
        <v>538</v>
      </c>
      <c r="C61" t="s">
        <v>539</v>
      </c>
      <c r="D61" t="s">
        <v>78</v>
      </c>
      <c r="E61" t="s">
        <v>540</v>
      </c>
      <c r="F61">
        <v>6</v>
      </c>
      <c r="G61">
        <v>300</v>
      </c>
      <c r="H61" t="str">
        <f t="shared" si="1"/>
        <v>6x300</v>
      </c>
      <c r="I61">
        <v>382</v>
      </c>
      <c r="J61" s="4">
        <f t="shared" si="2"/>
        <v>3.5370370370370371E-2</v>
      </c>
      <c r="K61">
        <v>577</v>
      </c>
      <c r="L61" s="4">
        <f t="shared" si="3"/>
        <v>5.3425925925925925E-2</v>
      </c>
      <c r="M61">
        <v>875</v>
      </c>
      <c r="N61" s="4">
        <f t="shared" si="4"/>
        <v>8.1018518518518517E-2</v>
      </c>
      <c r="O61">
        <v>1745</v>
      </c>
      <c r="P61" s="4">
        <f t="shared" si="5"/>
        <v>0.16157407407407406</v>
      </c>
      <c r="Q61" s="6">
        <f t="shared" si="0"/>
        <v>2035</v>
      </c>
      <c r="R61" s="6">
        <f t="shared" si="6"/>
        <v>4</v>
      </c>
      <c r="S61">
        <v>304</v>
      </c>
      <c r="T61">
        <v>66</v>
      </c>
      <c r="U61">
        <v>-39</v>
      </c>
      <c r="V61">
        <v>-4</v>
      </c>
      <c r="W61">
        <v>-17</v>
      </c>
      <c r="X61">
        <v>114</v>
      </c>
      <c r="Y61" s="2" t="s">
        <v>541</v>
      </c>
      <c r="Z61">
        <v>45.302909378343401</v>
      </c>
      <c r="AA61">
        <v>9.4870821374283292</v>
      </c>
      <c r="AB61" t="s">
        <v>78</v>
      </c>
      <c r="AC61" t="s">
        <v>81</v>
      </c>
      <c r="AD61" t="s">
        <v>82</v>
      </c>
      <c r="AE61">
        <v>74116</v>
      </c>
      <c r="AF61">
        <v>0</v>
      </c>
      <c r="AG61">
        <v>0</v>
      </c>
      <c r="AH61">
        <v>24689</v>
      </c>
      <c r="AI61">
        <v>18084</v>
      </c>
      <c r="AJ61">
        <v>26146</v>
      </c>
      <c r="AK61">
        <v>5197</v>
      </c>
      <c r="AL61">
        <v>10334</v>
      </c>
      <c r="AM61">
        <v>29571</v>
      </c>
      <c r="AN61">
        <v>60127</v>
      </c>
      <c r="AO61">
        <v>120363</v>
      </c>
      <c r="AP61">
        <v>2</v>
      </c>
      <c r="AQ61">
        <v>1</v>
      </c>
      <c r="AR61">
        <v>4</v>
      </c>
      <c r="AS61">
        <v>5</v>
      </c>
      <c r="AT61">
        <v>0</v>
      </c>
      <c r="AU61">
        <v>10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2</v>
      </c>
      <c r="BB61">
        <v>15</v>
      </c>
      <c r="BC61">
        <v>2</v>
      </c>
      <c r="BD61">
        <v>4</v>
      </c>
      <c r="BE61">
        <v>0</v>
      </c>
      <c r="BF61">
        <v>4</v>
      </c>
      <c r="BG61">
        <v>0</v>
      </c>
      <c r="BH61">
        <v>6</v>
      </c>
      <c r="BI61">
        <v>0</v>
      </c>
      <c r="BJ61">
        <v>45.3029443</v>
      </c>
      <c r="BK61">
        <v>9.4871209000000007</v>
      </c>
      <c r="BL61">
        <v>1800</v>
      </c>
      <c r="BM61" t="s">
        <v>83</v>
      </c>
      <c r="BN61" t="s">
        <v>84</v>
      </c>
      <c r="BO61" t="s">
        <v>85</v>
      </c>
      <c r="BP61" t="s">
        <v>107</v>
      </c>
      <c r="BQ61" t="s">
        <v>108</v>
      </c>
      <c r="BR61" t="s">
        <v>539</v>
      </c>
      <c r="BS61">
        <v>1482451</v>
      </c>
      <c r="BT61">
        <v>0</v>
      </c>
      <c r="BU61">
        <v>0</v>
      </c>
      <c r="BV61">
        <v>493794</v>
      </c>
      <c r="BW61">
        <v>361692</v>
      </c>
      <c r="BX61">
        <v>523002</v>
      </c>
      <c r="BY61">
        <v>103963</v>
      </c>
      <c r="BZ61">
        <v>1</v>
      </c>
      <c r="CA61" t="s">
        <v>542</v>
      </c>
      <c r="CB61" t="s">
        <v>543</v>
      </c>
      <c r="CC61" s="3">
        <v>46092.557106481479</v>
      </c>
      <c r="CD61" t="s">
        <v>91</v>
      </c>
    </row>
    <row r="62" spans="1:82" ht="16" x14ac:dyDescent="0.2">
      <c r="A62" t="s">
        <v>544</v>
      </c>
      <c r="B62" t="s">
        <v>545</v>
      </c>
      <c r="C62" t="s">
        <v>546</v>
      </c>
      <c r="D62" t="s">
        <v>78</v>
      </c>
      <c r="E62" t="s">
        <v>547</v>
      </c>
      <c r="F62">
        <v>6</v>
      </c>
      <c r="G62">
        <v>300</v>
      </c>
      <c r="H62" t="str">
        <f t="shared" si="1"/>
        <v>6x300</v>
      </c>
      <c r="I62">
        <v>381</v>
      </c>
      <c r="J62" s="4">
        <f t="shared" si="2"/>
        <v>3.5277777777777776E-2</v>
      </c>
      <c r="K62">
        <v>575</v>
      </c>
      <c r="L62" s="4">
        <f t="shared" si="3"/>
        <v>5.3240740740740748E-2</v>
      </c>
      <c r="M62">
        <v>872</v>
      </c>
      <c r="N62" s="4">
        <f t="shared" si="4"/>
        <v>8.0740740740740738E-2</v>
      </c>
      <c r="O62">
        <v>1740</v>
      </c>
      <c r="P62" s="4">
        <f t="shared" si="5"/>
        <v>0.16111111111111112</v>
      </c>
      <c r="Q62" s="6">
        <f t="shared" si="0"/>
        <v>2035</v>
      </c>
      <c r="R62" s="6">
        <f t="shared" si="6"/>
        <v>4</v>
      </c>
      <c r="S62">
        <v>304</v>
      </c>
      <c r="T62">
        <v>18</v>
      </c>
      <c r="U62">
        <v>-44</v>
      </c>
      <c r="V62">
        <v>35</v>
      </c>
      <c r="W62">
        <v>-4</v>
      </c>
      <c r="X62">
        <v>112</v>
      </c>
      <c r="Y62" s="2" t="s">
        <v>548</v>
      </c>
      <c r="Z62">
        <v>44.781399999999998</v>
      </c>
      <c r="AA62">
        <v>10.3421</v>
      </c>
      <c r="AB62" t="s">
        <v>78</v>
      </c>
      <c r="AC62" t="s">
        <v>81</v>
      </c>
      <c r="AD62" t="s">
        <v>82</v>
      </c>
      <c r="AE62">
        <v>66264</v>
      </c>
      <c r="AF62">
        <v>0</v>
      </c>
      <c r="AG62">
        <v>0</v>
      </c>
      <c r="AH62">
        <v>23865</v>
      </c>
      <c r="AI62">
        <v>0</v>
      </c>
      <c r="AJ62">
        <v>36362</v>
      </c>
      <c r="AK62">
        <v>6037</v>
      </c>
      <c r="AL62">
        <v>12384</v>
      </c>
      <c r="AM62">
        <v>53587</v>
      </c>
      <c r="AN62">
        <v>160946</v>
      </c>
      <c r="AO62">
        <v>217431</v>
      </c>
      <c r="AP62">
        <v>1</v>
      </c>
      <c r="AQ62">
        <v>5</v>
      </c>
      <c r="AR62">
        <v>3</v>
      </c>
      <c r="AS62">
        <v>6</v>
      </c>
      <c r="AT62">
        <v>3</v>
      </c>
      <c r="AU62">
        <v>8</v>
      </c>
      <c r="AV62">
        <v>9</v>
      </c>
      <c r="AW62">
        <v>0</v>
      </c>
      <c r="AX62">
        <v>1</v>
      </c>
      <c r="AY62">
        <v>0</v>
      </c>
      <c r="AZ62">
        <v>0</v>
      </c>
      <c r="BA62">
        <v>12</v>
      </c>
      <c r="BB62">
        <v>28</v>
      </c>
      <c r="BC62">
        <v>6</v>
      </c>
      <c r="BD62">
        <v>4</v>
      </c>
      <c r="BE62">
        <v>0</v>
      </c>
      <c r="BF62">
        <v>4</v>
      </c>
      <c r="BG62">
        <v>0</v>
      </c>
      <c r="BH62">
        <v>4</v>
      </c>
      <c r="BI62">
        <v>0</v>
      </c>
      <c r="BJ62">
        <v>44.781359299999998</v>
      </c>
      <c r="BK62">
        <v>10.341948500000001</v>
      </c>
      <c r="BL62">
        <v>1800</v>
      </c>
      <c r="BM62" t="s">
        <v>83</v>
      </c>
      <c r="BN62" t="s">
        <v>84</v>
      </c>
      <c r="BO62" t="s">
        <v>85</v>
      </c>
      <c r="BP62" t="s">
        <v>160</v>
      </c>
      <c r="BQ62" t="s">
        <v>170</v>
      </c>
      <c r="BR62" t="s">
        <v>171</v>
      </c>
      <c r="BS62">
        <v>1325383</v>
      </c>
      <c r="BT62">
        <v>0</v>
      </c>
      <c r="BU62">
        <v>0</v>
      </c>
      <c r="BV62">
        <v>477327</v>
      </c>
      <c r="BW62">
        <v>0</v>
      </c>
      <c r="BX62">
        <v>727306</v>
      </c>
      <c r="BY62">
        <v>120750</v>
      </c>
      <c r="BZ62">
        <v>1</v>
      </c>
      <c r="CA62" t="s">
        <v>549</v>
      </c>
      <c r="CB62" t="s">
        <v>550</v>
      </c>
      <c r="CC62" s="3">
        <v>46092.557106481479</v>
      </c>
      <c r="CD62" t="s">
        <v>91</v>
      </c>
    </row>
    <row r="63" spans="1:82" ht="16" x14ac:dyDescent="0.2">
      <c r="A63" t="s">
        <v>551</v>
      </c>
      <c r="B63" t="s">
        <v>552</v>
      </c>
      <c r="C63" t="s">
        <v>423</v>
      </c>
      <c r="D63" t="s">
        <v>78</v>
      </c>
      <c r="E63" t="s">
        <v>553</v>
      </c>
      <c r="F63">
        <v>6</v>
      </c>
      <c r="G63">
        <v>300</v>
      </c>
      <c r="H63" t="str">
        <f t="shared" si="1"/>
        <v>6x300</v>
      </c>
      <c r="I63">
        <v>379</v>
      </c>
      <c r="J63" s="4">
        <f t="shared" si="2"/>
        <v>3.5092592592592599E-2</v>
      </c>
      <c r="K63">
        <v>572</v>
      </c>
      <c r="L63" s="4">
        <f t="shared" si="3"/>
        <v>5.2962962962962962E-2</v>
      </c>
      <c r="M63">
        <v>867</v>
      </c>
      <c r="N63" s="4">
        <f t="shared" si="4"/>
        <v>8.0277777777777781E-2</v>
      </c>
      <c r="O63">
        <v>1731</v>
      </c>
      <c r="P63" s="4">
        <f t="shared" si="5"/>
        <v>0.16027777777777777</v>
      </c>
      <c r="Q63" s="6">
        <f t="shared" si="0"/>
        <v>2035</v>
      </c>
      <c r="R63" s="6">
        <f t="shared" si="6"/>
        <v>4</v>
      </c>
      <c r="S63">
        <v>304</v>
      </c>
      <c r="T63">
        <v>40</v>
      </c>
      <c r="U63">
        <v>-40</v>
      </c>
      <c r="V63">
        <v>-5</v>
      </c>
      <c r="W63">
        <v>2</v>
      </c>
      <c r="X63">
        <v>124</v>
      </c>
      <c r="Y63" s="2" t="s">
        <v>554</v>
      </c>
      <c r="Z63">
        <v>43.4522209</v>
      </c>
      <c r="AA63">
        <v>11.88124</v>
      </c>
      <c r="AB63" t="s">
        <v>78</v>
      </c>
      <c r="AC63" t="s">
        <v>81</v>
      </c>
      <c r="AD63" t="s">
        <v>82</v>
      </c>
      <c r="AE63">
        <v>46565</v>
      </c>
      <c r="AF63">
        <v>0</v>
      </c>
      <c r="AG63">
        <v>15028</v>
      </c>
      <c r="AH63">
        <v>18399</v>
      </c>
      <c r="AI63">
        <v>5991</v>
      </c>
      <c r="AJ63">
        <v>5404</v>
      </c>
      <c r="AK63">
        <v>1743</v>
      </c>
      <c r="AL63">
        <v>12627</v>
      </c>
      <c r="AM63">
        <v>39989</v>
      </c>
      <c r="AN63">
        <v>73253</v>
      </c>
      <c r="AO63">
        <v>102463</v>
      </c>
      <c r="AP63">
        <v>0</v>
      </c>
      <c r="AQ63">
        <v>0</v>
      </c>
      <c r="AR63">
        <v>1</v>
      </c>
      <c r="AS63">
        <v>2</v>
      </c>
      <c r="AT63">
        <v>1</v>
      </c>
      <c r="AU63">
        <v>19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10</v>
      </c>
      <c r="BB63">
        <v>20</v>
      </c>
      <c r="BC63">
        <v>10</v>
      </c>
      <c r="BD63">
        <v>0</v>
      </c>
      <c r="BE63">
        <v>0</v>
      </c>
      <c r="BF63">
        <v>0</v>
      </c>
      <c r="BG63">
        <v>0</v>
      </c>
      <c r="BH63">
        <v>2</v>
      </c>
      <c r="BI63">
        <v>0</v>
      </c>
      <c r="BJ63">
        <v>43.452114399999999</v>
      </c>
      <c r="BK63">
        <v>11.8813212</v>
      </c>
      <c r="BL63">
        <v>1800</v>
      </c>
      <c r="BM63" t="s">
        <v>83</v>
      </c>
      <c r="BN63" t="s">
        <v>84</v>
      </c>
      <c r="BO63" t="s">
        <v>85</v>
      </c>
      <c r="BP63" t="s">
        <v>86</v>
      </c>
      <c r="BQ63" t="s">
        <v>212</v>
      </c>
      <c r="BR63" t="s">
        <v>423</v>
      </c>
      <c r="BS63">
        <v>931456</v>
      </c>
      <c r="BT63">
        <v>0</v>
      </c>
      <c r="BU63">
        <v>300580</v>
      </c>
      <c r="BV63">
        <v>368041</v>
      </c>
      <c r="BW63">
        <v>119832</v>
      </c>
      <c r="BX63">
        <v>108114</v>
      </c>
      <c r="BY63">
        <v>34889</v>
      </c>
      <c r="BZ63">
        <v>1</v>
      </c>
      <c r="CA63" t="s">
        <v>555</v>
      </c>
      <c r="CB63" t="s">
        <v>556</v>
      </c>
      <c r="CC63" s="3">
        <v>46092.557106481479</v>
      </c>
      <c r="CD63" t="s">
        <v>91</v>
      </c>
    </row>
    <row r="64" spans="1:82" ht="16" x14ac:dyDescent="0.2">
      <c r="A64" t="s">
        <v>557</v>
      </c>
      <c r="B64" t="s">
        <v>558</v>
      </c>
      <c r="C64" t="s">
        <v>559</v>
      </c>
      <c r="D64" t="s">
        <v>78</v>
      </c>
      <c r="E64" t="s">
        <v>560</v>
      </c>
      <c r="F64">
        <v>6</v>
      </c>
      <c r="G64">
        <v>300</v>
      </c>
      <c r="H64" t="str">
        <f t="shared" si="1"/>
        <v>6x300</v>
      </c>
      <c r="I64">
        <v>376</v>
      </c>
      <c r="J64" s="4">
        <f t="shared" si="2"/>
        <v>3.4814814814814819E-2</v>
      </c>
      <c r="K64">
        <v>568</v>
      </c>
      <c r="L64" s="4">
        <f t="shared" si="3"/>
        <v>5.2592592592592587E-2</v>
      </c>
      <c r="M64">
        <v>862</v>
      </c>
      <c r="N64" s="4">
        <f t="shared" si="4"/>
        <v>7.9814814814814825E-2</v>
      </c>
      <c r="O64">
        <v>1720</v>
      </c>
      <c r="P64" s="4">
        <f t="shared" si="5"/>
        <v>0.15925925925925927</v>
      </c>
      <c r="Q64" s="6">
        <f t="shared" si="0"/>
        <v>2035</v>
      </c>
      <c r="R64" s="6">
        <f t="shared" si="6"/>
        <v>4</v>
      </c>
      <c r="S64">
        <v>304</v>
      </c>
      <c r="T64">
        <v>-105</v>
      </c>
      <c r="U64">
        <v>273</v>
      </c>
      <c r="V64">
        <v>-144</v>
      </c>
      <c r="W64">
        <v>1</v>
      </c>
      <c r="X64">
        <v>77</v>
      </c>
      <c r="Y64" s="2" t="s">
        <v>561</v>
      </c>
      <c r="Z64">
        <v>41.833170000000003</v>
      </c>
      <c r="AA64">
        <v>12.50034</v>
      </c>
      <c r="AB64" t="s">
        <v>78</v>
      </c>
      <c r="AC64" t="s">
        <v>81</v>
      </c>
      <c r="AD64" t="s">
        <v>82</v>
      </c>
      <c r="AE64">
        <v>18020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18020</v>
      </c>
      <c r="AL64">
        <v>16426</v>
      </c>
      <c r="AM64">
        <v>62963</v>
      </c>
      <c r="AN64">
        <v>374829</v>
      </c>
      <c r="AO64">
        <v>1537591</v>
      </c>
      <c r="AP64">
        <v>1</v>
      </c>
      <c r="AQ64">
        <v>0</v>
      </c>
      <c r="AR64">
        <v>4</v>
      </c>
      <c r="AS64">
        <v>1</v>
      </c>
      <c r="AT64">
        <v>5</v>
      </c>
      <c r="AU64">
        <v>30</v>
      </c>
      <c r="AV64">
        <v>0</v>
      </c>
      <c r="AW64">
        <v>0</v>
      </c>
      <c r="AX64">
        <v>0</v>
      </c>
      <c r="AY64">
        <v>2</v>
      </c>
      <c r="AZ64">
        <v>4</v>
      </c>
      <c r="BA64">
        <v>20</v>
      </c>
      <c r="BB64">
        <v>88</v>
      </c>
      <c r="BC64">
        <v>12</v>
      </c>
      <c r="BD64">
        <v>0</v>
      </c>
      <c r="BE64">
        <v>0</v>
      </c>
      <c r="BF64">
        <v>0</v>
      </c>
      <c r="BG64">
        <v>0</v>
      </c>
      <c r="BH64">
        <v>20</v>
      </c>
      <c r="BI64">
        <v>0</v>
      </c>
      <c r="BJ64">
        <v>41.83314</v>
      </c>
      <c r="BK64">
        <v>12.50041</v>
      </c>
      <c r="BL64">
        <v>1800</v>
      </c>
      <c r="BM64" t="s">
        <v>83</v>
      </c>
      <c r="BN64" t="s">
        <v>84</v>
      </c>
      <c r="BO64" t="s">
        <v>85</v>
      </c>
      <c r="BP64" t="s">
        <v>86</v>
      </c>
      <c r="BQ64" t="s">
        <v>87</v>
      </c>
      <c r="BR64" t="s">
        <v>88</v>
      </c>
      <c r="BS64">
        <v>360412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360412</v>
      </c>
      <c r="BZ64">
        <v>1</v>
      </c>
      <c r="CA64" t="s">
        <v>562</v>
      </c>
      <c r="CB64" t="s">
        <v>563</v>
      </c>
      <c r="CC64" s="3">
        <v>46092.557106481479</v>
      </c>
      <c r="CD64" t="s">
        <v>91</v>
      </c>
    </row>
    <row r="65" spans="1:82" ht="16" x14ac:dyDescent="0.2">
      <c r="A65" t="s">
        <v>564</v>
      </c>
      <c r="B65" t="s">
        <v>565</v>
      </c>
      <c r="C65" t="s">
        <v>566</v>
      </c>
      <c r="D65" t="s">
        <v>78</v>
      </c>
      <c r="E65" t="s">
        <v>567</v>
      </c>
      <c r="F65">
        <v>6</v>
      </c>
      <c r="G65">
        <v>300</v>
      </c>
      <c r="H65" t="str">
        <f t="shared" si="1"/>
        <v>6x300</v>
      </c>
      <c r="I65">
        <v>374</v>
      </c>
      <c r="J65" s="4">
        <f t="shared" si="2"/>
        <v>3.4629629629629628E-2</v>
      </c>
      <c r="K65">
        <v>565</v>
      </c>
      <c r="L65" s="4">
        <f t="shared" si="3"/>
        <v>5.2314814814814814E-2</v>
      </c>
      <c r="M65">
        <v>858</v>
      </c>
      <c r="N65" s="4">
        <f t="shared" si="4"/>
        <v>7.9444444444444443E-2</v>
      </c>
      <c r="O65">
        <v>1711</v>
      </c>
      <c r="P65" s="4">
        <f t="shared" si="5"/>
        <v>0.15842592592592591</v>
      </c>
      <c r="Q65" s="6">
        <f t="shared" si="0"/>
        <v>2035</v>
      </c>
      <c r="R65" s="6">
        <f t="shared" si="6"/>
        <v>4</v>
      </c>
      <c r="S65">
        <v>304</v>
      </c>
      <c r="T65">
        <v>17</v>
      </c>
      <c r="U65">
        <v>-9</v>
      </c>
      <c r="V65">
        <v>6</v>
      </c>
      <c r="W65">
        <v>-14</v>
      </c>
      <c r="X65">
        <v>115</v>
      </c>
      <c r="Y65" s="2" t="s">
        <v>568</v>
      </c>
      <c r="Z65">
        <v>44.415803894806899</v>
      </c>
      <c r="AA65">
        <v>8.8660335355824298</v>
      </c>
      <c r="AB65" t="s">
        <v>78</v>
      </c>
      <c r="AC65" t="s">
        <v>81</v>
      </c>
      <c r="AD65" t="s">
        <v>82</v>
      </c>
      <c r="AE65">
        <v>60337</v>
      </c>
      <c r="AF65">
        <v>0</v>
      </c>
      <c r="AG65">
        <v>0</v>
      </c>
      <c r="AH65">
        <v>37816</v>
      </c>
      <c r="AI65">
        <v>0</v>
      </c>
      <c r="AJ65">
        <v>20349</v>
      </c>
      <c r="AK65">
        <v>2172</v>
      </c>
      <c r="AL65">
        <v>12388</v>
      </c>
      <c r="AM65">
        <v>50822</v>
      </c>
      <c r="AN65">
        <v>207291</v>
      </c>
      <c r="AO65">
        <v>517022</v>
      </c>
      <c r="AP65">
        <v>0</v>
      </c>
      <c r="AQ65">
        <v>1</v>
      </c>
      <c r="AR65">
        <v>5</v>
      </c>
      <c r="AS65">
        <v>7</v>
      </c>
      <c r="AT65">
        <v>7</v>
      </c>
      <c r="AU65">
        <v>33</v>
      </c>
      <c r="AV65">
        <v>2</v>
      </c>
      <c r="AW65">
        <v>0</v>
      </c>
      <c r="AX65">
        <v>4</v>
      </c>
      <c r="AY65">
        <v>1</v>
      </c>
      <c r="AZ65">
        <v>0</v>
      </c>
      <c r="BA65">
        <v>4</v>
      </c>
      <c r="BB65">
        <v>52</v>
      </c>
      <c r="BC65">
        <v>0</v>
      </c>
      <c r="BD65">
        <v>4</v>
      </c>
      <c r="BE65">
        <v>0</v>
      </c>
      <c r="BF65">
        <v>6</v>
      </c>
      <c r="BG65">
        <v>0</v>
      </c>
      <c r="BH65">
        <v>22</v>
      </c>
      <c r="BI65">
        <v>0</v>
      </c>
      <c r="BJ65">
        <v>44.415798299999999</v>
      </c>
      <c r="BK65">
        <v>8.8660335999999997</v>
      </c>
      <c r="BL65">
        <v>1800</v>
      </c>
      <c r="BM65" t="s">
        <v>83</v>
      </c>
      <c r="BN65" t="s">
        <v>84</v>
      </c>
      <c r="BO65" t="s">
        <v>85</v>
      </c>
      <c r="BP65" t="s">
        <v>107</v>
      </c>
      <c r="BQ65" t="s">
        <v>569</v>
      </c>
      <c r="BR65" t="s">
        <v>570</v>
      </c>
      <c r="BS65">
        <v>1354297</v>
      </c>
      <c r="BT65">
        <v>0</v>
      </c>
      <c r="BU65">
        <v>0</v>
      </c>
      <c r="BV65">
        <v>903841</v>
      </c>
      <c r="BW65">
        <v>0</v>
      </c>
      <c r="BX65">
        <v>407009</v>
      </c>
      <c r="BY65">
        <v>43447</v>
      </c>
      <c r="BZ65">
        <v>1</v>
      </c>
      <c r="CA65" t="s">
        <v>571</v>
      </c>
      <c r="CB65" t="s">
        <v>572</v>
      </c>
      <c r="CC65" s="3">
        <v>46092.557106481479</v>
      </c>
      <c r="CD65" t="s">
        <v>91</v>
      </c>
    </row>
    <row r="66" spans="1:82" ht="16" x14ac:dyDescent="0.2">
      <c r="A66" t="s">
        <v>573</v>
      </c>
      <c r="B66" t="s">
        <v>574</v>
      </c>
      <c r="C66" t="s">
        <v>575</v>
      </c>
      <c r="D66" t="s">
        <v>78</v>
      </c>
      <c r="E66" t="s">
        <v>576</v>
      </c>
      <c r="F66">
        <v>6</v>
      </c>
      <c r="G66">
        <v>300</v>
      </c>
      <c r="H66" t="str">
        <f t="shared" si="1"/>
        <v>6x300</v>
      </c>
      <c r="I66">
        <v>374</v>
      </c>
      <c r="J66" s="4">
        <f t="shared" si="2"/>
        <v>3.4629629629629628E-2</v>
      </c>
      <c r="K66">
        <v>565</v>
      </c>
      <c r="L66" s="4">
        <f t="shared" si="3"/>
        <v>5.2314814814814814E-2</v>
      </c>
      <c r="M66">
        <v>856</v>
      </c>
      <c r="N66" s="4">
        <f t="shared" si="4"/>
        <v>7.9259259259259265E-2</v>
      </c>
      <c r="O66">
        <v>1709</v>
      </c>
      <c r="P66" s="4">
        <f t="shared" si="5"/>
        <v>0.15824074074074074</v>
      </c>
      <c r="Q66" s="6">
        <f t="shared" ref="Q66:Q129" si="7">IF(J66&gt;=0.13,2026,IF(L66&gt;=0.14,2027,IF(N66&gt;=0.14,2030,IF(P66&gt;=0.14,2035,"later"))))</f>
        <v>2035</v>
      </c>
      <c r="R66" s="6">
        <f t="shared" si="6"/>
        <v>4</v>
      </c>
      <c r="S66">
        <v>304</v>
      </c>
      <c r="T66">
        <v>86</v>
      </c>
      <c r="U66">
        <v>-48</v>
      </c>
      <c r="V66">
        <v>-11</v>
      </c>
      <c r="W66">
        <v>-33</v>
      </c>
      <c r="X66">
        <v>123</v>
      </c>
      <c r="Y66" s="2" t="s">
        <v>577</v>
      </c>
      <c r="Z66">
        <v>44.722234870075397</v>
      </c>
      <c r="AA66">
        <v>10.622212249077</v>
      </c>
      <c r="AB66" t="s">
        <v>78</v>
      </c>
      <c r="AC66" t="s">
        <v>81</v>
      </c>
      <c r="AD66" t="s">
        <v>82</v>
      </c>
      <c r="AE66">
        <v>65151</v>
      </c>
      <c r="AF66">
        <v>0</v>
      </c>
      <c r="AG66">
        <v>0</v>
      </c>
      <c r="AH66">
        <v>18080</v>
      </c>
      <c r="AI66">
        <v>42593</v>
      </c>
      <c r="AJ66">
        <v>4478</v>
      </c>
      <c r="AK66">
        <v>0</v>
      </c>
      <c r="AL66">
        <v>2871</v>
      </c>
      <c r="AM66">
        <v>15456</v>
      </c>
      <c r="AN66">
        <v>113992</v>
      </c>
      <c r="AO66">
        <v>201574</v>
      </c>
      <c r="AP66">
        <v>1</v>
      </c>
      <c r="AQ66">
        <v>2</v>
      </c>
      <c r="AR66">
        <v>2</v>
      </c>
      <c r="AS66">
        <v>2</v>
      </c>
      <c r="AT66">
        <v>0</v>
      </c>
      <c r="AU66">
        <v>10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8</v>
      </c>
      <c r="BI66">
        <v>0</v>
      </c>
      <c r="BJ66">
        <v>44.722169899999997</v>
      </c>
      <c r="BK66">
        <v>10.6227099</v>
      </c>
      <c r="BL66">
        <v>1800</v>
      </c>
      <c r="BM66" t="s">
        <v>83</v>
      </c>
      <c r="BN66" t="s">
        <v>84</v>
      </c>
      <c r="BO66" t="s">
        <v>85</v>
      </c>
      <c r="BP66" t="s">
        <v>160</v>
      </c>
      <c r="BQ66" t="s">
        <v>170</v>
      </c>
      <c r="BR66" t="s">
        <v>578</v>
      </c>
      <c r="BS66">
        <v>1431134</v>
      </c>
      <c r="BT66">
        <v>0</v>
      </c>
      <c r="BU66">
        <v>0</v>
      </c>
      <c r="BV66">
        <v>361616</v>
      </c>
      <c r="BW66">
        <v>979936</v>
      </c>
      <c r="BX66">
        <v>89582</v>
      </c>
      <c r="BY66">
        <v>0</v>
      </c>
      <c r="BZ66">
        <v>1</v>
      </c>
      <c r="CA66" t="s">
        <v>579</v>
      </c>
      <c r="CB66" t="s">
        <v>580</v>
      </c>
      <c r="CC66" s="3">
        <v>46092.557106481479</v>
      </c>
      <c r="CD66" t="s">
        <v>91</v>
      </c>
    </row>
    <row r="67" spans="1:82" ht="16" x14ac:dyDescent="0.2">
      <c r="A67" t="s">
        <v>581</v>
      </c>
      <c r="B67" t="s">
        <v>582</v>
      </c>
      <c r="C67" t="s">
        <v>583</v>
      </c>
      <c r="D67" t="s">
        <v>78</v>
      </c>
      <c r="E67" t="s">
        <v>584</v>
      </c>
      <c r="F67">
        <v>6</v>
      </c>
      <c r="G67">
        <v>300</v>
      </c>
      <c r="H67" t="str">
        <f t="shared" ref="H67:H130" si="8">F67&amp;"x"&amp;G67</f>
        <v>6x300</v>
      </c>
      <c r="I67">
        <v>372</v>
      </c>
      <c r="J67" s="4">
        <f t="shared" ref="J67:J130" si="9">IF($G67=300,I67/75/$F67/24,IF($G67=150,I67/65/$F67/24,I67/40/$F67/24))</f>
        <v>3.4444444444444444E-2</v>
      </c>
      <c r="K67">
        <v>562</v>
      </c>
      <c r="L67" s="4">
        <f t="shared" ref="L67:L130" si="10">IF($G67=300,K67/75/$F67/24,IF($G67=150,K67/65/$F67/24,K67/40/$F67/24))</f>
        <v>5.2037037037037041E-2</v>
      </c>
      <c r="M67">
        <v>853</v>
      </c>
      <c r="N67" s="4">
        <f t="shared" ref="N67:N130" si="11">IF($G67=300,M67/75/$F67/24,IF($G67=150,M67/65/$F67/24,M67/40/$F67/24))</f>
        <v>7.8981481481481472E-2</v>
      </c>
      <c r="O67">
        <v>1702</v>
      </c>
      <c r="P67" s="4">
        <f t="shared" ref="P67:P130" si="12">IF($G67=300,O67/75/$F67/24,IF($G67=150,O67/65/$F67/24,O67/40/$F67/24))</f>
        <v>0.15759259259259259</v>
      </c>
      <c r="Q67" s="6">
        <f t="shared" si="7"/>
        <v>2035</v>
      </c>
      <c r="R67" s="6">
        <f t="shared" ref="R67:R130" si="13">IF(Q67=2026,1,IF(Q67=2027,2,IF(Q67=2030,3,IF(Q67=2035,4,666))))</f>
        <v>4</v>
      </c>
      <c r="S67">
        <v>304</v>
      </c>
      <c r="T67">
        <v>60</v>
      </c>
      <c r="U67">
        <v>-34</v>
      </c>
      <c r="V67">
        <v>-14</v>
      </c>
      <c r="W67">
        <v>-29</v>
      </c>
      <c r="X67">
        <v>137</v>
      </c>
      <c r="Y67" s="2" t="s">
        <v>585</v>
      </c>
      <c r="Z67">
        <v>45.589790000000001</v>
      </c>
      <c r="AA67">
        <v>9.8967399999999994</v>
      </c>
      <c r="AB67" t="s">
        <v>78</v>
      </c>
      <c r="AC67" t="s">
        <v>81</v>
      </c>
      <c r="AD67" t="s">
        <v>82</v>
      </c>
      <c r="AE67">
        <v>16875</v>
      </c>
      <c r="AF67">
        <v>0</v>
      </c>
      <c r="AG67">
        <v>0</v>
      </c>
      <c r="AH67">
        <v>0</v>
      </c>
      <c r="AI67">
        <v>15353</v>
      </c>
      <c r="AJ67">
        <v>1522</v>
      </c>
      <c r="AK67">
        <v>0</v>
      </c>
      <c r="AL67">
        <v>4678</v>
      </c>
      <c r="AM67">
        <v>14005</v>
      </c>
      <c r="AN67">
        <v>49695</v>
      </c>
      <c r="AO67">
        <v>200002</v>
      </c>
      <c r="AP67">
        <v>1</v>
      </c>
      <c r="AQ67">
        <v>0</v>
      </c>
      <c r="AR67">
        <v>2</v>
      </c>
      <c r="AS67">
        <v>8</v>
      </c>
      <c r="AT67">
        <v>0</v>
      </c>
      <c r="AU67">
        <v>7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8</v>
      </c>
      <c r="BB67">
        <v>15</v>
      </c>
      <c r="BC67">
        <v>4</v>
      </c>
      <c r="BD67">
        <v>6</v>
      </c>
      <c r="BE67">
        <v>0</v>
      </c>
      <c r="BF67">
        <v>6</v>
      </c>
      <c r="BG67">
        <v>0</v>
      </c>
      <c r="BH67">
        <v>6</v>
      </c>
      <c r="BI67">
        <v>0</v>
      </c>
      <c r="BJ67">
        <v>45.589811699999998</v>
      </c>
      <c r="BK67">
        <v>9.8967262999999992</v>
      </c>
      <c r="BL67">
        <v>1800</v>
      </c>
      <c r="BM67" t="s">
        <v>83</v>
      </c>
      <c r="BN67" t="s">
        <v>84</v>
      </c>
      <c r="BO67" t="s">
        <v>85</v>
      </c>
      <c r="BP67" t="s">
        <v>107</v>
      </c>
      <c r="BQ67" t="s">
        <v>108</v>
      </c>
      <c r="BR67" t="s">
        <v>179</v>
      </c>
      <c r="BS67">
        <v>337524</v>
      </c>
      <c r="BT67">
        <v>0</v>
      </c>
      <c r="BU67">
        <v>0</v>
      </c>
      <c r="BV67">
        <v>0</v>
      </c>
      <c r="BW67">
        <v>307071</v>
      </c>
      <c r="BX67">
        <v>30453</v>
      </c>
      <c r="BY67">
        <v>0</v>
      </c>
      <c r="BZ67">
        <v>1</v>
      </c>
      <c r="CA67" t="s">
        <v>586</v>
      </c>
      <c r="CB67" t="s">
        <v>587</v>
      </c>
      <c r="CC67" s="3">
        <v>46092.557106481479</v>
      </c>
      <c r="CD67" t="s">
        <v>91</v>
      </c>
    </row>
    <row r="68" spans="1:82" ht="16" x14ac:dyDescent="0.2">
      <c r="A68" t="s">
        <v>588</v>
      </c>
      <c r="B68" t="s">
        <v>589</v>
      </c>
      <c r="C68" t="s">
        <v>590</v>
      </c>
      <c r="D68" t="s">
        <v>78</v>
      </c>
      <c r="E68" t="s">
        <v>591</v>
      </c>
      <c r="F68">
        <v>6</v>
      </c>
      <c r="G68">
        <v>300</v>
      </c>
      <c r="H68" t="str">
        <f t="shared" si="8"/>
        <v>6x300</v>
      </c>
      <c r="I68">
        <v>369</v>
      </c>
      <c r="J68" s="4">
        <f t="shared" si="9"/>
        <v>3.4166666666666665E-2</v>
      </c>
      <c r="K68">
        <v>557</v>
      </c>
      <c r="L68" s="4">
        <f t="shared" si="10"/>
        <v>5.1574074074074078E-2</v>
      </c>
      <c r="M68">
        <v>844</v>
      </c>
      <c r="N68" s="4">
        <f t="shared" si="11"/>
        <v>7.8148148148148147E-2</v>
      </c>
      <c r="O68">
        <v>1685</v>
      </c>
      <c r="P68" s="4">
        <f t="shared" si="12"/>
        <v>0.1560185185185185</v>
      </c>
      <c r="Q68" s="6">
        <f t="shared" si="7"/>
        <v>2035</v>
      </c>
      <c r="R68" s="6">
        <f t="shared" si="13"/>
        <v>4</v>
      </c>
      <c r="S68">
        <v>304</v>
      </c>
      <c r="T68">
        <v>37</v>
      </c>
      <c r="U68">
        <v>-42</v>
      </c>
      <c r="V68">
        <v>21</v>
      </c>
      <c r="W68">
        <v>-22</v>
      </c>
      <c r="X68">
        <v>119</v>
      </c>
      <c r="Y68" s="2" t="s">
        <v>592</v>
      </c>
      <c r="Z68">
        <v>45.393527400000004</v>
      </c>
      <c r="AA68">
        <v>11.031562600000001</v>
      </c>
      <c r="AB68" t="s">
        <v>78</v>
      </c>
      <c r="AC68" t="s">
        <v>81</v>
      </c>
      <c r="AD68" t="s">
        <v>82</v>
      </c>
      <c r="AE68">
        <v>69324</v>
      </c>
      <c r="AF68">
        <v>0</v>
      </c>
      <c r="AG68">
        <v>0</v>
      </c>
      <c r="AH68">
        <v>43630</v>
      </c>
      <c r="AI68">
        <v>15353</v>
      </c>
      <c r="AJ68">
        <v>10341</v>
      </c>
      <c r="AK68">
        <v>0</v>
      </c>
      <c r="AL68">
        <v>4063</v>
      </c>
      <c r="AM68">
        <v>14149</v>
      </c>
      <c r="AN68">
        <v>87257</v>
      </c>
      <c r="AO68">
        <v>338447</v>
      </c>
      <c r="AP68">
        <v>1</v>
      </c>
      <c r="AQ68">
        <v>0</v>
      </c>
      <c r="AR68">
        <v>8</v>
      </c>
      <c r="AS68">
        <v>18</v>
      </c>
      <c r="AT68">
        <v>1</v>
      </c>
      <c r="AU68">
        <v>27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6</v>
      </c>
      <c r="BB68">
        <v>10</v>
      </c>
      <c r="BC68">
        <v>5</v>
      </c>
      <c r="BD68">
        <v>6</v>
      </c>
      <c r="BE68">
        <v>0</v>
      </c>
      <c r="BF68">
        <v>8</v>
      </c>
      <c r="BG68">
        <v>0</v>
      </c>
      <c r="BH68">
        <v>8</v>
      </c>
      <c r="BI68">
        <v>0</v>
      </c>
      <c r="BJ68">
        <v>45.393520000000002</v>
      </c>
      <c r="BK68">
        <v>11.031560000000001</v>
      </c>
      <c r="BL68">
        <v>1800</v>
      </c>
      <c r="BM68" t="s">
        <v>83</v>
      </c>
      <c r="BN68" t="s">
        <v>84</v>
      </c>
      <c r="BO68" t="s">
        <v>85</v>
      </c>
      <c r="BP68" t="s">
        <v>160</v>
      </c>
      <c r="BQ68" t="s">
        <v>161</v>
      </c>
      <c r="BR68" t="s">
        <v>162</v>
      </c>
      <c r="BS68">
        <v>1648350</v>
      </c>
      <c r="BT68">
        <v>0</v>
      </c>
      <c r="BU68">
        <v>0</v>
      </c>
      <c r="BV68">
        <v>1134408</v>
      </c>
      <c r="BW68">
        <v>307091</v>
      </c>
      <c r="BX68">
        <v>206851</v>
      </c>
      <c r="BY68">
        <v>0</v>
      </c>
      <c r="BZ68">
        <v>1</v>
      </c>
      <c r="CA68" t="s">
        <v>593</v>
      </c>
      <c r="CB68" t="s">
        <v>594</v>
      </c>
      <c r="CC68" s="3">
        <v>46092.557106481479</v>
      </c>
      <c r="CD68" t="s">
        <v>91</v>
      </c>
    </row>
    <row r="69" spans="1:82" ht="16" x14ac:dyDescent="0.2">
      <c r="A69" t="s">
        <v>595</v>
      </c>
      <c r="B69" t="s">
        <v>596</v>
      </c>
      <c r="C69" t="s">
        <v>597</v>
      </c>
      <c r="D69" t="s">
        <v>78</v>
      </c>
      <c r="E69" t="s">
        <v>598</v>
      </c>
      <c r="F69">
        <v>6</v>
      </c>
      <c r="G69">
        <v>300</v>
      </c>
      <c r="H69" t="str">
        <f t="shared" si="8"/>
        <v>6x300</v>
      </c>
      <c r="I69">
        <v>368</v>
      </c>
      <c r="J69" s="4">
        <f t="shared" si="9"/>
        <v>3.4074074074074069E-2</v>
      </c>
      <c r="K69">
        <v>556</v>
      </c>
      <c r="L69" s="4">
        <f t="shared" si="10"/>
        <v>5.1481481481481482E-2</v>
      </c>
      <c r="M69">
        <v>843</v>
      </c>
      <c r="N69" s="4">
        <f t="shared" si="11"/>
        <v>7.8055555555555559E-2</v>
      </c>
      <c r="O69">
        <v>1681</v>
      </c>
      <c r="P69" s="4">
        <f t="shared" si="12"/>
        <v>0.15564814814814815</v>
      </c>
      <c r="Q69" s="6">
        <f t="shared" si="7"/>
        <v>2035</v>
      </c>
      <c r="R69" s="6">
        <f t="shared" si="13"/>
        <v>4</v>
      </c>
      <c r="S69">
        <v>304</v>
      </c>
      <c r="T69">
        <v>87</v>
      </c>
      <c r="U69">
        <v>-40</v>
      </c>
      <c r="V69">
        <v>-68</v>
      </c>
      <c r="W69">
        <v>5</v>
      </c>
      <c r="X69">
        <v>133</v>
      </c>
      <c r="Y69" s="2" t="s">
        <v>599</v>
      </c>
      <c r="Z69">
        <v>45.609499999999997</v>
      </c>
      <c r="AA69">
        <v>10.208</v>
      </c>
      <c r="AB69" t="s">
        <v>78</v>
      </c>
      <c r="AC69" t="s">
        <v>81</v>
      </c>
      <c r="AD69" t="s">
        <v>82</v>
      </c>
      <c r="AE69">
        <v>50945</v>
      </c>
      <c r="AF69">
        <v>0</v>
      </c>
      <c r="AG69">
        <v>0</v>
      </c>
      <c r="AH69">
        <v>0</v>
      </c>
      <c r="AI69">
        <v>37251</v>
      </c>
      <c r="AJ69">
        <v>12491</v>
      </c>
      <c r="AK69">
        <v>1203</v>
      </c>
      <c r="AL69">
        <v>5409</v>
      </c>
      <c r="AM69">
        <v>15201</v>
      </c>
      <c r="AN69">
        <v>72240</v>
      </c>
      <c r="AO69">
        <v>300794</v>
      </c>
      <c r="AP69">
        <v>3</v>
      </c>
      <c r="AQ69">
        <v>0</v>
      </c>
      <c r="AR69">
        <v>4</v>
      </c>
      <c r="AS69">
        <v>6</v>
      </c>
      <c r="AT69">
        <v>0</v>
      </c>
      <c r="AU69">
        <v>23</v>
      </c>
      <c r="AV69">
        <v>22</v>
      </c>
      <c r="AW69">
        <v>2</v>
      </c>
      <c r="AX69">
        <v>0</v>
      </c>
      <c r="AY69">
        <v>0</v>
      </c>
      <c r="AZ69">
        <v>0</v>
      </c>
      <c r="BA69">
        <v>8</v>
      </c>
      <c r="BB69">
        <v>12</v>
      </c>
      <c r="BC69">
        <v>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45.6094632</v>
      </c>
      <c r="BK69">
        <v>10.207891999999999</v>
      </c>
      <c r="BL69">
        <v>1800</v>
      </c>
      <c r="BM69" t="s">
        <v>83</v>
      </c>
      <c r="BN69" t="s">
        <v>84</v>
      </c>
      <c r="BO69" t="s">
        <v>85</v>
      </c>
      <c r="BP69" t="s">
        <v>107</v>
      </c>
      <c r="BQ69" t="s">
        <v>108</v>
      </c>
      <c r="BR69" t="s">
        <v>179</v>
      </c>
      <c r="BS69">
        <v>1019030</v>
      </c>
      <c r="BT69">
        <v>0</v>
      </c>
      <c r="BU69">
        <v>0</v>
      </c>
      <c r="BV69">
        <v>0</v>
      </c>
      <c r="BW69">
        <v>745045</v>
      </c>
      <c r="BX69">
        <v>249902</v>
      </c>
      <c r="BY69">
        <v>24083</v>
      </c>
      <c r="BZ69">
        <v>1</v>
      </c>
      <c r="CA69" t="s">
        <v>600</v>
      </c>
      <c r="CB69" t="s">
        <v>601</v>
      </c>
      <c r="CC69" s="3">
        <v>46092.557106481479</v>
      </c>
      <c r="CD69" t="s">
        <v>91</v>
      </c>
    </row>
    <row r="70" spans="1:82" ht="16" x14ac:dyDescent="0.2">
      <c r="A70" t="s">
        <v>602</v>
      </c>
      <c r="B70" t="s">
        <v>603</v>
      </c>
      <c r="C70" t="s">
        <v>604</v>
      </c>
      <c r="D70" t="s">
        <v>78</v>
      </c>
      <c r="E70" t="s">
        <v>605</v>
      </c>
      <c r="F70">
        <v>6</v>
      </c>
      <c r="G70">
        <v>300</v>
      </c>
      <c r="H70" t="str">
        <f t="shared" si="8"/>
        <v>6x300</v>
      </c>
      <c r="I70">
        <v>367</v>
      </c>
      <c r="J70" s="4">
        <f t="shared" si="9"/>
        <v>3.3981481481481481E-2</v>
      </c>
      <c r="K70">
        <v>555</v>
      </c>
      <c r="L70" s="4">
        <f t="shared" si="10"/>
        <v>5.1388888888888894E-2</v>
      </c>
      <c r="M70">
        <v>841</v>
      </c>
      <c r="N70" s="4">
        <f t="shared" si="11"/>
        <v>7.7870370370370368E-2</v>
      </c>
      <c r="O70">
        <v>1679</v>
      </c>
      <c r="P70" s="4">
        <f t="shared" si="12"/>
        <v>0.15546296296296297</v>
      </c>
      <c r="Q70" s="6">
        <f t="shared" si="7"/>
        <v>2035</v>
      </c>
      <c r="R70" s="6">
        <f t="shared" si="13"/>
        <v>4</v>
      </c>
      <c r="S70">
        <v>304</v>
      </c>
      <c r="T70">
        <v>-26</v>
      </c>
      <c r="U70">
        <v>14</v>
      </c>
      <c r="V70">
        <v>13</v>
      </c>
      <c r="W70">
        <v>2</v>
      </c>
      <c r="X70">
        <v>97</v>
      </c>
      <c r="Y70" s="2" t="s">
        <v>606</v>
      </c>
      <c r="Z70">
        <v>41.803801664339097</v>
      </c>
      <c r="AA70">
        <v>12.6044388625716</v>
      </c>
      <c r="AB70" t="s">
        <v>78</v>
      </c>
      <c r="AC70" t="s">
        <v>81</v>
      </c>
      <c r="AD70" t="s">
        <v>82</v>
      </c>
      <c r="AE70">
        <v>30062</v>
      </c>
      <c r="AF70">
        <v>0</v>
      </c>
      <c r="AG70">
        <v>0</v>
      </c>
      <c r="AH70">
        <v>0</v>
      </c>
      <c r="AI70">
        <v>9940</v>
      </c>
      <c r="AJ70">
        <v>20122</v>
      </c>
      <c r="AK70">
        <v>0</v>
      </c>
      <c r="AL70">
        <v>21399</v>
      </c>
      <c r="AM70">
        <v>50534</v>
      </c>
      <c r="AN70">
        <v>142746</v>
      </c>
      <c r="AO70">
        <v>751416</v>
      </c>
      <c r="AP70">
        <v>5</v>
      </c>
      <c r="AQ70">
        <v>0</v>
      </c>
      <c r="AR70">
        <v>3</v>
      </c>
      <c r="AS70">
        <v>11</v>
      </c>
      <c r="AT70">
        <v>2</v>
      </c>
      <c r="AU70">
        <v>29</v>
      </c>
      <c r="AV70">
        <v>7</v>
      </c>
      <c r="AW70">
        <v>0</v>
      </c>
      <c r="AX70">
        <v>2</v>
      </c>
      <c r="AY70">
        <v>0</v>
      </c>
      <c r="AZ70">
        <v>1</v>
      </c>
      <c r="BA70">
        <v>3</v>
      </c>
      <c r="BB70">
        <v>12</v>
      </c>
      <c r="BC70">
        <v>3</v>
      </c>
      <c r="BD70">
        <v>2</v>
      </c>
      <c r="BE70">
        <v>0</v>
      </c>
      <c r="BF70">
        <v>2</v>
      </c>
      <c r="BG70">
        <v>0</v>
      </c>
      <c r="BH70">
        <v>3</v>
      </c>
      <c r="BI70">
        <v>3</v>
      </c>
      <c r="BJ70">
        <v>41.803869900000002</v>
      </c>
      <c r="BK70">
        <v>12.604340000000001</v>
      </c>
      <c r="BL70">
        <v>1800</v>
      </c>
      <c r="BM70" t="s">
        <v>83</v>
      </c>
      <c r="BN70" t="s">
        <v>84</v>
      </c>
      <c r="BO70" t="s">
        <v>85</v>
      </c>
      <c r="BP70" t="s">
        <v>86</v>
      </c>
      <c r="BQ70" t="s">
        <v>87</v>
      </c>
      <c r="BR70" t="s">
        <v>88</v>
      </c>
      <c r="BS70">
        <v>601359</v>
      </c>
      <c r="BT70">
        <v>0</v>
      </c>
      <c r="BU70">
        <v>0</v>
      </c>
      <c r="BV70">
        <v>0</v>
      </c>
      <c r="BW70">
        <v>198814</v>
      </c>
      <c r="BX70">
        <v>402545</v>
      </c>
      <c r="BY70">
        <v>0</v>
      </c>
      <c r="BZ70">
        <v>1</v>
      </c>
      <c r="CA70" t="s">
        <v>607</v>
      </c>
      <c r="CB70" t="s">
        <v>608</v>
      </c>
      <c r="CC70" s="3">
        <v>46092.557106481479</v>
      </c>
      <c r="CD70" t="s">
        <v>91</v>
      </c>
    </row>
    <row r="71" spans="1:82" ht="16" x14ac:dyDescent="0.2">
      <c r="A71" t="s">
        <v>610</v>
      </c>
      <c r="B71" t="s">
        <v>611</v>
      </c>
      <c r="C71" t="s">
        <v>612</v>
      </c>
      <c r="D71" t="s">
        <v>78</v>
      </c>
      <c r="E71" t="s">
        <v>613</v>
      </c>
      <c r="F71">
        <v>6</v>
      </c>
      <c r="G71">
        <v>300</v>
      </c>
      <c r="H71" t="str">
        <f t="shared" si="8"/>
        <v>6x300</v>
      </c>
      <c r="I71">
        <v>363</v>
      </c>
      <c r="J71" s="4">
        <f t="shared" si="9"/>
        <v>3.3611111111111112E-2</v>
      </c>
      <c r="K71">
        <v>548</v>
      </c>
      <c r="L71" s="4">
        <f t="shared" si="10"/>
        <v>5.0740740740740746E-2</v>
      </c>
      <c r="M71">
        <v>831</v>
      </c>
      <c r="N71" s="4">
        <f t="shared" si="11"/>
        <v>7.694444444444444E-2</v>
      </c>
      <c r="O71">
        <v>1658</v>
      </c>
      <c r="P71" s="4">
        <f t="shared" si="12"/>
        <v>0.15351851851851853</v>
      </c>
      <c r="Q71" s="6">
        <f t="shared" si="7"/>
        <v>2035</v>
      </c>
      <c r="R71" s="6">
        <f t="shared" si="13"/>
        <v>4</v>
      </c>
      <c r="S71">
        <v>304</v>
      </c>
      <c r="T71">
        <v>15</v>
      </c>
      <c r="U71">
        <v>-46</v>
      </c>
      <c r="V71">
        <v>41</v>
      </c>
      <c r="W71">
        <v>-26</v>
      </c>
      <c r="X71">
        <v>114</v>
      </c>
      <c r="Y71" s="2" t="s">
        <v>614</v>
      </c>
      <c r="Z71">
        <v>44.817087954999899</v>
      </c>
      <c r="AA71">
        <v>11.607328093252599</v>
      </c>
      <c r="AB71" t="s">
        <v>78</v>
      </c>
      <c r="AC71" t="s">
        <v>81</v>
      </c>
      <c r="AD71" t="s">
        <v>82</v>
      </c>
      <c r="AE71">
        <v>46087</v>
      </c>
      <c r="AF71">
        <v>0</v>
      </c>
      <c r="AG71">
        <v>0</v>
      </c>
      <c r="AH71">
        <v>37545</v>
      </c>
      <c r="AI71">
        <v>4016</v>
      </c>
      <c r="AJ71">
        <v>3968</v>
      </c>
      <c r="AK71">
        <v>558</v>
      </c>
      <c r="AL71">
        <v>9117</v>
      </c>
      <c r="AM71">
        <v>30481</v>
      </c>
      <c r="AN71">
        <v>90579</v>
      </c>
      <c r="AO71">
        <v>137268</v>
      </c>
      <c r="AP71">
        <v>2</v>
      </c>
      <c r="AQ71">
        <v>1</v>
      </c>
      <c r="AR71">
        <v>2</v>
      </c>
      <c r="AS71">
        <v>34</v>
      </c>
      <c r="AT71">
        <v>0</v>
      </c>
      <c r="AU71">
        <v>20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14</v>
      </c>
      <c r="BB71">
        <v>33</v>
      </c>
      <c r="BC71">
        <v>1</v>
      </c>
      <c r="BD71">
        <v>6</v>
      </c>
      <c r="BE71">
        <v>0</v>
      </c>
      <c r="BF71">
        <v>8</v>
      </c>
      <c r="BG71">
        <v>0</v>
      </c>
      <c r="BH71">
        <v>12</v>
      </c>
      <c r="BI71">
        <v>0</v>
      </c>
      <c r="BJ71">
        <v>44.8171757</v>
      </c>
      <c r="BK71">
        <v>11.6068993</v>
      </c>
      <c r="BL71">
        <v>1800</v>
      </c>
      <c r="BM71" t="s">
        <v>83</v>
      </c>
      <c r="BN71" t="s">
        <v>84</v>
      </c>
      <c r="BO71" t="s">
        <v>85</v>
      </c>
      <c r="BP71" t="s">
        <v>160</v>
      </c>
      <c r="BQ71" t="s">
        <v>170</v>
      </c>
      <c r="BR71" t="s">
        <v>615</v>
      </c>
      <c r="BS71">
        <v>921813</v>
      </c>
      <c r="BT71">
        <v>0</v>
      </c>
      <c r="BU71">
        <v>0</v>
      </c>
      <c r="BV71">
        <v>750935</v>
      </c>
      <c r="BW71">
        <v>80333</v>
      </c>
      <c r="BX71">
        <v>79370</v>
      </c>
      <c r="BY71">
        <v>11175</v>
      </c>
      <c r="BZ71">
        <v>1</v>
      </c>
      <c r="CA71" t="s">
        <v>616</v>
      </c>
      <c r="CB71" t="s">
        <v>617</v>
      </c>
      <c r="CC71" s="3">
        <v>46092.557106481479</v>
      </c>
      <c r="CD71" t="s">
        <v>91</v>
      </c>
    </row>
    <row r="72" spans="1:82" ht="16" x14ac:dyDescent="0.2">
      <c r="A72" t="s">
        <v>619</v>
      </c>
      <c r="B72" t="s">
        <v>620</v>
      </c>
      <c r="C72" t="s">
        <v>621</v>
      </c>
      <c r="D72" t="s">
        <v>78</v>
      </c>
      <c r="E72" t="s">
        <v>622</v>
      </c>
      <c r="F72">
        <v>6</v>
      </c>
      <c r="G72">
        <v>300</v>
      </c>
      <c r="H72" t="str">
        <f t="shared" si="8"/>
        <v>6x300</v>
      </c>
      <c r="I72">
        <v>359</v>
      </c>
      <c r="J72" s="4">
        <f t="shared" si="9"/>
        <v>3.3240740740740744E-2</v>
      </c>
      <c r="K72">
        <v>543</v>
      </c>
      <c r="L72" s="4">
        <f t="shared" si="10"/>
        <v>5.0277777777777782E-2</v>
      </c>
      <c r="M72">
        <v>823</v>
      </c>
      <c r="N72" s="4">
        <f t="shared" si="11"/>
        <v>7.6203703703703704E-2</v>
      </c>
      <c r="O72">
        <v>1642</v>
      </c>
      <c r="P72" s="4">
        <f t="shared" si="12"/>
        <v>0.15203703703703705</v>
      </c>
      <c r="Q72" s="6">
        <f t="shared" si="7"/>
        <v>2035</v>
      </c>
      <c r="R72" s="6">
        <f t="shared" si="13"/>
        <v>4</v>
      </c>
      <c r="S72">
        <v>304</v>
      </c>
      <c r="T72">
        <v>72</v>
      </c>
      <c r="U72">
        <v>-39</v>
      </c>
      <c r="V72">
        <v>-28</v>
      </c>
      <c r="W72">
        <v>-24</v>
      </c>
      <c r="X72">
        <v>120</v>
      </c>
      <c r="Y72" s="2" t="s">
        <v>623</v>
      </c>
      <c r="Z72">
        <v>45.787334195420001</v>
      </c>
      <c r="AA72">
        <v>8.9563561940144201</v>
      </c>
      <c r="AB72" t="s">
        <v>78</v>
      </c>
      <c r="AC72" t="s">
        <v>81</v>
      </c>
      <c r="AD72" t="s">
        <v>82</v>
      </c>
      <c r="AE72">
        <v>30697</v>
      </c>
      <c r="AF72">
        <v>0</v>
      </c>
      <c r="AG72">
        <v>10032</v>
      </c>
      <c r="AH72">
        <v>0</v>
      </c>
      <c r="AI72">
        <v>17462</v>
      </c>
      <c r="AJ72">
        <v>3203</v>
      </c>
      <c r="AK72">
        <v>0</v>
      </c>
      <c r="AL72">
        <v>4078</v>
      </c>
      <c r="AM72">
        <v>14068</v>
      </c>
      <c r="AN72">
        <v>64051</v>
      </c>
      <c r="AO72">
        <v>292516</v>
      </c>
      <c r="AP72">
        <v>2</v>
      </c>
      <c r="AQ72">
        <v>0</v>
      </c>
      <c r="AR72">
        <v>2</v>
      </c>
      <c r="AS72">
        <v>10</v>
      </c>
      <c r="AT72">
        <v>0</v>
      </c>
      <c r="AU72">
        <v>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4</v>
      </c>
      <c r="BB72">
        <v>6</v>
      </c>
      <c r="BC72">
        <v>2</v>
      </c>
      <c r="BD72">
        <v>0</v>
      </c>
      <c r="BE72">
        <v>0</v>
      </c>
      <c r="BF72">
        <v>2</v>
      </c>
      <c r="BG72">
        <v>0</v>
      </c>
      <c r="BH72">
        <v>6</v>
      </c>
      <c r="BI72">
        <v>0</v>
      </c>
      <c r="BJ72">
        <v>45.7871776</v>
      </c>
      <c r="BK72">
        <v>8.9566085999999991</v>
      </c>
      <c r="BL72">
        <v>1800</v>
      </c>
      <c r="BM72" t="s">
        <v>83</v>
      </c>
      <c r="BN72" t="s">
        <v>84</v>
      </c>
      <c r="BO72" t="s">
        <v>85</v>
      </c>
      <c r="BP72" t="s">
        <v>107</v>
      </c>
      <c r="BQ72" t="s">
        <v>108</v>
      </c>
      <c r="BR72" t="s">
        <v>281</v>
      </c>
      <c r="BS72">
        <v>613996</v>
      </c>
      <c r="BT72">
        <v>0</v>
      </c>
      <c r="BU72">
        <v>200652</v>
      </c>
      <c r="BV72">
        <v>0</v>
      </c>
      <c r="BW72">
        <v>349255</v>
      </c>
      <c r="BX72">
        <v>64089</v>
      </c>
      <c r="BY72">
        <v>0</v>
      </c>
      <c r="BZ72">
        <v>1</v>
      </c>
      <c r="CA72" t="s">
        <v>624</v>
      </c>
      <c r="CB72" t="s">
        <v>625</v>
      </c>
      <c r="CC72" s="3">
        <v>46092.557106481479</v>
      </c>
      <c r="CD72" t="s">
        <v>91</v>
      </c>
    </row>
    <row r="73" spans="1:82" ht="16" x14ac:dyDescent="0.2">
      <c r="A73" t="s">
        <v>629</v>
      </c>
      <c r="B73" t="s">
        <v>630</v>
      </c>
      <c r="C73" t="s">
        <v>631</v>
      </c>
      <c r="D73" t="s">
        <v>78</v>
      </c>
      <c r="E73" t="s">
        <v>632</v>
      </c>
      <c r="F73">
        <v>6</v>
      </c>
      <c r="G73">
        <v>300</v>
      </c>
      <c r="H73" t="str">
        <f t="shared" si="8"/>
        <v>6x300</v>
      </c>
      <c r="I73">
        <v>355</v>
      </c>
      <c r="J73" s="4">
        <f t="shared" si="9"/>
        <v>3.2870370370370369E-2</v>
      </c>
      <c r="K73">
        <v>536</v>
      </c>
      <c r="L73" s="4">
        <f t="shared" si="10"/>
        <v>4.9629629629629628E-2</v>
      </c>
      <c r="M73">
        <v>813</v>
      </c>
      <c r="N73" s="4">
        <f t="shared" si="11"/>
        <v>7.5277777777777777E-2</v>
      </c>
      <c r="O73">
        <v>1622</v>
      </c>
      <c r="P73" s="4">
        <f t="shared" si="12"/>
        <v>0.15018518518518517</v>
      </c>
      <c r="Q73" s="6">
        <f t="shared" si="7"/>
        <v>2035</v>
      </c>
      <c r="R73" s="6">
        <f t="shared" si="13"/>
        <v>4</v>
      </c>
      <c r="S73">
        <v>304</v>
      </c>
      <c r="T73">
        <v>-81</v>
      </c>
      <c r="U73">
        <v>-34</v>
      </c>
      <c r="V73">
        <v>102</v>
      </c>
      <c r="W73">
        <v>2</v>
      </c>
      <c r="X73">
        <v>111</v>
      </c>
      <c r="Y73" s="2" t="s">
        <v>633</v>
      </c>
      <c r="Z73">
        <v>40.349670000000003</v>
      </c>
      <c r="AA73">
        <v>14.996090000000001</v>
      </c>
      <c r="AB73" t="s">
        <v>78</v>
      </c>
      <c r="AC73" t="s">
        <v>81</v>
      </c>
      <c r="AD73" t="s">
        <v>82</v>
      </c>
      <c r="AE73">
        <v>15371</v>
      </c>
      <c r="AF73">
        <v>0</v>
      </c>
      <c r="AG73">
        <v>0</v>
      </c>
      <c r="AH73">
        <v>0</v>
      </c>
      <c r="AI73">
        <v>7480</v>
      </c>
      <c r="AJ73">
        <v>7891</v>
      </c>
      <c r="AK73">
        <v>0</v>
      </c>
      <c r="AL73">
        <v>9926</v>
      </c>
      <c r="AM73">
        <v>16684</v>
      </c>
      <c r="AN73">
        <v>24610</v>
      </c>
      <c r="AO73">
        <v>45727</v>
      </c>
      <c r="AP73">
        <v>7</v>
      </c>
      <c r="AQ73">
        <v>0</v>
      </c>
      <c r="AR73">
        <v>6</v>
      </c>
      <c r="AS73">
        <v>11</v>
      </c>
      <c r="AT73">
        <v>2</v>
      </c>
      <c r="AU73">
        <v>19</v>
      </c>
      <c r="AV73">
        <v>5</v>
      </c>
      <c r="AW73">
        <v>0</v>
      </c>
      <c r="AX73">
        <v>5</v>
      </c>
      <c r="AY73">
        <v>1</v>
      </c>
      <c r="AZ73">
        <v>2</v>
      </c>
      <c r="BA73">
        <v>2</v>
      </c>
      <c r="BB73">
        <v>4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40.349569199999998</v>
      </c>
      <c r="BK73">
        <v>14.9962529</v>
      </c>
      <c r="BL73">
        <v>1800</v>
      </c>
      <c r="BM73" t="s">
        <v>83</v>
      </c>
      <c r="BN73" t="s">
        <v>84</v>
      </c>
      <c r="BO73" t="s">
        <v>85</v>
      </c>
      <c r="BP73" t="s">
        <v>97</v>
      </c>
      <c r="BQ73" t="s">
        <v>98</v>
      </c>
      <c r="BR73" t="s">
        <v>634</v>
      </c>
      <c r="BS73">
        <v>307467</v>
      </c>
      <c r="BT73">
        <v>0</v>
      </c>
      <c r="BU73">
        <v>0</v>
      </c>
      <c r="BV73">
        <v>0</v>
      </c>
      <c r="BW73">
        <v>149613</v>
      </c>
      <c r="BX73">
        <v>157854</v>
      </c>
      <c r="BY73">
        <v>0</v>
      </c>
      <c r="BZ73">
        <v>1</v>
      </c>
      <c r="CA73" t="s">
        <v>635</v>
      </c>
      <c r="CB73" t="s">
        <v>636</v>
      </c>
      <c r="CC73" s="3">
        <v>46092.557106481479</v>
      </c>
      <c r="CD73" t="s">
        <v>91</v>
      </c>
    </row>
    <row r="74" spans="1:82" ht="16" x14ac:dyDescent="0.2">
      <c r="A74" t="s">
        <v>637</v>
      </c>
      <c r="B74" t="s">
        <v>638</v>
      </c>
      <c r="C74" t="s">
        <v>639</v>
      </c>
      <c r="D74" t="s">
        <v>78</v>
      </c>
      <c r="E74" t="s">
        <v>640</v>
      </c>
      <c r="F74">
        <v>6</v>
      </c>
      <c r="G74">
        <v>300</v>
      </c>
      <c r="H74" t="str">
        <f t="shared" si="8"/>
        <v>6x300</v>
      </c>
      <c r="I74">
        <v>354</v>
      </c>
      <c r="J74" s="4">
        <f t="shared" si="9"/>
        <v>3.2777777777777774E-2</v>
      </c>
      <c r="K74">
        <v>535</v>
      </c>
      <c r="L74" s="4">
        <f t="shared" si="10"/>
        <v>4.9537037037037039E-2</v>
      </c>
      <c r="M74">
        <v>812</v>
      </c>
      <c r="N74" s="4">
        <f t="shared" si="11"/>
        <v>7.5185185185185174E-2</v>
      </c>
      <c r="O74">
        <v>1620</v>
      </c>
      <c r="P74" s="4">
        <f t="shared" si="12"/>
        <v>0.15</v>
      </c>
      <c r="Q74" s="6">
        <f t="shared" si="7"/>
        <v>2035</v>
      </c>
      <c r="R74" s="6">
        <f t="shared" si="13"/>
        <v>4</v>
      </c>
      <c r="S74">
        <v>304</v>
      </c>
      <c r="T74">
        <v>-79</v>
      </c>
      <c r="U74">
        <v>36</v>
      </c>
      <c r="V74">
        <v>35</v>
      </c>
      <c r="W74">
        <v>-12</v>
      </c>
      <c r="X74">
        <v>124</v>
      </c>
      <c r="Y74" s="2" t="s">
        <v>641</v>
      </c>
      <c r="Z74">
        <v>41.446401199999997</v>
      </c>
      <c r="AA74">
        <v>15.538045</v>
      </c>
      <c r="AB74" t="s">
        <v>78</v>
      </c>
      <c r="AC74" t="s">
        <v>81</v>
      </c>
      <c r="AD74" t="s">
        <v>82</v>
      </c>
      <c r="AE74">
        <v>17376</v>
      </c>
      <c r="AF74">
        <v>0</v>
      </c>
      <c r="AG74">
        <v>0</v>
      </c>
      <c r="AH74">
        <v>0</v>
      </c>
      <c r="AI74">
        <v>6799</v>
      </c>
      <c r="AJ74">
        <v>10577</v>
      </c>
      <c r="AK74">
        <v>0</v>
      </c>
      <c r="AL74">
        <v>14311</v>
      </c>
      <c r="AM74">
        <v>75420</v>
      </c>
      <c r="AN74">
        <v>145776</v>
      </c>
      <c r="AO74">
        <v>149112</v>
      </c>
      <c r="AP74">
        <v>0</v>
      </c>
      <c r="AQ74">
        <v>0</v>
      </c>
      <c r="AR74">
        <v>6</v>
      </c>
      <c r="AS74">
        <v>0</v>
      </c>
      <c r="AT74">
        <v>0</v>
      </c>
      <c r="AU74">
        <v>3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4</v>
      </c>
      <c r="BC74">
        <v>0</v>
      </c>
      <c r="BD74">
        <v>2</v>
      </c>
      <c r="BE74">
        <v>0</v>
      </c>
      <c r="BF74">
        <v>4</v>
      </c>
      <c r="BG74">
        <v>0</v>
      </c>
      <c r="BH74">
        <v>12</v>
      </c>
      <c r="BI74">
        <v>0</v>
      </c>
      <c r="BJ74">
        <v>41.446402499999998</v>
      </c>
      <c r="BK74">
        <v>15.5380465</v>
      </c>
      <c r="BL74">
        <v>1800</v>
      </c>
      <c r="BM74" t="s">
        <v>83</v>
      </c>
      <c r="BN74" t="s">
        <v>84</v>
      </c>
      <c r="BO74" t="s">
        <v>85</v>
      </c>
      <c r="BP74" t="s">
        <v>97</v>
      </c>
      <c r="BQ74" t="s">
        <v>187</v>
      </c>
      <c r="BR74" t="s">
        <v>639</v>
      </c>
      <c r="BS74">
        <v>221510</v>
      </c>
      <c r="BT74">
        <v>0</v>
      </c>
      <c r="BU74">
        <v>0</v>
      </c>
      <c r="BV74">
        <v>0</v>
      </c>
      <c r="BW74">
        <v>84144</v>
      </c>
      <c r="BX74">
        <v>137366</v>
      </c>
      <c r="BY74">
        <v>0</v>
      </c>
      <c r="BZ74">
        <v>1</v>
      </c>
      <c r="CA74" t="s">
        <v>642</v>
      </c>
      <c r="CB74" t="s">
        <v>643</v>
      </c>
      <c r="CC74" s="3">
        <v>46092.557106481479</v>
      </c>
      <c r="CD74" t="s">
        <v>91</v>
      </c>
    </row>
    <row r="75" spans="1:82" ht="16" x14ac:dyDescent="0.2">
      <c r="A75" t="s">
        <v>644</v>
      </c>
      <c r="B75" t="s">
        <v>645</v>
      </c>
      <c r="C75" t="s">
        <v>646</v>
      </c>
      <c r="D75" t="s">
        <v>78</v>
      </c>
      <c r="E75" t="s">
        <v>647</v>
      </c>
      <c r="F75">
        <v>6</v>
      </c>
      <c r="G75">
        <v>300</v>
      </c>
      <c r="H75" t="str">
        <f t="shared" si="8"/>
        <v>6x300</v>
      </c>
      <c r="I75">
        <v>354</v>
      </c>
      <c r="J75" s="4">
        <f t="shared" si="9"/>
        <v>3.2777777777777774E-2</v>
      </c>
      <c r="K75">
        <v>535</v>
      </c>
      <c r="L75" s="4">
        <f t="shared" si="10"/>
        <v>4.9537037037037039E-2</v>
      </c>
      <c r="M75">
        <v>811</v>
      </c>
      <c r="N75" s="4">
        <f t="shared" si="11"/>
        <v>7.5092592592592586E-2</v>
      </c>
      <c r="O75">
        <v>1618</v>
      </c>
      <c r="P75" s="4">
        <f t="shared" si="12"/>
        <v>0.14981481481481482</v>
      </c>
      <c r="Q75" s="6">
        <f t="shared" si="7"/>
        <v>2035</v>
      </c>
      <c r="R75" s="6">
        <f t="shared" si="13"/>
        <v>4</v>
      </c>
      <c r="S75">
        <v>304</v>
      </c>
      <c r="T75">
        <v>43</v>
      </c>
      <c r="U75">
        <v>-29</v>
      </c>
      <c r="V75">
        <v>-39</v>
      </c>
      <c r="W75">
        <v>0</v>
      </c>
      <c r="X75">
        <v>122</v>
      </c>
      <c r="Y75" s="2" t="s">
        <v>648</v>
      </c>
      <c r="Z75">
        <v>45.185358361245001</v>
      </c>
      <c r="AA75">
        <v>11.260499013665299</v>
      </c>
      <c r="AB75" t="s">
        <v>78</v>
      </c>
      <c r="AC75" t="s">
        <v>81</v>
      </c>
      <c r="AD75" t="s">
        <v>82</v>
      </c>
      <c r="AE75">
        <v>50531</v>
      </c>
      <c r="AF75">
        <v>0</v>
      </c>
      <c r="AG75">
        <v>11713</v>
      </c>
      <c r="AH75">
        <v>28623</v>
      </c>
      <c r="AI75">
        <v>3775</v>
      </c>
      <c r="AJ75">
        <v>6111</v>
      </c>
      <c r="AK75">
        <v>309</v>
      </c>
      <c r="AL75">
        <v>704</v>
      </c>
      <c r="AM75">
        <v>4088</v>
      </c>
      <c r="AN75">
        <v>36380</v>
      </c>
      <c r="AO75">
        <v>71073</v>
      </c>
      <c r="AP75">
        <v>0</v>
      </c>
      <c r="AQ75">
        <v>0</v>
      </c>
      <c r="AR75">
        <v>5</v>
      </c>
      <c r="AS75">
        <v>4</v>
      </c>
      <c r="AT75">
        <v>3</v>
      </c>
      <c r="AU75">
        <v>28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18</v>
      </c>
      <c r="BB75">
        <v>21</v>
      </c>
      <c r="BC75">
        <v>9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45.1854899</v>
      </c>
      <c r="BK75">
        <v>11.260399899999999</v>
      </c>
      <c r="BL75">
        <v>1800</v>
      </c>
      <c r="BM75" t="s">
        <v>83</v>
      </c>
      <c r="BN75" t="s">
        <v>84</v>
      </c>
      <c r="BO75" t="s">
        <v>85</v>
      </c>
      <c r="BP75" t="s">
        <v>160</v>
      </c>
      <c r="BQ75" t="s">
        <v>161</v>
      </c>
      <c r="BR75" t="s">
        <v>162</v>
      </c>
      <c r="BS75">
        <v>1010713</v>
      </c>
      <c r="BT75">
        <v>0</v>
      </c>
      <c r="BU75">
        <v>234273</v>
      </c>
      <c r="BV75">
        <v>572489</v>
      </c>
      <c r="BW75">
        <v>75500</v>
      </c>
      <c r="BX75">
        <v>122261</v>
      </c>
      <c r="BY75">
        <v>6190</v>
      </c>
      <c r="BZ75">
        <v>1</v>
      </c>
      <c r="CA75" t="s">
        <v>649</v>
      </c>
      <c r="CB75" t="s">
        <v>650</v>
      </c>
      <c r="CC75" s="3">
        <v>46092.557106481479</v>
      </c>
      <c r="CD75" t="s">
        <v>91</v>
      </c>
    </row>
    <row r="76" spans="1:82" ht="16" x14ac:dyDescent="0.2">
      <c r="A76" t="s">
        <v>652</v>
      </c>
      <c r="B76" t="s">
        <v>653</v>
      </c>
      <c r="C76" t="s">
        <v>654</v>
      </c>
      <c r="D76" t="s">
        <v>78</v>
      </c>
      <c r="E76" t="s">
        <v>655</v>
      </c>
      <c r="F76">
        <v>6</v>
      </c>
      <c r="G76">
        <v>300</v>
      </c>
      <c r="H76" t="str">
        <f t="shared" si="8"/>
        <v>6x300</v>
      </c>
      <c r="I76">
        <v>351</v>
      </c>
      <c r="J76" s="4">
        <f t="shared" si="9"/>
        <v>3.2499999999999994E-2</v>
      </c>
      <c r="K76">
        <v>530</v>
      </c>
      <c r="L76" s="4">
        <f t="shared" si="10"/>
        <v>4.9074074074074076E-2</v>
      </c>
      <c r="M76">
        <v>804</v>
      </c>
      <c r="N76" s="4">
        <f t="shared" si="11"/>
        <v>7.4444444444444452E-2</v>
      </c>
      <c r="O76">
        <v>1605</v>
      </c>
      <c r="P76" s="4">
        <f t="shared" si="12"/>
        <v>0.14861111111111111</v>
      </c>
      <c r="Q76" s="6">
        <f t="shared" si="7"/>
        <v>2035</v>
      </c>
      <c r="R76" s="6">
        <f t="shared" si="13"/>
        <v>4</v>
      </c>
      <c r="S76">
        <v>304</v>
      </c>
      <c r="T76">
        <v>27</v>
      </c>
      <c r="U76">
        <v>-12</v>
      </c>
      <c r="V76">
        <v>-37</v>
      </c>
      <c r="W76">
        <v>1</v>
      </c>
      <c r="X76">
        <v>115</v>
      </c>
      <c r="Y76" s="2" t="s">
        <v>656</v>
      </c>
      <c r="Z76">
        <v>41.763491989999999</v>
      </c>
      <c r="AA76">
        <v>12.36043188</v>
      </c>
      <c r="AB76" t="s">
        <v>78</v>
      </c>
      <c r="AC76" t="s">
        <v>81</v>
      </c>
      <c r="AD76" t="s">
        <v>82</v>
      </c>
      <c r="AE76">
        <v>41766</v>
      </c>
      <c r="AF76">
        <v>0</v>
      </c>
      <c r="AG76">
        <v>0</v>
      </c>
      <c r="AH76">
        <v>24025</v>
      </c>
      <c r="AI76">
        <v>0</v>
      </c>
      <c r="AJ76">
        <v>0</v>
      </c>
      <c r="AK76">
        <v>17741</v>
      </c>
      <c r="AL76">
        <v>12888</v>
      </c>
      <c r="AM76">
        <v>44286</v>
      </c>
      <c r="AN76">
        <v>144990</v>
      </c>
      <c r="AO76">
        <v>361766</v>
      </c>
      <c r="AP76">
        <v>1</v>
      </c>
      <c r="AQ76">
        <v>0</v>
      </c>
      <c r="AR76">
        <v>3</v>
      </c>
      <c r="AS76">
        <v>1</v>
      </c>
      <c r="AT76">
        <v>6</v>
      </c>
      <c r="AU76">
        <v>19</v>
      </c>
      <c r="AV76">
        <v>1</v>
      </c>
      <c r="AW76">
        <v>0</v>
      </c>
      <c r="AX76">
        <v>0</v>
      </c>
      <c r="AY76">
        <v>1</v>
      </c>
      <c r="AZ76">
        <v>0</v>
      </c>
      <c r="BA76">
        <v>8</v>
      </c>
      <c r="BB76">
        <v>20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2</v>
      </c>
      <c r="BI76">
        <v>0</v>
      </c>
      <c r="BJ76">
        <v>41.7635456</v>
      </c>
      <c r="BK76">
        <v>12.3602442</v>
      </c>
      <c r="BL76">
        <v>1800</v>
      </c>
      <c r="BM76" t="s">
        <v>83</v>
      </c>
      <c r="BN76" t="s">
        <v>84</v>
      </c>
      <c r="BO76" t="s">
        <v>85</v>
      </c>
      <c r="BP76" t="s">
        <v>86</v>
      </c>
      <c r="BQ76" t="s">
        <v>87</v>
      </c>
      <c r="BR76" t="s">
        <v>88</v>
      </c>
      <c r="BS76">
        <v>835382</v>
      </c>
      <c r="BT76">
        <v>0</v>
      </c>
      <c r="BU76">
        <v>0</v>
      </c>
      <c r="BV76">
        <v>480514</v>
      </c>
      <c r="BW76">
        <v>0</v>
      </c>
      <c r="BX76">
        <v>0</v>
      </c>
      <c r="BY76">
        <v>354868</v>
      </c>
      <c r="BZ76">
        <v>1</v>
      </c>
      <c r="CA76" t="s">
        <v>657</v>
      </c>
      <c r="CB76" t="s">
        <v>658</v>
      </c>
      <c r="CC76" s="3">
        <v>46092.557106481479</v>
      </c>
      <c r="CD76" t="s">
        <v>91</v>
      </c>
    </row>
    <row r="77" spans="1:82" ht="16" x14ac:dyDescent="0.2">
      <c r="A77" t="s">
        <v>659</v>
      </c>
      <c r="B77" t="s">
        <v>660</v>
      </c>
      <c r="C77" t="s">
        <v>661</v>
      </c>
      <c r="D77" t="s">
        <v>78</v>
      </c>
      <c r="E77" t="s">
        <v>662</v>
      </c>
      <c r="F77">
        <v>6</v>
      </c>
      <c r="G77">
        <v>300</v>
      </c>
      <c r="H77" t="str">
        <f t="shared" si="8"/>
        <v>6x300</v>
      </c>
      <c r="I77">
        <v>349</v>
      </c>
      <c r="J77" s="4">
        <f t="shared" si="9"/>
        <v>3.2314814814814817E-2</v>
      </c>
      <c r="K77">
        <v>526</v>
      </c>
      <c r="L77" s="4">
        <f t="shared" si="10"/>
        <v>4.87037037037037E-2</v>
      </c>
      <c r="M77">
        <v>798</v>
      </c>
      <c r="N77" s="4">
        <f t="shared" si="11"/>
        <v>7.3888888888888893E-2</v>
      </c>
      <c r="O77">
        <v>1593</v>
      </c>
      <c r="P77" s="4">
        <f t="shared" si="12"/>
        <v>0.14749999999999999</v>
      </c>
      <c r="Q77" s="6">
        <f t="shared" si="7"/>
        <v>2035</v>
      </c>
      <c r="R77" s="6">
        <f t="shared" si="13"/>
        <v>4</v>
      </c>
      <c r="S77">
        <v>304</v>
      </c>
      <c r="T77">
        <v>18</v>
      </c>
      <c r="U77">
        <v>-30</v>
      </c>
      <c r="V77">
        <v>-16</v>
      </c>
      <c r="W77">
        <v>-3</v>
      </c>
      <c r="X77">
        <v>122</v>
      </c>
      <c r="Y77" s="2" t="s">
        <v>663</v>
      </c>
      <c r="Z77">
        <v>41.975872699999996</v>
      </c>
      <c r="AA77">
        <v>12.079630999999999</v>
      </c>
      <c r="AB77" t="s">
        <v>78</v>
      </c>
      <c r="AC77" t="s">
        <v>81</v>
      </c>
      <c r="AD77" t="s">
        <v>82</v>
      </c>
      <c r="AE77">
        <v>64716</v>
      </c>
      <c r="AF77">
        <v>44963</v>
      </c>
      <c r="AG77">
        <v>0</v>
      </c>
      <c r="AH77">
        <v>5905</v>
      </c>
      <c r="AI77">
        <v>0</v>
      </c>
      <c r="AJ77">
        <v>10902</v>
      </c>
      <c r="AK77">
        <v>2946</v>
      </c>
      <c r="AL77">
        <v>1906</v>
      </c>
      <c r="AM77">
        <v>19929</v>
      </c>
      <c r="AN77">
        <v>68266</v>
      </c>
      <c r="AO77">
        <v>81436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2</v>
      </c>
      <c r="BI77">
        <v>0</v>
      </c>
      <c r="BJ77">
        <v>41.975678700000003</v>
      </c>
      <c r="BK77">
        <v>12.080140800000001</v>
      </c>
      <c r="BL77">
        <v>1800</v>
      </c>
      <c r="BM77" t="s">
        <v>83</v>
      </c>
      <c r="BN77" t="s">
        <v>84</v>
      </c>
      <c r="BO77" t="s">
        <v>85</v>
      </c>
      <c r="BP77" t="s">
        <v>86</v>
      </c>
      <c r="BQ77" t="s">
        <v>87</v>
      </c>
      <c r="BR77" t="s">
        <v>88</v>
      </c>
      <c r="BS77">
        <v>1424058</v>
      </c>
      <c r="BT77">
        <v>1028893</v>
      </c>
      <c r="BU77">
        <v>0</v>
      </c>
      <c r="BV77">
        <v>118115</v>
      </c>
      <c r="BW77">
        <v>0</v>
      </c>
      <c r="BX77">
        <v>218105</v>
      </c>
      <c r="BY77">
        <v>58945</v>
      </c>
      <c r="BZ77">
        <v>1</v>
      </c>
      <c r="CA77" t="s">
        <v>664</v>
      </c>
      <c r="CB77" t="s">
        <v>665</v>
      </c>
      <c r="CC77" s="3">
        <v>46092.557106481479</v>
      </c>
      <c r="CD77" t="s">
        <v>91</v>
      </c>
    </row>
    <row r="78" spans="1:82" ht="16" x14ac:dyDescent="0.2">
      <c r="A78" t="s">
        <v>666</v>
      </c>
      <c r="B78" t="s">
        <v>667</v>
      </c>
      <c r="C78" t="s">
        <v>668</v>
      </c>
      <c r="D78" t="s">
        <v>78</v>
      </c>
      <c r="E78" t="s">
        <v>669</v>
      </c>
      <c r="F78">
        <v>6</v>
      </c>
      <c r="G78">
        <v>300</v>
      </c>
      <c r="H78" t="str">
        <f t="shared" si="8"/>
        <v>6x300</v>
      </c>
      <c r="I78">
        <v>347</v>
      </c>
      <c r="J78" s="4">
        <f t="shared" si="9"/>
        <v>3.2129629629629633E-2</v>
      </c>
      <c r="K78">
        <v>524</v>
      </c>
      <c r="L78" s="4">
        <f t="shared" si="10"/>
        <v>4.8518518518518516E-2</v>
      </c>
      <c r="M78">
        <v>794</v>
      </c>
      <c r="N78" s="4">
        <f t="shared" si="11"/>
        <v>7.3518518518518511E-2</v>
      </c>
      <c r="O78">
        <v>1585</v>
      </c>
      <c r="P78" s="4">
        <f t="shared" si="12"/>
        <v>0.14675925925925926</v>
      </c>
      <c r="Q78" s="6">
        <f t="shared" si="7"/>
        <v>2035</v>
      </c>
      <c r="R78" s="6">
        <f t="shared" si="13"/>
        <v>4</v>
      </c>
      <c r="S78">
        <v>304</v>
      </c>
      <c r="T78">
        <v>-64</v>
      </c>
      <c r="U78">
        <v>10</v>
      </c>
      <c r="V78">
        <v>91</v>
      </c>
      <c r="W78">
        <v>-43</v>
      </c>
      <c r="X78">
        <v>83</v>
      </c>
      <c r="Y78" s="2" t="s">
        <v>670</v>
      </c>
      <c r="Z78">
        <v>44.736400895529897</v>
      </c>
      <c r="AA78">
        <v>8.8305127779121797</v>
      </c>
      <c r="AB78" t="s">
        <v>78</v>
      </c>
      <c r="AC78" t="s">
        <v>81</v>
      </c>
      <c r="AD78" t="s">
        <v>82</v>
      </c>
      <c r="AE78">
        <v>15570</v>
      </c>
      <c r="AF78">
        <v>0</v>
      </c>
      <c r="AG78">
        <v>0</v>
      </c>
      <c r="AH78">
        <v>0</v>
      </c>
      <c r="AI78">
        <v>0</v>
      </c>
      <c r="AJ78">
        <v>15570</v>
      </c>
      <c r="AK78">
        <v>0</v>
      </c>
      <c r="AL78">
        <v>211</v>
      </c>
      <c r="AM78">
        <v>2220</v>
      </c>
      <c r="AN78">
        <v>31482</v>
      </c>
      <c r="AO78">
        <v>64842</v>
      </c>
      <c r="AP78">
        <v>0</v>
      </c>
      <c r="AQ78">
        <v>0</v>
      </c>
      <c r="AR78">
        <v>7</v>
      </c>
      <c r="AS78">
        <v>12</v>
      </c>
      <c r="AT78">
        <v>2</v>
      </c>
      <c r="AU78">
        <v>7</v>
      </c>
      <c r="AV78">
        <v>1</v>
      </c>
      <c r="AW78">
        <v>0</v>
      </c>
      <c r="AX78">
        <v>2</v>
      </c>
      <c r="AY78">
        <v>0</v>
      </c>
      <c r="AZ78">
        <v>0</v>
      </c>
      <c r="BA78">
        <v>15</v>
      </c>
      <c r="BB78">
        <v>17</v>
      </c>
      <c r="BC78">
        <v>10</v>
      </c>
      <c r="BD78">
        <v>2</v>
      </c>
      <c r="BE78">
        <v>0</v>
      </c>
      <c r="BF78">
        <v>8</v>
      </c>
      <c r="BG78">
        <v>8</v>
      </c>
      <c r="BH78">
        <v>8</v>
      </c>
      <c r="BI78">
        <v>8</v>
      </c>
      <c r="BJ78">
        <v>44.736418800000003</v>
      </c>
      <c r="BK78">
        <v>8.8305284000000004</v>
      </c>
      <c r="BL78">
        <v>1800</v>
      </c>
      <c r="BM78" t="s">
        <v>83</v>
      </c>
      <c r="BN78" t="s">
        <v>84</v>
      </c>
      <c r="BO78" t="s">
        <v>85</v>
      </c>
      <c r="BP78" t="s">
        <v>107</v>
      </c>
      <c r="BQ78" t="s">
        <v>203</v>
      </c>
      <c r="BR78" t="s">
        <v>671</v>
      </c>
      <c r="BS78">
        <v>311408</v>
      </c>
      <c r="BT78">
        <v>0</v>
      </c>
      <c r="BU78">
        <v>0</v>
      </c>
      <c r="BV78">
        <v>0</v>
      </c>
      <c r="BW78">
        <v>0</v>
      </c>
      <c r="BX78">
        <v>311408</v>
      </c>
      <c r="BY78">
        <v>0</v>
      </c>
      <c r="BZ78">
        <v>1</v>
      </c>
      <c r="CA78" t="s">
        <v>672</v>
      </c>
      <c r="CB78" t="s">
        <v>673</v>
      </c>
      <c r="CC78" s="3">
        <v>46092.557106481479</v>
      </c>
      <c r="CD78" t="s">
        <v>91</v>
      </c>
    </row>
    <row r="79" spans="1:82" ht="16" x14ac:dyDescent="0.2">
      <c r="A79" t="s">
        <v>674</v>
      </c>
      <c r="B79" t="s">
        <v>675</v>
      </c>
      <c r="C79" t="s">
        <v>676</v>
      </c>
      <c r="D79" t="s">
        <v>78</v>
      </c>
      <c r="E79" t="s">
        <v>677</v>
      </c>
      <c r="F79">
        <v>6</v>
      </c>
      <c r="G79">
        <v>300</v>
      </c>
      <c r="H79" t="str">
        <f t="shared" si="8"/>
        <v>6x300</v>
      </c>
      <c r="I79">
        <v>346</v>
      </c>
      <c r="J79" s="4">
        <f t="shared" si="9"/>
        <v>3.2037037037037037E-2</v>
      </c>
      <c r="K79">
        <v>523</v>
      </c>
      <c r="L79" s="4">
        <f t="shared" si="10"/>
        <v>4.8425925925925928E-2</v>
      </c>
      <c r="M79">
        <v>793</v>
      </c>
      <c r="N79" s="4">
        <f t="shared" si="11"/>
        <v>7.3425925925925936E-2</v>
      </c>
      <c r="O79">
        <v>1583</v>
      </c>
      <c r="P79" s="4">
        <f t="shared" si="12"/>
        <v>0.14657407407407405</v>
      </c>
      <c r="Q79" s="6">
        <f t="shared" si="7"/>
        <v>2035</v>
      </c>
      <c r="R79" s="6">
        <f t="shared" si="13"/>
        <v>4</v>
      </c>
      <c r="S79">
        <v>304</v>
      </c>
      <c r="T79">
        <v>10</v>
      </c>
      <c r="U79">
        <v>-30</v>
      </c>
      <c r="V79">
        <v>3</v>
      </c>
      <c r="W79">
        <v>-9</v>
      </c>
      <c r="X79">
        <v>111</v>
      </c>
      <c r="Y79" s="2" t="s">
        <v>678</v>
      </c>
      <c r="Z79">
        <v>41.754345049293299</v>
      </c>
      <c r="AA79">
        <v>12.618595604901399</v>
      </c>
      <c r="AB79" t="s">
        <v>78</v>
      </c>
      <c r="AC79" t="s">
        <v>81</v>
      </c>
      <c r="AD79" t="s">
        <v>82</v>
      </c>
      <c r="AE79">
        <v>79329</v>
      </c>
      <c r="AF79">
        <v>0</v>
      </c>
      <c r="AG79">
        <v>0</v>
      </c>
      <c r="AH79">
        <v>67704</v>
      </c>
      <c r="AI79">
        <v>2749</v>
      </c>
      <c r="AJ79">
        <v>7060</v>
      </c>
      <c r="AK79">
        <v>1816</v>
      </c>
      <c r="AL79">
        <v>3453</v>
      </c>
      <c r="AM79">
        <v>14937</v>
      </c>
      <c r="AN79">
        <v>99574</v>
      </c>
      <c r="AO79">
        <v>322758</v>
      </c>
      <c r="AP79">
        <v>0</v>
      </c>
      <c r="AQ79">
        <v>0</v>
      </c>
      <c r="AR79">
        <v>5</v>
      </c>
      <c r="AS79">
        <v>1</v>
      </c>
      <c r="AT79">
        <v>1</v>
      </c>
      <c r="AU79">
        <v>12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2</v>
      </c>
      <c r="BG79">
        <v>0</v>
      </c>
      <c r="BH79">
        <v>4</v>
      </c>
      <c r="BI79">
        <v>0</v>
      </c>
      <c r="BJ79">
        <v>41.754139899999998</v>
      </c>
      <c r="BK79">
        <v>12.618279899999999</v>
      </c>
      <c r="BL79">
        <v>1800</v>
      </c>
      <c r="BM79" t="s">
        <v>83</v>
      </c>
      <c r="BN79" t="s">
        <v>84</v>
      </c>
      <c r="BO79" t="s">
        <v>85</v>
      </c>
      <c r="BP79" t="s">
        <v>86</v>
      </c>
      <c r="BQ79" t="s">
        <v>87</v>
      </c>
      <c r="BR79" t="s">
        <v>88</v>
      </c>
      <c r="BS79">
        <v>1043729</v>
      </c>
      <c r="BT79">
        <v>0</v>
      </c>
      <c r="BU79">
        <v>0</v>
      </c>
      <c r="BV79">
        <v>811180</v>
      </c>
      <c r="BW79">
        <v>54993</v>
      </c>
      <c r="BX79">
        <v>141219</v>
      </c>
      <c r="BY79">
        <v>36337</v>
      </c>
      <c r="BZ79">
        <v>1</v>
      </c>
      <c r="CA79" t="s">
        <v>679</v>
      </c>
      <c r="CB79" t="s">
        <v>680</v>
      </c>
      <c r="CC79" s="3">
        <v>46092.557106481479</v>
      </c>
      <c r="CD79" t="s">
        <v>91</v>
      </c>
    </row>
    <row r="80" spans="1:82" ht="16" x14ac:dyDescent="0.2">
      <c r="A80" t="s">
        <v>681</v>
      </c>
      <c r="B80" t="s">
        <v>682</v>
      </c>
      <c r="C80" t="s">
        <v>683</v>
      </c>
      <c r="D80" t="s">
        <v>78</v>
      </c>
      <c r="E80" t="s">
        <v>684</v>
      </c>
      <c r="F80">
        <v>6</v>
      </c>
      <c r="G80">
        <v>300</v>
      </c>
      <c r="H80" t="str">
        <f t="shared" si="8"/>
        <v>6x300</v>
      </c>
      <c r="I80">
        <v>343</v>
      </c>
      <c r="J80" s="4">
        <f t="shared" si="9"/>
        <v>3.1759259259259258E-2</v>
      </c>
      <c r="K80">
        <v>518</v>
      </c>
      <c r="L80" s="4">
        <f t="shared" si="10"/>
        <v>4.7962962962962957E-2</v>
      </c>
      <c r="M80">
        <v>786</v>
      </c>
      <c r="N80" s="4">
        <f t="shared" si="11"/>
        <v>7.2777777777777788E-2</v>
      </c>
      <c r="O80">
        <v>1569</v>
      </c>
      <c r="P80" s="4">
        <f t="shared" si="12"/>
        <v>0.14527777777777778</v>
      </c>
      <c r="Q80" s="6">
        <f t="shared" si="7"/>
        <v>2035</v>
      </c>
      <c r="R80" s="6">
        <f t="shared" si="13"/>
        <v>4</v>
      </c>
      <c r="S80">
        <v>304</v>
      </c>
      <c r="T80">
        <v>81</v>
      </c>
      <c r="U80">
        <v>-62</v>
      </c>
      <c r="V80">
        <v>-40</v>
      </c>
      <c r="W80">
        <v>-22</v>
      </c>
      <c r="X80">
        <v>135</v>
      </c>
      <c r="Y80" s="2" t="s">
        <v>685</v>
      </c>
      <c r="Z80">
        <v>45.506599999999999</v>
      </c>
      <c r="AA80">
        <v>12.63334</v>
      </c>
      <c r="AB80" t="s">
        <v>78</v>
      </c>
      <c r="AC80" t="s">
        <v>81</v>
      </c>
      <c r="AD80" t="s">
        <v>82</v>
      </c>
      <c r="AE80">
        <v>54684</v>
      </c>
      <c r="AF80">
        <v>0</v>
      </c>
      <c r="AG80">
        <v>0</v>
      </c>
      <c r="AH80">
        <v>0</v>
      </c>
      <c r="AI80">
        <v>22591</v>
      </c>
      <c r="AJ80">
        <v>10663</v>
      </c>
      <c r="AK80">
        <v>21430</v>
      </c>
      <c r="AL80">
        <v>2652</v>
      </c>
      <c r="AM80">
        <v>6011</v>
      </c>
      <c r="AN80">
        <v>21319</v>
      </c>
      <c r="AO80">
        <v>36316</v>
      </c>
      <c r="AP80">
        <v>5</v>
      </c>
      <c r="AQ80">
        <v>5</v>
      </c>
      <c r="AR80">
        <v>4</v>
      </c>
      <c r="AS80">
        <v>9</v>
      </c>
      <c r="AT80">
        <v>0</v>
      </c>
      <c r="AU80">
        <v>28</v>
      </c>
      <c r="AV80">
        <v>0</v>
      </c>
      <c r="AW80">
        <v>2</v>
      </c>
      <c r="AX80">
        <v>1</v>
      </c>
      <c r="AY80">
        <v>0</v>
      </c>
      <c r="AZ80">
        <v>2</v>
      </c>
      <c r="BA80">
        <v>17</v>
      </c>
      <c r="BB80">
        <v>28</v>
      </c>
      <c r="BC80">
        <v>14</v>
      </c>
      <c r="BD80">
        <v>0</v>
      </c>
      <c r="BE80">
        <v>0</v>
      </c>
      <c r="BF80">
        <v>0</v>
      </c>
      <c r="BG80">
        <v>2</v>
      </c>
      <c r="BH80">
        <v>0</v>
      </c>
      <c r="BI80">
        <v>2</v>
      </c>
      <c r="BJ80">
        <v>45.506634599999998</v>
      </c>
      <c r="BK80">
        <v>12.6333669</v>
      </c>
      <c r="BL80">
        <v>1800</v>
      </c>
      <c r="BM80" t="s">
        <v>83</v>
      </c>
      <c r="BN80" t="s">
        <v>84</v>
      </c>
      <c r="BO80" t="s">
        <v>85</v>
      </c>
      <c r="BP80" t="s">
        <v>160</v>
      </c>
      <c r="BQ80" t="s">
        <v>161</v>
      </c>
      <c r="BR80" t="s">
        <v>343</v>
      </c>
      <c r="BS80">
        <v>1035423</v>
      </c>
      <c r="BT80">
        <v>0</v>
      </c>
      <c r="BU80">
        <v>0</v>
      </c>
      <c r="BV80">
        <v>0</v>
      </c>
      <c r="BW80">
        <v>451844</v>
      </c>
      <c r="BX80">
        <v>213278</v>
      </c>
      <c r="BY80">
        <v>370301</v>
      </c>
      <c r="BZ80">
        <v>1</v>
      </c>
      <c r="CA80" t="s">
        <v>686</v>
      </c>
      <c r="CB80" t="s">
        <v>687</v>
      </c>
      <c r="CC80" s="3">
        <v>46092.557106481479</v>
      </c>
      <c r="CD80" t="s">
        <v>91</v>
      </c>
    </row>
    <row r="81" spans="1:82" ht="16" x14ac:dyDescent="0.2">
      <c r="A81" t="s">
        <v>688</v>
      </c>
      <c r="B81" t="s">
        <v>689</v>
      </c>
      <c r="C81" t="s">
        <v>690</v>
      </c>
      <c r="D81" t="s">
        <v>78</v>
      </c>
      <c r="E81" t="s">
        <v>691</v>
      </c>
      <c r="F81">
        <v>6</v>
      </c>
      <c r="G81">
        <v>300</v>
      </c>
      <c r="H81" t="str">
        <f t="shared" si="8"/>
        <v>6x300</v>
      </c>
      <c r="I81">
        <v>338</v>
      </c>
      <c r="J81" s="4">
        <f t="shared" si="9"/>
        <v>3.1296296296296301E-2</v>
      </c>
      <c r="K81">
        <v>511</v>
      </c>
      <c r="L81" s="4">
        <f t="shared" si="10"/>
        <v>4.7314814814814816E-2</v>
      </c>
      <c r="M81">
        <v>775</v>
      </c>
      <c r="N81" s="4">
        <f t="shared" si="11"/>
        <v>7.1759259259259259E-2</v>
      </c>
      <c r="O81">
        <v>1546</v>
      </c>
      <c r="P81" s="4">
        <f t="shared" si="12"/>
        <v>0.14314814814814816</v>
      </c>
      <c r="Q81" s="6">
        <f t="shared" si="7"/>
        <v>2035</v>
      </c>
      <c r="R81" s="6">
        <f t="shared" si="13"/>
        <v>4</v>
      </c>
      <c r="S81">
        <v>304</v>
      </c>
      <c r="T81">
        <v>-49</v>
      </c>
      <c r="U81">
        <v>11</v>
      </c>
      <c r="V81">
        <v>8</v>
      </c>
      <c r="W81">
        <v>-7</v>
      </c>
      <c r="X81">
        <v>120</v>
      </c>
      <c r="Y81" s="2" t="s">
        <v>692</v>
      </c>
      <c r="Z81">
        <v>45.656489999999998</v>
      </c>
      <c r="AA81">
        <v>8.9792100000000001</v>
      </c>
      <c r="AB81" t="s">
        <v>78</v>
      </c>
      <c r="AC81" t="s">
        <v>81</v>
      </c>
      <c r="AD81" t="s">
        <v>82</v>
      </c>
      <c r="AE81">
        <v>30923</v>
      </c>
      <c r="AF81">
        <v>0</v>
      </c>
      <c r="AG81">
        <v>0</v>
      </c>
      <c r="AH81">
        <v>15919</v>
      </c>
      <c r="AI81">
        <v>0</v>
      </c>
      <c r="AJ81">
        <v>12249</v>
      </c>
      <c r="AK81">
        <v>2755</v>
      </c>
      <c r="AL81">
        <v>5823</v>
      </c>
      <c r="AM81">
        <v>17463</v>
      </c>
      <c r="AN81">
        <v>78680</v>
      </c>
      <c r="AO81">
        <v>437875</v>
      </c>
      <c r="AP81">
        <v>3</v>
      </c>
      <c r="AQ81">
        <v>0</v>
      </c>
      <c r="AR81">
        <v>3</v>
      </c>
      <c r="AS81">
        <v>5</v>
      </c>
      <c r="AT81">
        <v>0</v>
      </c>
      <c r="AU81">
        <v>20</v>
      </c>
      <c r="AV81">
        <v>17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8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45.656741199999999</v>
      </c>
      <c r="BK81">
        <v>8.9791789000000009</v>
      </c>
      <c r="BL81">
        <v>1800</v>
      </c>
      <c r="BM81" t="s">
        <v>83</v>
      </c>
      <c r="BN81" t="s">
        <v>84</v>
      </c>
      <c r="BO81" t="s">
        <v>85</v>
      </c>
      <c r="BP81" t="s">
        <v>107</v>
      </c>
      <c r="BQ81" t="s">
        <v>108</v>
      </c>
      <c r="BR81" t="s">
        <v>305</v>
      </c>
      <c r="BS81">
        <v>618624</v>
      </c>
      <c r="BT81">
        <v>0</v>
      </c>
      <c r="BU81">
        <v>0</v>
      </c>
      <c r="BV81">
        <v>318384</v>
      </c>
      <c r="BW81">
        <v>0</v>
      </c>
      <c r="BX81">
        <v>245107</v>
      </c>
      <c r="BY81">
        <v>55133</v>
      </c>
      <c r="BZ81">
        <v>1</v>
      </c>
      <c r="CA81" t="s">
        <v>693</v>
      </c>
      <c r="CB81" t="s">
        <v>694</v>
      </c>
      <c r="CC81" s="3">
        <v>46092.557106481479</v>
      </c>
      <c r="CD81" t="s">
        <v>91</v>
      </c>
    </row>
    <row r="82" spans="1:82" ht="16" x14ac:dyDescent="0.2">
      <c r="A82" t="s">
        <v>695</v>
      </c>
      <c r="B82" t="s">
        <v>696</v>
      </c>
      <c r="C82" t="s">
        <v>697</v>
      </c>
      <c r="D82" t="s">
        <v>78</v>
      </c>
      <c r="E82" t="s">
        <v>698</v>
      </c>
      <c r="F82">
        <v>6</v>
      </c>
      <c r="G82">
        <v>300</v>
      </c>
      <c r="H82" t="str">
        <f t="shared" si="8"/>
        <v>6x300</v>
      </c>
      <c r="I82">
        <v>338</v>
      </c>
      <c r="J82" s="4">
        <f t="shared" si="9"/>
        <v>3.1296296296296301E-2</v>
      </c>
      <c r="K82">
        <v>511</v>
      </c>
      <c r="L82" s="4">
        <f t="shared" si="10"/>
        <v>4.7314814814814816E-2</v>
      </c>
      <c r="M82">
        <v>774</v>
      </c>
      <c r="N82" s="4">
        <f t="shared" si="11"/>
        <v>7.166666666666667E-2</v>
      </c>
      <c r="O82">
        <v>1546</v>
      </c>
      <c r="P82" s="4">
        <f t="shared" si="12"/>
        <v>0.14314814814814816</v>
      </c>
      <c r="Q82" s="6">
        <f t="shared" si="7"/>
        <v>2035</v>
      </c>
      <c r="R82" s="6">
        <f t="shared" si="13"/>
        <v>4</v>
      </c>
      <c r="S82">
        <v>304</v>
      </c>
      <c r="T82">
        <v>4</v>
      </c>
      <c r="U82">
        <v>-5</v>
      </c>
      <c r="V82">
        <v>-20</v>
      </c>
      <c r="W82">
        <v>-21</v>
      </c>
      <c r="X82">
        <v>129</v>
      </c>
      <c r="Y82" s="2" t="s">
        <v>699</v>
      </c>
      <c r="Z82">
        <v>45.080591811177499</v>
      </c>
      <c r="AA82">
        <v>7.5080043720537404</v>
      </c>
      <c r="AB82" t="s">
        <v>78</v>
      </c>
      <c r="AC82" t="s">
        <v>81</v>
      </c>
      <c r="AD82" t="s">
        <v>82</v>
      </c>
      <c r="AE82">
        <v>58901</v>
      </c>
      <c r="AF82">
        <v>41622</v>
      </c>
      <c r="AG82">
        <v>0</v>
      </c>
      <c r="AH82">
        <v>7958</v>
      </c>
      <c r="AI82">
        <v>0</v>
      </c>
      <c r="AJ82">
        <v>4080</v>
      </c>
      <c r="AK82">
        <v>5241</v>
      </c>
      <c r="AL82">
        <v>7518</v>
      </c>
      <c r="AM82">
        <v>28395</v>
      </c>
      <c r="AN82">
        <v>114506</v>
      </c>
      <c r="AO82">
        <v>389225</v>
      </c>
      <c r="AP82">
        <v>8</v>
      </c>
      <c r="AQ82">
        <v>0</v>
      </c>
      <c r="AR82">
        <v>2</v>
      </c>
      <c r="AS82">
        <v>3</v>
      </c>
      <c r="AT82">
        <v>0</v>
      </c>
      <c r="AU82">
        <v>31</v>
      </c>
      <c r="AV82">
        <v>10</v>
      </c>
      <c r="AW82">
        <v>2</v>
      </c>
      <c r="AX82">
        <v>1</v>
      </c>
      <c r="AY82">
        <v>1</v>
      </c>
      <c r="AZ82">
        <v>2</v>
      </c>
      <c r="BA82">
        <v>5</v>
      </c>
      <c r="BB82">
        <v>9</v>
      </c>
      <c r="BC82">
        <v>0</v>
      </c>
      <c r="BD82">
        <v>0</v>
      </c>
      <c r="BE82">
        <v>6</v>
      </c>
      <c r="BF82">
        <v>2</v>
      </c>
      <c r="BG82">
        <v>6</v>
      </c>
      <c r="BH82">
        <v>2</v>
      </c>
      <c r="BI82">
        <v>6</v>
      </c>
      <c r="BJ82">
        <v>45.080570000000002</v>
      </c>
      <c r="BK82">
        <v>7.508</v>
      </c>
      <c r="BL82">
        <v>1800</v>
      </c>
      <c r="BM82" t="s">
        <v>83</v>
      </c>
      <c r="BN82" t="s">
        <v>84</v>
      </c>
      <c r="BO82" t="s">
        <v>85</v>
      </c>
      <c r="BP82" t="s">
        <v>107</v>
      </c>
      <c r="BQ82" t="s">
        <v>203</v>
      </c>
      <c r="BR82" t="s">
        <v>204</v>
      </c>
      <c r="BS82">
        <v>1296532</v>
      </c>
      <c r="BT82">
        <v>950898</v>
      </c>
      <c r="BU82">
        <v>0</v>
      </c>
      <c r="BV82">
        <v>159193</v>
      </c>
      <c r="BW82">
        <v>0</v>
      </c>
      <c r="BX82">
        <v>81619</v>
      </c>
      <c r="BY82">
        <v>104822</v>
      </c>
      <c r="BZ82">
        <v>1</v>
      </c>
      <c r="CA82" t="s">
        <v>700</v>
      </c>
      <c r="CB82" t="s">
        <v>701</v>
      </c>
      <c r="CC82" s="3">
        <v>46092.557106481479</v>
      </c>
      <c r="CD82" t="s">
        <v>91</v>
      </c>
    </row>
    <row r="83" spans="1:82" ht="16" x14ac:dyDescent="0.2">
      <c r="A83" t="s">
        <v>702</v>
      </c>
      <c r="B83" t="s">
        <v>703</v>
      </c>
      <c r="C83" t="s">
        <v>704</v>
      </c>
      <c r="D83" t="s">
        <v>78</v>
      </c>
      <c r="E83" t="s">
        <v>705</v>
      </c>
      <c r="F83">
        <v>6</v>
      </c>
      <c r="G83">
        <v>300</v>
      </c>
      <c r="H83" t="str">
        <f t="shared" si="8"/>
        <v>6x300</v>
      </c>
      <c r="I83">
        <v>333</v>
      </c>
      <c r="J83" s="4">
        <f t="shared" si="9"/>
        <v>3.0833333333333338E-2</v>
      </c>
      <c r="K83">
        <v>502</v>
      </c>
      <c r="L83" s="4">
        <f t="shared" si="10"/>
        <v>4.6481481481481485E-2</v>
      </c>
      <c r="M83">
        <v>762</v>
      </c>
      <c r="N83" s="4">
        <f t="shared" si="11"/>
        <v>7.0555555555555552E-2</v>
      </c>
      <c r="O83">
        <v>1520</v>
      </c>
      <c r="P83" s="4">
        <f t="shared" si="12"/>
        <v>0.14074074074074075</v>
      </c>
      <c r="Q83" s="6">
        <f t="shared" si="7"/>
        <v>2035</v>
      </c>
      <c r="R83" s="6">
        <f t="shared" si="13"/>
        <v>4</v>
      </c>
      <c r="S83">
        <v>304</v>
      </c>
      <c r="T83">
        <v>-36</v>
      </c>
      <c r="U83">
        <v>-29</v>
      </c>
      <c r="V83">
        <v>15</v>
      </c>
      <c r="W83">
        <v>2</v>
      </c>
      <c r="X83">
        <v>123</v>
      </c>
      <c r="Y83" s="2" t="s">
        <v>706</v>
      </c>
      <c r="Z83">
        <v>42.051982428722503</v>
      </c>
      <c r="AA83">
        <v>11.820677321688899</v>
      </c>
      <c r="AB83" t="s">
        <v>78</v>
      </c>
      <c r="AC83" t="s">
        <v>81</v>
      </c>
      <c r="AD83" t="s">
        <v>82</v>
      </c>
      <c r="AE83">
        <v>38062</v>
      </c>
      <c r="AF83">
        <v>15356</v>
      </c>
      <c r="AG83">
        <v>0</v>
      </c>
      <c r="AH83">
        <v>22706</v>
      </c>
      <c r="AI83">
        <v>0</v>
      </c>
      <c r="AJ83">
        <v>0</v>
      </c>
      <c r="AK83">
        <v>0</v>
      </c>
      <c r="AL83">
        <v>770</v>
      </c>
      <c r="AM83">
        <v>3811</v>
      </c>
      <c r="AN83">
        <v>44080</v>
      </c>
      <c r="AO83">
        <v>69105</v>
      </c>
      <c r="AP83">
        <v>0</v>
      </c>
      <c r="AQ83">
        <v>1</v>
      </c>
      <c r="AR83">
        <v>3</v>
      </c>
      <c r="AS83">
        <v>8</v>
      </c>
      <c r="AT83">
        <v>2</v>
      </c>
      <c r="AU83">
        <v>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42.0520122</v>
      </c>
      <c r="BK83">
        <v>11.820933800000001</v>
      </c>
      <c r="BL83">
        <v>1800</v>
      </c>
      <c r="BM83" t="s">
        <v>83</v>
      </c>
      <c r="BN83" t="s">
        <v>84</v>
      </c>
      <c r="BO83" t="s">
        <v>85</v>
      </c>
      <c r="BP83" t="s">
        <v>86</v>
      </c>
      <c r="BQ83" t="s">
        <v>87</v>
      </c>
      <c r="BR83" t="s">
        <v>88</v>
      </c>
      <c r="BS83">
        <v>761249</v>
      </c>
      <c r="BT83">
        <v>307120</v>
      </c>
      <c r="BU83">
        <v>0</v>
      </c>
      <c r="BV83">
        <v>454129</v>
      </c>
      <c r="BW83">
        <v>0</v>
      </c>
      <c r="BX83">
        <v>0</v>
      </c>
      <c r="BY83">
        <v>0</v>
      </c>
      <c r="BZ83">
        <v>1</v>
      </c>
      <c r="CA83" t="s">
        <v>707</v>
      </c>
      <c r="CB83" t="s">
        <v>708</v>
      </c>
      <c r="CC83" s="3">
        <v>46092.557106481479</v>
      </c>
      <c r="CD83" t="s">
        <v>91</v>
      </c>
    </row>
    <row r="84" spans="1:82" ht="16" x14ac:dyDescent="0.2">
      <c r="A84" t="s">
        <v>709</v>
      </c>
      <c r="B84" t="s">
        <v>710</v>
      </c>
      <c r="C84" t="s">
        <v>711</v>
      </c>
      <c r="D84" t="s">
        <v>78</v>
      </c>
      <c r="E84" t="s">
        <v>712</v>
      </c>
      <c r="F84">
        <v>6</v>
      </c>
      <c r="G84">
        <v>300</v>
      </c>
      <c r="H84" t="str">
        <f t="shared" si="8"/>
        <v>6x300</v>
      </c>
      <c r="I84">
        <v>333</v>
      </c>
      <c r="J84" s="4">
        <f t="shared" si="9"/>
        <v>3.0833333333333338E-2</v>
      </c>
      <c r="K84">
        <v>502</v>
      </c>
      <c r="L84" s="4">
        <f t="shared" si="10"/>
        <v>4.6481481481481485E-2</v>
      </c>
      <c r="M84">
        <v>762</v>
      </c>
      <c r="N84" s="4">
        <f t="shared" si="11"/>
        <v>7.0555555555555552E-2</v>
      </c>
      <c r="O84">
        <v>1520</v>
      </c>
      <c r="P84" s="4">
        <f t="shared" si="12"/>
        <v>0.14074074074074075</v>
      </c>
      <c r="Q84" s="6">
        <f t="shared" si="7"/>
        <v>2035</v>
      </c>
      <c r="R84" s="6">
        <f t="shared" si="13"/>
        <v>4</v>
      </c>
      <c r="S84">
        <v>304</v>
      </c>
      <c r="T84">
        <v>67</v>
      </c>
      <c r="U84">
        <v>-48</v>
      </c>
      <c r="V84">
        <v>-20</v>
      </c>
      <c r="W84">
        <v>-50</v>
      </c>
      <c r="X84">
        <v>135</v>
      </c>
      <c r="Y84" s="2" t="s">
        <v>713</v>
      </c>
      <c r="Z84">
        <v>44.8507800324629</v>
      </c>
      <c r="AA84">
        <v>11.5884411336803</v>
      </c>
      <c r="AB84" t="s">
        <v>78</v>
      </c>
      <c r="AC84" t="s">
        <v>81</v>
      </c>
      <c r="AD84" t="s">
        <v>82</v>
      </c>
      <c r="AE84">
        <v>60912</v>
      </c>
      <c r="AF84">
        <v>0</v>
      </c>
      <c r="AG84">
        <v>0</v>
      </c>
      <c r="AH84">
        <v>36566</v>
      </c>
      <c r="AI84">
        <v>17769</v>
      </c>
      <c r="AJ84">
        <v>6049</v>
      </c>
      <c r="AK84">
        <v>528</v>
      </c>
      <c r="AL84">
        <v>3028</v>
      </c>
      <c r="AM84">
        <v>14887</v>
      </c>
      <c r="AN84">
        <v>91778</v>
      </c>
      <c r="AO84">
        <v>137478</v>
      </c>
      <c r="AP84">
        <v>1</v>
      </c>
      <c r="AQ84">
        <v>0</v>
      </c>
      <c r="AR84">
        <v>3</v>
      </c>
      <c r="AS84">
        <v>9</v>
      </c>
      <c r="AT84">
        <v>2</v>
      </c>
      <c r="AU84">
        <v>30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9</v>
      </c>
      <c r="BB84">
        <v>35</v>
      </c>
      <c r="BC84">
        <v>5</v>
      </c>
      <c r="BD84">
        <v>0</v>
      </c>
      <c r="BE84">
        <v>2</v>
      </c>
      <c r="BF84">
        <v>2</v>
      </c>
      <c r="BG84">
        <v>2</v>
      </c>
      <c r="BH84">
        <v>16</v>
      </c>
      <c r="BI84">
        <v>2</v>
      </c>
      <c r="BJ84">
        <v>44.850640200000001</v>
      </c>
      <c r="BK84">
        <v>11.5881738</v>
      </c>
      <c r="BL84">
        <v>1800</v>
      </c>
      <c r="BM84" t="s">
        <v>83</v>
      </c>
      <c r="BN84" t="s">
        <v>84</v>
      </c>
      <c r="BO84" t="s">
        <v>85</v>
      </c>
      <c r="BP84" t="s">
        <v>160</v>
      </c>
      <c r="BQ84" t="s">
        <v>170</v>
      </c>
      <c r="BR84" t="s">
        <v>615</v>
      </c>
      <c r="BS84">
        <v>1165015</v>
      </c>
      <c r="BT84">
        <v>0</v>
      </c>
      <c r="BU84">
        <v>0</v>
      </c>
      <c r="BV84">
        <v>678017</v>
      </c>
      <c r="BW84">
        <v>355418</v>
      </c>
      <c r="BX84">
        <v>121013</v>
      </c>
      <c r="BY84">
        <v>10567</v>
      </c>
      <c r="BZ84">
        <v>1</v>
      </c>
      <c r="CA84" t="s">
        <v>714</v>
      </c>
      <c r="CB84" t="s">
        <v>715</v>
      </c>
      <c r="CC84" s="3">
        <v>46092.557106481479</v>
      </c>
      <c r="CD84" t="s">
        <v>91</v>
      </c>
    </row>
    <row r="85" spans="1:82" ht="16" x14ac:dyDescent="0.2">
      <c r="A85" t="s">
        <v>717</v>
      </c>
      <c r="B85" t="s">
        <v>718</v>
      </c>
      <c r="C85" t="s">
        <v>719</v>
      </c>
      <c r="D85" t="s">
        <v>78</v>
      </c>
      <c r="E85" t="s">
        <v>720</v>
      </c>
      <c r="F85">
        <v>6</v>
      </c>
      <c r="G85">
        <v>300</v>
      </c>
      <c r="H85" t="str">
        <f t="shared" si="8"/>
        <v>6x300</v>
      </c>
      <c r="I85">
        <v>329</v>
      </c>
      <c r="J85" s="4">
        <f t="shared" si="9"/>
        <v>3.0462962962962966E-2</v>
      </c>
      <c r="K85">
        <v>496</v>
      </c>
      <c r="L85" s="4">
        <f t="shared" si="10"/>
        <v>4.5925925925925926E-2</v>
      </c>
      <c r="M85">
        <v>752</v>
      </c>
      <c r="N85" s="4">
        <f t="shared" si="11"/>
        <v>6.9629629629629639E-2</v>
      </c>
      <c r="O85">
        <v>1502</v>
      </c>
      <c r="P85" s="4">
        <f t="shared" si="12"/>
        <v>0.13907407407407407</v>
      </c>
      <c r="Q85" s="6" t="str">
        <f t="shared" si="7"/>
        <v>later</v>
      </c>
      <c r="R85" s="6">
        <f t="shared" si="13"/>
        <v>666</v>
      </c>
      <c r="S85">
        <v>304</v>
      </c>
      <c r="T85">
        <v>1</v>
      </c>
      <c r="U85">
        <v>-32</v>
      </c>
      <c r="V85">
        <v>-17</v>
      </c>
      <c r="W85">
        <v>4</v>
      </c>
      <c r="X85">
        <v>107</v>
      </c>
      <c r="Y85" s="2" t="s">
        <v>721</v>
      </c>
      <c r="Z85">
        <v>42.771929999999998</v>
      </c>
      <c r="AA85">
        <v>11.10685</v>
      </c>
      <c r="AB85" t="s">
        <v>78</v>
      </c>
      <c r="AC85" t="s">
        <v>81</v>
      </c>
      <c r="AD85" t="s">
        <v>82</v>
      </c>
      <c r="AE85">
        <v>38999</v>
      </c>
      <c r="AF85">
        <v>0</v>
      </c>
      <c r="AG85">
        <v>0</v>
      </c>
      <c r="AH85">
        <v>0</v>
      </c>
      <c r="AI85">
        <v>11590</v>
      </c>
      <c r="AJ85">
        <v>9030</v>
      </c>
      <c r="AK85">
        <v>18379</v>
      </c>
      <c r="AL85">
        <v>21131</v>
      </c>
      <c r="AM85">
        <v>50350</v>
      </c>
      <c r="AN85">
        <v>68210</v>
      </c>
      <c r="AO85">
        <v>75826</v>
      </c>
      <c r="AP85">
        <v>9</v>
      </c>
      <c r="AQ85">
        <v>0</v>
      </c>
      <c r="AR85">
        <v>3</v>
      </c>
      <c r="AS85">
        <v>13</v>
      </c>
      <c r="AT85">
        <v>1</v>
      </c>
      <c r="AU85">
        <v>22</v>
      </c>
      <c r="AV85">
        <v>11</v>
      </c>
      <c r="AW85">
        <v>0</v>
      </c>
      <c r="AX85">
        <v>0</v>
      </c>
      <c r="AY85">
        <v>0</v>
      </c>
      <c r="AZ85">
        <v>1</v>
      </c>
      <c r="BA85">
        <v>13</v>
      </c>
      <c r="BB85">
        <v>40</v>
      </c>
      <c r="BC85">
        <v>6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42.771922699999998</v>
      </c>
      <c r="BK85">
        <v>11.1069043</v>
      </c>
      <c r="BL85">
        <v>1800</v>
      </c>
      <c r="BM85" t="s">
        <v>83</v>
      </c>
      <c r="BN85" t="s">
        <v>84</v>
      </c>
      <c r="BO85" t="s">
        <v>85</v>
      </c>
      <c r="BP85" t="s">
        <v>86</v>
      </c>
      <c r="BQ85" t="s">
        <v>212</v>
      </c>
      <c r="BR85" t="s">
        <v>719</v>
      </c>
      <c r="BS85">
        <v>780101</v>
      </c>
      <c r="BT85">
        <v>0</v>
      </c>
      <c r="BU85">
        <v>0</v>
      </c>
      <c r="BV85">
        <v>0</v>
      </c>
      <c r="BW85">
        <v>231817</v>
      </c>
      <c r="BX85">
        <v>180621</v>
      </c>
      <c r="BY85">
        <v>367663</v>
      </c>
      <c r="BZ85">
        <v>1</v>
      </c>
      <c r="CA85" t="s">
        <v>722</v>
      </c>
      <c r="CB85" t="s">
        <v>723</v>
      </c>
      <c r="CC85" s="3">
        <v>46092.557106481479</v>
      </c>
      <c r="CD85" t="s">
        <v>91</v>
      </c>
    </row>
    <row r="86" spans="1:82" ht="16" x14ac:dyDescent="0.2">
      <c r="A86" t="s">
        <v>724</v>
      </c>
      <c r="B86" t="s">
        <v>725</v>
      </c>
      <c r="C86" t="s">
        <v>726</v>
      </c>
      <c r="D86" t="s">
        <v>78</v>
      </c>
      <c r="E86" t="s">
        <v>727</v>
      </c>
      <c r="F86">
        <v>6</v>
      </c>
      <c r="G86">
        <v>300</v>
      </c>
      <c r="H86" t="str">
        <f t="shared" si="8"/>
        <v>6x300</v>
      </c>
      <c r="I86">
        <v>326</v>
      </c>
      <c r="J86" s="4">
        <f t="shared" si="9"/>
        <v>3.0185185185185186E-2</v>
      </c>
      <c r="K86">
        <v>492</v>
      </c>
      <c r="L86" s="4">
        <f t="shared" si="10"/>
        <v>4.5555555555555551E-2</v>
      </c>
      <c r="M86">
        <v>746</v>
      </c>
      <c r="N86" s="4">
        <f t="shared" si="11"/>
        <v>6.9074074074074079E-2</v>
      </c>
      <c r="O86">
        <v>1488</v>
      </c>
      <c r="P86" s="4">
        <f t="shared" si="12"/>
        <v>0.13777777777777778</v>
      </c>
      <c r="Q86" s="6" t="str">
        <f t="shared" si="7"/>
        <v>later</v>
      </c>
      <c r="R86" s="6">
        <f t="shared" si="13"/>
        <v>666</v>
      </c>
      <c r="S86">
        <v>304</v>
      </c>
      <c r="T86">
        <v>-16</v>
      </c>
      <c r="U86">
        <v>-50</v>
      </c>
      <c r="V86">
        <v>18</v>
      </c>
      <c r="W86">
        <v>7</v>
      </c>
      <c r="X86">
        <v>93</v>
      </c>
      <c r="Y86" s="2" t="s">
        <v>728</v>
      </c>
      <c r="Z86">
        <v>45.538870000000003</v>
      </c>
      <c r="AA86">
        <v>10.53124</v>
      </c>
      <c r="AB86" t="s">
        <v>78</v>
      </c>
      <c r="AC86" t="s">
        <v>81</v>
      </c>
      <c r="AD86" t="s">
        <v>82</v>
      </c>
      <c r="AE86">
        <v>38719</v>
      </c>
      <c r="AF86">
        <v>0</v>
      </c>
      <c r="AG86">
        <v>0</v>
      </c>
      <c r="AH86">
        <v>22915</v>
      </c>
      <c r="AI86">
        <v>0</v>
      </c>
      <c r="AJ86">
        <v>14121</v>
      </c>
      <c r="AK86">
        <v>1683</v>
      </c>
      <c r="AL86">
        <v>1204</v>
      </c>
      <c r="AM86">
        <v>6143</v>
      </c>
      <c r="AN86">
        <v>20881</v>
      </c>
      <c r="AO86">
        <v>111799</v>
      </c>
      <c r="AP86">
        <v>2</v>
      </c>
      <c r="AQ86">
        <v>1</v>
      </c>
      <c r="AR86">
        <v>2</v>
      </c>
      <c r="AS86">
        <v>10</v>
      </c>
      <c r="AT86">
        <v>2</v>
      </c>
      <c r="AU86">
        <v>10</v>
      </c>
      <c r="AV86">
        <v>0</v>
      </c>
      <c r="AW86">
        <v>1</v>
      </c>
      <c r="AX86">
        <v>2</v>
      </c>
      <c r="AY86">
        <v>0</v>
      </c>
      <c r="AZ86">
        <v>0</v>
      </c>
      <c r="BA86">
        <v>4</v>
      </c>
      <c r="BB86">
        <v>24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0</v>
      </c>
      <c r="BJ86">
        <v>45.538974699999997</v>
      </c>
      <c r="BK86">
        <v>10.5311907</v>
      </c>
      <c r="BL86">
        <v>1800</v>
      </c>
      <c r="BM86" t="s">
        <v>83</v>
      </c>
      <c r="BN86" t="s">
        <v>84</v>
      </c>
      <c r="BO86" t="s">
        <v>85</v>
      </c>
      <c r="BP86" t="s">
        <v>107</v>
      </c>
      <c r="BQ86" t="s">
        <v>108</v>
      </c>
      <c r="BR86" t="s">
        <v>179</v>
      </c>
      <c r="BS86">
        <v>774451</v>
      </c>
      <c r="BT86">
        <v>0</v>
      </c>
      <c r="BU86">
        <v>0</v>
      </c>
      <c r="BV86">
        <v>458324</v>
      </c>
      <c r="BW86">
        <v>0</v>
      </c>
      <c r="BX86">
        <v>282457</v>
      </c>
      <c r="BY86">
        <v>33670</v>
      </c>
      <c r="BZ86">
        <v>1</v>
      </c>
      <c r="CA86" t="s">
        <v>729</v>
      </c>
      <c r="CB86" t="s">
        <v>730</v>
      </c>
      <c r="CC86" s="3">
        <v>46092.557106481479</v>
      </c>
      <c r="CD86" t="s">
        <v>91</v>
      </c>
    </row>
    <row r="87" spans="1:82" ht="16" x14ac:dyDescent="0.2">
      <c r="A87" t="s">
        <v>731</v>
      </c>
      <c r="B87" t="s">
        <v>732</v>
      </c>
      <c r="C87" t="s">
        <v>733</v>
      </c>
      <c r="D87" t="s">
        <v>78</v>
      </c>
      <c r="E87" t="s">
        <v>734</v>
      </c>
      <c r="F87">
        <v>6</v>
      </c>
      <c r="G87">
        <v>300</v>
      </c>
      <c r="H87" t="str">
        <f t="shared" si="8"/>
        <v>6x300</v>
      </c>
      <c r="I87">
        <v>325</v>
      </c>
      <c r="J87" s="4">
        <f t="shared" si="9"/>
        <v>3.0092592592592591E-2</v>
      </c>
      <c r="K87">
        <v>491</v>
      </c>
      <c r="L87" s="4">
        <f t="shared" si="10"/>
        <v>4.5462962962962962E-2</v>
      </c>
      <c r="M87">
        <v>744</v>
      </c>
      <c r="N87" s="4">
        <f t="shared" si="11"/>
        <v>6.8888888888888888E-2</v>
      </c>
      <c r="O87">
        <v>1485</v>
      </c>
      <c r="P87" s="4">
        <f t="shared" si="12"/>
        <v>0.13750000000000001</v>
      </c>
      <c r="Q87" s="6" t="str">
        <f t="shared" si="7"/>
        <v>later</v>
      </c>
      <c r="R87" s="6">
        <f t="shared" si="13"/>
        <v>666</v>
      </c>
      <c r="S87">
        <v>304</v>
      </c>
      <c r="T87">
        <v>32</v>
      </c>
      <c r="U87">
        <v>-48</v>
      </c>
      <c r="V87">
        <v>-6</v>
      </c>
      <c r="W87">
        <v>-21</v>
      </c>
      <c r="X87">
        <v>113</v>
      </c>
      <c r="Y87" s="2" t="s">
        <v>735</v>
      </c>
      <c r="Z87">
        <v>42.43282</v>
      </c>
      <c r="AA87">
        <v>12.09629</v>
      </c>
      <c r="AB87" t="s">
        <v>78</v>
      </c>
      <c r="AC87" t="s">
        <v>81</v>
      </c>
      <c r="AD87" t="s">
        <v>82</v>
      </c>
      <c r="AE87">
        <v>48619</v>
      </c>
      <c r="AF87">
        <v>0</v>
      </c>
      <c r="AG87">
        <v>16202</v>
      </c>
      <c r="AH87">
        <v>20710</v>
      </c>
      <c r="AI87">
        <v>7144</v>
      </c>
      <c r="AJ87">
        <v>4563</v>
      </c>
      <c r="AK87">
        <v>0</v>
      </c>
      <c r="AL87">
        <v>5781</v>
      </c>
      <c r="AM87">
        <v>25498</v>
      </c>
      <c r="AN87">
        <v>55078</v>
      </c>
      <c r="AO87">
        <v>68984</v>
      </c>
      <c r="AP87">
        <v>0</v>
      </c>
      <c r="AQ87">
        <v>0</v>
      </c>
      <c r="AR87">
        <v>7</v>
      </c>
      <c r="AS87">
        <v>14</v>
      </c>
      <c r="AT87">
        <v>2</v>
      </c>
      <c r="AU87">
        <v>26</v>
      </c>
      <c r="AV87">
        <v>1</v>
      </c>
      <c r="AW87">
        <v>0</v>
      </c>
      <c r="AX87">
        <v>1</v>
      </c>
      <c r="AY87">
        <v>1</v>
      </c>
      <c r="AZ87">
        <v>2</v>
      </c>
      <c r="BA87">
        <v>28</v>
      </c>
      <c r="BB87">
        <v>57</v>
      </c>
      <c r="BC87">
        <v>6</v>
      </c>
      <c r="BD87">
        <v>6</v>
      </c>
      <c r="BE87">
        <v>0</v>
      </c>
      <c r="BF87">
        <v>14</v>
      </c>
      <c r="BG87">
        <v>0</v>
      </c>
      <c r="BH87">
        <v>14</v>
      </c>
      <c r="BI87">
        <v>0</v>
      </c>
      <c r="BJ87">
        <v>42.432845200000003</v>
      </c>
      <c r="BK87">
        <v>12.0963504</v>
      </c>
      <c r="BL87">
        <v>1800</v>
      </c>
      <c r="BM87" t="s">
        <v>83</v>
      </c>
      <c r="BN87" t="s">
        <v>84</v>
      </c>
      <c r="BO87" t="s">
        <v>85</v>
      </c>
      <c r="BP87" t="s">
        <v>86</v>
      </c>
      <c r="BQ87" t="s">
        <v>87</v>
      </c>
      <c r="BR87" t="s">
        <v>733</v>
      </c>
      <c r="BS87">
        <v>972474</v>
      </c>
      <c r="BT87">
        <v>0</v>
      </c>
      <c r="BU87">
        <v>324062</v>
      </c>
      <c r="BV87">
        <v>414225</v>
      </c>
      <c r="BW87">
        <v>142909</v>
      </c>
      <c r="BX87">
        <v>91278</v>
      </c>
      <c r="BY87">
        <v>0</v>
      </c>
      <c r="BZ87">
        <v>1</v>
      </c>
      <c r="CA87" t="s">
        <v>736</v>
      </c>
      <c r="CB87" t="s">
        <v>737</v>
      </c>
      <c r="CC87" s="3">
        <v>46092.557106481479</v>
      </c>
      <c r="CD87" t="s">
        <v>91</v>
      </c>
    </row>
    <row r="88" spans="1:82" ht="16" x14ac:dyDescent="0.2">
      <c r="A88" t="s">
        <v>738</v>
      </c>
      <c r="B88" t="s">
        <v>739</v>
      </c>
      <c r="C88" t="s">
        <v>740</v>
      </c>
      <c r="D88" t="s">
        <v>78</v>
      </c>
      <c r="E88" t="s">
        <v>741</v>
      </c>
      <c r="F88">
        <v>6</v>
      </c>
      <c r="G88">
        <v>300</v>
      </c>
      <c r="H88" t="str">
        <f t="shared" si="8"/>
        <v>6x300</v>
      </c>
      <c r="I88">
        <v>325</v>
      </c>
      <c r="J88" s="4">
        <f t="shared" si="9"/>
        <v>3.0092592592592591E-2</v>
      </c>
      <c r="K88">
        <v>491</v>
      </c>
      <c r="L88" s="4">
        <f t="shared" si="10"/>
        <v>4.5462962962962962E-2</v>
      </c>
      <c r="M88">
        <v>744</v>
      </c>
      <c r="N88" s="4">
        <f t="shared" si="11"/>
        <v>6.8888888888888888E-2</v>
      </c>
      <c r="O88">
        <v>1485</v>
      </c>
      <c r="P88" s="4">
        <f t="shared" si="12"/>
        <v>0.13750000000000001</v>
      </c>
      <c r="Q88" s="6" t="str">
        <f t="shared" si="7"/>
        <v>later</v>
      </c>
      <c r="R88" s="6">
        <f t="shared" si="13"/>
        <v>666</v>
      </c>
      <c r="S88">
        <v>304</v>
      </c>
      <c r="T88">
        <v>-32</v>
      </c>
      <c r="U88">
        <v>6</v>
      </c>
      <c r="V88">
        <v>-4</v>
      </c>
      <c r="W88">
        <v>-23</v>
      </c>
      <c r="X88">
        <v>122</v>
      </c>
      <c r="Y88" s="2" t="s">
        <v>742</v>
      </c>
      <c r="Z88">
        <v>41.023249999999997</v>
      </c>
      <c r="AA88">
        <v>14.35951</v>
      </c>
      <c r="AB88" t="s">
        <v>78</v>
      </c>
      <c r="AC88" t="s">
        <v>81</v>
      </c>
      <c r="AD88" t="s">
        <v>82</v>
      </c>
      <c r="AE88">
        <v>35813</v>
      </c>
      <c r="AF88">
        <v>0</v>
      </c>
      <c r="AG88">
        <v>0</v>
      </c>
      <c r="AH88">
        <v>19290</v>
      </c>
      <c r="AI88">
        <v>9571</v>
      </c>
      <c r="AJ88">
        <v>3138</v>
      </c>
      <c r="AK88">
        <v>3814</v>
      </c>
      <c r="AL88">
        <v>258</v>
      </c>
      <c r="AM88">
        <v>10362</v>
      </c>
      <c r="AN88">
        <v>98430</v>
      </c>
      <c r="AO88">
        <v>417907</v>
      </c>
      <c r="AP88">
        <v>0</v>
      </c>
      <c r="AQ88">
        <v>0</v>
      </c>
      <c r="AR88">
        <v>2</v>
      </c>
      <c r="AS88">
        <v>7</v>
      </c>
      <c r="AT88">
        <v>0</v>
      </c>
      <c r="AU88">
        <v>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</v>
      </c>
      <c r="BC88">
        <v>0</v>
      </c>
      <c r="BD88">
        <v>0</v>
      </c>
      <c r="BE88">
        <v>2</v>
      </c>
      <c r="BF88">
        <v>0</v>
      </c>
      <c r="BG88">
        <v>2</v>
      </c>
      <c r="BH88">
        <v>2</v>
      </c>
      <c r="BI88">
        <v>2</v>
      </c>
      <c r="BJ88">
        <v>41.023566199999998</v>
      </c>
      <c r="BK88">
        <v>14.3593285</v>
      </c>
      <c r="BL88">
        <v>1800</v>
      </c>
      <c r="BM88" t="s">
        <v>83</v>
      </c>
      <c r="BN88" t="s">
        <v>84</v>
      </c>
      <c r="BO88" t="s">
        <v>85</v>
      </c>
      <c r="BP88" t="s">
        <v>97</v>
      </c>
      <c r="BQ88" t="s">
        <v>98</v>
      </c>
      <c r="BR88" t="s">
        <v>743</v>
      </c>
      <c r="BS88">
        <v>716313</v>
      </c>
      <c r="BT88">
        <v>0</v>
      </c>
      <c r="BU88">
        <v>0</v>
      </c>
      <c r="BV88">
        <v>385816</v>
      </c>
      <c r="BW88">
        <v>191426</v>
      </c>
      <c r="BX88">
        <v>62777</v>
      </c>
      <c r="BY88">
        <v>76294</v>
      </c>
      <c r="BZ88">
        <v>1</v>
      </c>
      <c r="CA88" t="s">
        <v>744</v>
      </c>
      <c r="CB88" t="s">
        <v>745</v>
      </c>
      <c r="CC88" s="3">
        <v>46092.557106481479</v>
      </c>
      <c r="CD88" t="s">
        <v>91</v>
      </c>
    </row>
    <row r="89" spans="1:82" ht="16" x14ac:dyDescent="0.2">
      <c r="A89" t="s">
        <v>746</v>
      </c>
      <c r="B89" t="s">
        <v>747</v>
      </c>
      <c r="C89" t="s">
        <v>748</v>
      </c>
      <c r="D89" t="s">
        <v>78</v>
      </c>
      <c r="E89" t="s">
        <v>749</v>
      </c>
      <c r="F89">
        <v>6</v>
      </c>
      <c r="G89">
        <v>300</v>
      </c>
      <c r="H89" t="str">
        <f t="shared" si="8"/>
        <v>6x300</v>
      </c>
      <c r="I89">
        <v>322</v>
      </c>
      <c r="J89" s="4">
        <f t="shared" si="9"/>
        <v>2.9814814814814811E-2</v>
      </c>
      <c r="K89">
        <v>486</v>
      </c>
      <c r="L89" s="4">
        <f t="shared" si="10"/>
        <v>4.5000000000000005E-2</v>
      </c>
      <c r="M89">
        <v>737</v>
      </c>
      <c r="N89" s="4">
        <f t="shared" si="11"/>
        <v>6.8240740740740741E-2</v>
      </c>
      <c r="O89">
        <v>1470</v>
      </c>
      <c r="P89" s="4">
        <f t="shared" si="12"/>
        <v>0.13611111111111113</v>
      </c>
      <c r="Q89" s="6" t="str">
        <f t="shared" si="7"/>
        <v>later</v>
      </c>
      <c r="R89" s="6">
        <f t="shared" si="13"/>
        <v>666</v>
      </c>
      <c r="S89">
        <v>304</v>
      </c>
      <c r="T89">
        <v>-78</v>
      </c>
      <c r="U89">
        <v>15</v>
      </c>
      <c r="V89">
        <v>5</v>
      </c>
      <c r="W89">
        <v>3</v>
      </c>
      <c r="X89">
        <v>123</v>
      </c>
      <c r="Y89" s="2" t="s">
        <v>750</v>
      </c>
      <c r="Z89">
        <v>40.93506</v>
      </c>
      <c r="AA89">
        <v>14.441610000000001</v>
      </c>
      <c r="AB89" t="s">
        <v>78</v>
      </c>
      <c r="AC89" t="s">
        <v>81</v>
      </c>
      <c r="AD89" t="s">
        <v>82</v>
      </c>
      <c r="AE89">
        <v>22043</v>
      </c>
      <c r="AF89">
        <v>0</v>
      </c>
      <c r="AG89">
        <v>0</v>
      </c>
      <c r="AH89">
        <v>0</v>
      </c>
      <c r="AI89">
        <v>10640</v>
      </c>
      <c r="AJ89">
        <v>7042</v>
      </c>
      <c r="AK89">
        <v>4361</v>
      </c>
      <c r="AL89">
        <v>7279</v>
      </c>
      <c r="AM89">
        <v>30169</v>
      </c>
      <c r="AN89">
        <v>100192</v>
      </c>
      <c r="AO89">
        <v>432459</v>
      </c>
      <c r="AP89">
        <v>0</v>
      </c>
      <c r="AQ89">
        <v>0</v>
      </c>
      <c r="AR89">
        <v>2</v>
      </c>
      <c r="AS89">
        <v>2</v>
      </c>
      <c r="AT89">
        <v>0</v>
      </c>
      <c r="AU89">
        <v>10</v>
      </c>
      <c r="AV89">
        <v>5</v>
      </c>
      <c r="AW89">
        <v>0</v>
      </c>
      <c r="AX89">
        <v>0</v>
      </c>
      <c r="AY89">
        <v>0</v>
      </c>
      <c r="AZ89">
        <v>0</v>
      </c>
      <c r="BA89">
        <v>6</v>
      </c>
      <c r="BB89">
        <v>18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40.935041699999999</v>
      </c>
      <c r="BK89">
        <v>14.441605600000001</v>
      </c>
      <c r="BL89">
        <v>1800</v>
      </c>
      <c r="BM89" t="s">
        <v>83</v>
      </c>
      <c r="BN89" t="s">
        <v>84</v>
      </c>
      <c r="BO89" t="s">
        <v>85</v>
      </c>
      <c r="BP89" t="s">
        <v>97</v>
      </c>
      <c r="BQ89" t="s">
        <v>98</v>
      </c>
      <c r="BR89" t="s">
        <v>99</v>
      </c>
      <c r="BS89">
        <v>440979</v>
      </c>
      <c r="BT89">
        <v>0</v>
      </c>
      <c r="BU89">
        <v>0</v>
      </c>
      <c r="BV89">
        <v>0</v>
      </c>
      <c r="BW89">
        <v>212811</v>
      </c>
      <c r="BX89">
        <v>140900</v>
      </c>
      <c r="BY89">
        <v>87268</v>
      </c>
      <c r="BZ89">
        <v>1</v>
      </c>
      <c r="CA89" t="s">
        <v>751</v>
      </c>
      <c r="CB89" t="s">
        <v>752</v>
      </c>
      <c r="CC89" s="3">
        <v>46092.557106481479</v>
      </c>
      <c r="CD89" t="s">
        <v>91</v>
      </c>
    </row>
    <row r="90" spans="1:82" ht="16" x14ac:dyDescent="0.2">
      <c r="A90" t="s">
        <v>753</v>
      </c>
      <c r="B90" t="s">
        <v>754</v>
      </c>
      <c r="C90" t="s">
        <v>755</v>
      </c>
      <c r="D90" t="s">
        <v>78</v>
      </c>
      <c r="E90" t="s">
        <v>756</v>
      </c>
      <c r="F90">
        <v>6</v>
      </c>
      <c r="G90">
        <v>300</v>
      </c>
      <c r="H90" t="str">
        <f t="shared" si="8"/>
        <v>6x300</v>
      </c>
      <c r="I90">
        <v>322</v>
      </c>
      <c r="J90" s="4">
        <f t="shared" si="9"/>
        <v>2.9814814814814811E-2</v>
      </c>
      <c r="K90">
        <v>486</v>
      </c>
      <c r="L90" s="4">
        <f t="shared" si="10"/>
        <v>4.5000000000000005E-2</v>
      </c>
      <c r="M90">
        <v>737</v>
      </c>
      <c r="N90" s="4">
        <f t="shared" si="11"/>
        <v>6.8240740740740741E-2</v>
      </c>
      <c r="O90">
        <v>1470</v>
      </c>
      <c r="P90" s="4">
        <f t="shared" si="12"/>
        <v>0.13611111111111113</v>
      </c>
      <c r="Q90" s="6" t="str">
        <f t="shared" si="7"/>
        <v>later</v>
      </c>
      <c r="R90" s="6">
        <f t="shared" si="13"/>
        <v>666</v>
      </c>
      <c r="S90">
        <v>304</v>
      </c>
      <c r="T90">
        <v>71</v>
      </c>
      <c r="U90">
        <v>-51</v>
      </c>
      <c r="V90">
        <v>-39</v>
      </c>
      <c r="W90">
        <v>-42</v>
      </c>
      <c r="X90">
        <v>123</v>
      </c>
      <c r="Y90" s="2" t="s">
        <v>757</v>
      </c>
      <c r="Z90">
        <v>45.74409</v>
      </c>
      <c r="AA90">
        <v>11.739050000000001</v>
      </c>
      <c r="AB90" t="s">
        <v>78</v>
      </c>
      <c r="AC90" t="s">
        <v>81</v>
      </c>
      <c r="AD90" t="s">
        <v>82</v>
      </c>
      <c r="AE90">
        <v>58574</v>
      </c>
      <c r="AF90">
        <v>0</v>
      </c>
      <c r="AG90">
        <v>4853</v>
      </c>
      <c r="AH90">
        <v>8344</v>
      </c>
      <c r="AI90">
        <v>12891</v>
      </c>
      <c r="AJ90">
        <v>27327</v>
      </c>
      <c r="AK90">
        <v>5159</v>
      </c>
      <c r="AL90">
        <v>2592</v>
      </c>
      <c r="AM90">
        <v>16521</v>
      </c>
      <c r="AN90">
        <v>81672</v>
      </c>
      <c r="AO90">
        <v>178557</v>
      </c>
      <c r="AP90">
        <v>3</v>
      </c>
      <c r="AQ90">
        <v>1</v>
      </c>
      <c r="AR90">
        <v>2</v>
      </c>
      <c r="AS90">
        <v>2</v>
      </c>
      <c r="AT90">
        <v>1</v>
      </c>
      <c r="AU90">
        <v>26</v>
      </c>
      <c r="AV90">
        <v>3</v>
      </c>
      <c r="AW90">
        <v>0</v>
      </c>
      <c r="AX90">
        <v>1</v>
      </c>
      <c r="AY90">
        <v>1</v>
      </c>
      <c r="AZ90">
        <v>1</v>
      </c>
      <c r="BA90">
        <v>10</v>
      </c>
      <c r="BB90">
        <v>23</v>
      </c>
      <c r="BC90">
        <v>3</v>
      </c>
      <c r="BD90">
        <v>2</v>
      </c>
      <c r="BE90">
        <v>0</v>
      </c>
      <c r="BF90">
        <v>10</v>
      </c>
      <c r="BG90">
        <v>8</v>
      </c>
      <c r="BH90">
        <v>10</v>
      </c>
      <c r="BI90">
        <v>8</v>
      </c>
      <c r="BJ90">
        <v>45.744082200000001</v>
      </c>
      <c r="BK90">
        <v>11.7389785</v>
      </c>
      <c r="BL90">
        <v>1800</v>
      </c>
      <c r="BM90" t="s">
        <v>83</v>
      </c>
      <c r="BN90" t="s">
        <v>84</v>
      </c>
      <c r="BO90" t="s">
        <v>85</v>
      </c>
      <c r="BP90" t="s">
        <v>160</v>
      </c>
      <c r="BQ90" t="s">
        <v>161</v>
      </c>
      <c r="BR90" t="s">
        <v>527</v>
      </c>
      <c r="BS90">
        <v>1059099</v>
      </c>
      <c r="BT90">
        <v>0</v>
      </c>
      <c r="BU90">
        <v>97075</v>
      </c>
      <c r="BV90">
        <v>166890</v>
      </c>
      <c r="BW90">
        <v>257837</v>
      </c>
      <c r="BX90">
        <v>434080</v>
      </c>
      <c r="BY90">
        <v>103217</v>
      </c>
      <c r="BZ90">
        <v>1</v>
      </c>
      <c r="CA90" t="s">
        <v>758</v>
      </c>
      <c r="CB90" t="s">
        <v>759</v>
      </c>
      <c r="CC90" s="3">
        <v>46092.557106481479</v>
      </c>
      <c r="CD90" t="s">
        <v>91</v>
      </c>
    </row>
    <row r="91" spans="1:82" ht="16" x14ac:dyDescent="0.2">
      <c r="A91" t="s">
        <v>760</v>
      </c>
      <c r="B91" t="s">
        <v>761</v>
      </c>
      <c r="C91" t="s">
        <v>762</v>
      </c>
      <c r="D91" t="s">
        <v>78</v>
      </c>
      <c r="E91" t="s">
        <v>763</v>
      </c>
      <c r="F91">
        <v>6</v>
      </c>
      <c r="G91">
        <v>300</v>
      </c>
      <c r="H91" t="str">
        <f t="shared" si="8"/>
        <v>6x300</v>
      </c>
      <c r="I91">
        <v>320</v>
      </c>
      <c r="J91" s="4">
        <f t="shared" si="9"/>
        <v>2.9629629629629631E-2</v>
      </c>
      <c r="K91">
        <v>483</v>
      </c>
      <c r="L91" s="4">
        <f t="shared" si="10"/>
        <v>4.4722222222222226E-2</v>
      </c>
      <c r="M91">
        <v>733</v>
      </c>
      <c r="N91" s="4">
        <f t="shared" si="11"/>
        <v>6.7870370370370373E-2</v>
      </c>
      <c r="O91">
        <v>1462</v>
      </c>
      <c r="P91" s="4">
        <f t="shared" si="12"/>
        <v>0.13537037037037036</v>
      </c>
      <c r="Q91" s="6" t="str">
        <f t="shared" si="7"/>
        <v>later</v>
      </c>
      <c r="R91" s="6">
        <f t="shared" si="13"/>
        <v>666</v>
      </c>
      <c r="S91">
        <v>304</v>
      </c>
      <c r="T91">
        <v>8</v>
      </c>
      <c r="U91">
        <v>-36</v>
      </c>
      <c r="V91">
        <v>-34</v>
      </c>
      <c r="W91">
        <v>-1</v>
      </c>
      <c r="X91">
        <v>127</v>
      </c>
      <c r="Y91" s="2" t="s">
        <v>764</v>
      </c>
      <c r="Z91">
        <v>45.417378374500203</v>
      </c>
      <c r="AA91">
        <v>9.4286086085931995</v>
      </c>
      <c r="AB91" t="s">
        <v>78</v>
      </c>
      <c r="AC91" t="s">
        <v>81</v>
      </c>
      <c r="AD91" t="s">
        <v>82</v>
      </c>
      <c r="AE91">
        <v>46868</v>
      </c>
      <c r="AF91">
        <v>0</v>
      </c>
      <c r="AG91">
        <v>0</v>
      </c>
      <c r="AH91">
        <v>35740</v>
      </c>
      <c r="AI91">
        <v>0</v>
      </c>
      <c r="AJ91">
        <v>10720</v>
      </c>
      <c r="AK91">
        <v>408</v>
      </c>
      <c r="AL91">
        <v>3532</v>
      </c>
      <c r="AM91">
        <v>12818</v>
      </c>
      <c r="AN91">
        <v>36512</v>
      </c>
      <c r="AO91">
        <v>154116</v>
      </c>
      <c r="AP91">
        <v>0</v>
      </c>
      <c r="AQ91">
        <v>0</v>
      </c>
      <c r="AR91">
        <v>1</v>
      </c>
      <c r="AS91">
        <v>4</v>
      </c>
      <c r="AT91">
        <v>0</v>
      </c>
      <c r="AU91">
        <v>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4</v>
      </c>
      <c r="BB91">
        <v>10</v>
      </c>
      <c r="BC91">
        <v>4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0</v>
      </c>
      <c r="BJ91">
        <v>45.417318899999998</v>
      </c>
      <c r="BK91">
        <v>9.4285596999999992</v>
      </c>
      <c r="BL91">
        <v>1800</v>
      </c>
      <c r="BM91" t="s">
        <v>83</v>
      </c>
      <c r="BN91" t="s">
        <v>84</v>
      </c>
      <c r="BO91" t="s">
        <v>85</v>
      </c>
      <c r="BP91" t="s">
        <v>107</v>
      </c>
      <c r="BQ91" t="s">
        <v>108</v>
      </c>
      <c r="BR91" t="s">
        <v>539</v>
      </c>
      <c r="BS91">
        <v>937470</v>
      </c>
      <c r="BT91">
        <v>0</v>
      </c>
      <c r="BU91">
        <v>0</v>
      </c>
      <c r="BV91">
        <v>714839</v>
      </c>
      <c r="BW91">
        <v>0</v>
      </c>
      <c r="BX91">
        <v>214452</v>
      </c>
      <c r="BY91">
        <v>8179</v>
      </c>
      <c r="BZ91">
        <v>1</v>
      </c>
      <c r="CA91" t="s">
        <v>765</v>
      </c>
      <c r="CB91" t="s">
        <v>766</v>
      </c>
      <c r="CC91" s="3">
        <v>46092.557106481479</v>
      </c>
      <c r="CD91" t="s">
        <v>91</v>
      </c>
    </row>
    <row r="92" spans="1:82" ht="16" x14ac:dyDescent="0.2">
      <c r="A92" t="s">
        <v>767</v>
      </c>
      <c r="B92" t="s">
        <v>768</v>
      </c>
      <c r="C92" t="s">
        <v>769</v>
      </c>
      <c r="D92" t="s">
        <v>78</v>
      </c>
      <c r="E92" t="s">
        <v>770</v>
      </c>
      <c r="F92">
        <v>6</v>
      </c>
      <c r="G92">
        <v>300</v>
      </c>
      <c r="H92" t="str">
        <f t="shared" si="8"/>
        <v>6x300</v>
      </c>
      <c r="I92">
        <v>317</v>
      </c>
      <c r="J92" s="4">
        <f t="shared" si="9"/>
        <v>2.9351851851851851E-2</v>
      </c>
      <c r="K92">
        <v>478</v>
      </c>
      <c r="L92" s="4">
        <f t="shared" si="10"/>
        <v>4.4259259259259255E-2</v>
      </c>
      <c r="M92">
        <v>725</v>
      </c>
      <c r="N92" s="4">
        <f t="shared" si="11"/>
        <v>6.7129629629629622E-2</v>
      </c>
      <c r="O92">
        <v>1448</v>
      </c>
      <c r="P92" s="4">
        <f t="shared" si="12"/>
        <v>0.1340740740740741</v>
      </c>
      <c r="Q92" s="6" t="str">
        <f t="shared" si="7"/>
        <v>later</v>
      </c>
      <c r="R92" s="6">
        <f t="shared" si="13"/>
        <v>666</v>
      </c>
      <c r="S92">
        <v>304</v>
      </c>
      <c r="T92">
        <v>-84</v>
      </c>
      <c r="U92">
        <v>-34</v>
      </c>
      <c r="V92">
        <v>29</v>
      </c>
      <c r="W92">
        <v>21</v>
      </c>
      <c r="X92">
        <v>126</v>
      </c>
      <c r="Y92" s="2" t="s">
        <v>771</v>
      </c>
      <c r="Z92">
        <v>41.35801</v>
      </c>
      <c r="AA92">
        <v>13.41455</v>
      </c>
      <c r="AB92" t="s">
        <v>78</v>
      </c>
      <c r="AC92" t="s">
        <v>81</v>
      </c>
      <c r="AD92" t="s">
        <v>82</v>
      </c>
      <c r="AE92">
        <v>13443</v>
      </c>
      <c r="AF92">
        <v>0</v>
      </c>
      <c r="AG92">
        <v>0</v>
      </c>
      <c r="AH92">
        <v>0</v>
      </c>
      <c r="AI92">
        <v>4408</v>
      </c>
      <c r="AJ92">
        <v>5281</v>
      </c>
      <c r="AK92">
        <v>3754</v>
      </c>
      <c r="AL92">
        <v>7552</v>
      </c>
      <c r="AM92">
        <v>22842</v>
      </c>
      <c r="AN92">
        <v>36433</v>
      </c>
      <c r="AO92">
        <v>51830</v>
      </c>
      <c r="AP92">
        <v>1</v>
      </c>
      <c r="AQ92">
        <v>0</v>
      </c>
      <c r="AR92">
        <v>3</v>
      </c>
      <c r="AS92">
        <v>13</v>
      </c>
      <c r="AT92">
        <v>0</v>
      </c>
      <c r="AU92">
        <v>16</v>
      </c>
      <c r="AV92">
        <v>0</v>
      </c>
      <c r="AW92">
        <v>1</v>
      </c>
      <c r="AX92">
        <v>2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2</v>
      </c>
      <c r="BE92">
        <v>0</v>
      </c>
      <c r="BF92">
        <v>2</v>
      </c>
      <c r="BG92">
        <v>0</v>
      </c>
      <c r="BH92">
        <v>2</v>
      </c>
      <c r="BI92">
        <v>0</v>
      </c>
      <c r="BJ92">
        <v>41.358293699999997</v>
      </c>
      <c r="BK92">
        <v>13.414480599999999</v>
      </c>
      <c r="BL92">
        <v>1800</v>
      </c>
      <c r="BM92" t="s">
        <v>83</v>
      </c>
      <c r="BN92" t="s">
        <v>84</v>
      </c>
      <c r="BO92" t="s">
        <v>85</v>
      </c>
      <c r="BP92" t="s">
        <v>86</v>
      </c>
      <c r="BQ92" t="s">
        <v>87</v>
      </c>
      <c r="BR92" t="s">
        <v>772</v>
      </c>
      <c r="BS92">
        <v>269021</v>
      </c>
      <c r="BT92">
        <v>0</v>
      </c>
      <c r="BU92">
        <v>0</v>
      </c>
      <c r="BV92">
        <v>0</v>
      </c>
      <c r="BW92">
        <v>88175</v>
      </c>
      <c r="BX92">
        <v>105718</v>
      </c>
      <c r="BY92">
        <v>75128</v>
      </c>
      <c r="BZ92">
        <v>1</v>
      </c>
      <c r="CA92" t="s">
        <v>773</v>
      </c>
      <c r="CB92" t="s">
        <v>774</v>
      </c>
      <c r="CC92" s="3">
        <v>46092.557106481479</v>
      </c>
      <c r="CD92" t="s">
        <v>91</v>
      </c>
    </row>
    <row r="93" spans="1:82" ht="16" x14ac:dyDescent="0.2">
      <c r="A93" t="s">
        <v>775</v>
      </c>
      <c r="B93" t="s">
        <v>776</v>
      </c>
      <c r="C93" t="s">
        <v>777</v>
      </c>
      <c r="D93" t="s">
        <v>78</v>
      </c>
      <c r="E93" t="s">
        <v>778</v>
      </c>
      <c r="F93">
        <v>6</v>
      </c>
      <c r="G93">
        <v>300</v>
      </c>
      <c r="H93" t="str">
        <f t="shared" si="8"/>
        <v>6x300</v>
      </c>
      <c r="I93">
        <v>315</v>
      </c>
      <c r="J93" s="4">
        <f t="shared" si="9"/>
        <v>2.9166666666666671E-2</v>
      </c>
      <c r="K93">
        <v>476</v>
      </c>
      <c r="L93" s="4">
        <f t="shared" si="10"/>
        <v>4.4074074074074071E-2</v>
      </c>
      <c r="M93">
        <v>722</v>
      </c>
      <c r="N93" s="4">
        <f t="shared" si="11"/>
        <v>6.6851851851851857E-2</v>
      </c>
      <c r="O93">
        <v>1441</v>
      </c>
      <c r="P93" s="4">
        <f t="shared" si="12"/>
        <v>0.13342592592592592</v>
      </c>
      <c r="Q93" s="6" t="str">
        <f t="shared" si="7"/>
        <v>later</v>
      </c>
      <c r="R93" s="6">
        <f t="shared" si="13"/>
        <v>666</v>
      </c>
      <c r="S93">
        <v>304</v>
      </c>
      <c r="T93">
        <v>35</v>
      </c>
      <c r="U93">
        <v>-44</v>
      </c>
      <c r="V93">
        <v>2</v>
      </c>
      <c r="W93">
        <v>-38</v>
      </c>
      <c r="X93">
        <v>102</v>
      </c>
      <c r="Y93" s="2" t="s">
        <v>779</v>
      </c>
      <c r="Z93">
        <v>45.502467249499198</v>
      </c>
      <c r="AA93">
        <v>9.6300387932526892</v>
      </c>
      <c r="AB93" t="s">
        <v>78</v>
      </c>
      <c r="AC93" t="s">
        <v>81</v>
      </c>
      <c r="AD93" t="s">
        <v>82</v>
      </c>
      <c r="AE93">
        <v>70183</v>
      </c>
      <c r="AF93">
        <v>49055</v>
      </c>
      <c r="AG93">
        <v>0</v>
      </c>
      <c r="AH93">
        <v>11876</v>
      </c>
      <c r="AI93">
        <v>0</v>
      </c>
      <c r="AJ93">
        <v>9252</v>
      </c>
      <c r="AK93">
        <v>0</v>
      </c>
      <c r="AL93">
        <v>4457</v>
      </c>
      <c r="AM93">
        <v>13351</v>
      </c>
      <c r="AN93">
        <v>61214</v>
      </c>
      <c r="AO93">
        <v>167022</v>
      </c>
      <c r="AP93">
        <v>1</v>
      </c>
      <c r="AQ93">
        <v>1</v>
      </c>
      <c r="AR93">
        <v>6</v>
      </c>
      <c r="AS93">
        <v>20</v>
      </c>
      <c r="AT93">
        <v>2</v>
      </c>
      <c r="AU93">
        <v>28</v>
      </c>
      <c r="AV93">
        <v>1</v>
      </c>
      <c r="AW93">
        <v>1</v>
      </c>
      <c r="AX93">
        <v>0</v>
      </c>
      <c r="AY93">
        <v>0</v>
      </c>
      <c r="AZ93">
        <v>0</v>
      </c>
      <c r="BA93">
        <v>1</v>
      </c>
      <c r="BB93">
        <v>8</v>
      </c>
      <c r="BC93">
        <v>0</v>
      </c>
      <c r="BD93">
        <v>0</v>
      </c>
      <c r="BE93">
        <v>0</v>
      </c>
      <c r="BF93">
        <v>2</v>
      </c>
      <c r="BG93">
        <v>0</v>
      </c>
      <c r="BH93">
        <v>8</v>
      </c>
      <c r="BI93">
        <v>16</v>
      </c>
      <c r="BJ93">
        <v>45.502499999999998</v>
      </c>
      <c r="BK93">
        <v>9.6300898999999998</v>
      </c>
      <c r="BL93">
        <v>1800</v>
      </c>
      <c r="BM93" t="s">
        <v>83</v>
      </c>
      <c r="BN93" t="s">
        <v>84</v>
      </c>
      <c r="BO93" t="s">
        <v>85</v>
      </c>
      <c r="BP93" t="s">
        <v>107</v>
      </c>
      <c r="BQ93" t="s">
        <v>108</v>
      </c>
      <c r="BR93" t="s">
        <v>297</v>
      </c>
      <c r="BS93">
        <v>1698135</v>
      </c>
      <c r="BT93">
        <v>1275454</v>
      </c>
      <c r="BU93">
        <v>0</v>
      </c>
      <c r="BV93">
        <v>237548</v>
      </c>
      <c r="BW93">
        <v>0</v>
      </c>
      <c r="BX93">
        <v>185133</v>
      </c>
      <c r="BY93">
        <v>0</v>
      </c>
      <c r="BZ93">
        <v>1</v>
      </c>
      <c r="CA93" t="s">
        <v>780</v>
      </c>
      <c r="CB93" t="s">
        <v>781</v>
      </c>
      <c r="CC93" s="3">
        <v>46092.557106481479</v>
      </c>
      <c r="CD93" t="s">
        <v>91</v>
      </c>
    </row>
    <row r="94" spans="1:82" ht="16" x14ac:dyDescent="0.2">
      <c r="A94" t="s">
        <v>782</v>
      </c>
      <c r="B94" t="s">
        <v>783</v>
      </c>
      <c r="C94" t="s">
        <v>784</v>
      </c>
      <c r="D94" t="s">
        <v>78</v>
      </c>
      <c r="E94" t="s">
        <v>785</v>
      </c>
      <c r="F94">
        <v>6</v>
      </c>
      <c r="G94">
        <v>300</v>
      </c>
      <c r="H94" t="str">
        <f t="shared" si="8"/>
        <v>6x300</v>
      </c>
      <c r="I94">
        <v>313</v>
      </c>
      <c r="J94" s="4">
        <f t="shared" si="9"/>
        <v>2.898148148148148E-2</v>
      </c>
      <c r="K94">
        <v>473</v>
      </c>
      <c r="L94" s="4">
        <f t="shared" si="10"/>
        <v>4.3796296296296298E-2</v>
      </c>
      <c r="M94">
        <v>717</v>
      </c>
      <c r="N94" s="4">
        <f t="shared" si="11"/>
        <v>6.63888888888889E-2</v>
      </c>
      <c r="O94">
        <v>1431</v>
      </c>
      <c r="P94" s="4">
        <f t="shared" si="12"/>
        <v>0.13249999999999998</v>
      </c>
      <c r="Q94" s="6" t="str">
        <f t="shared" si="7"/>
        <v>later</v>
      </c>
      <c r="R94" s="6">
        <f t="shared" si="13"/>
        <v>666</v>
      </c>
      <c r="S94">
        <v>304</v>
      </c>
      <c r="T94">
        <v>30</v>
      </c>
      <c r="U94">
        <v>-40</v>
      </c>
      <c r="V94">
        <v>-9</v>
      </c>
      <c r="W94">
        <v>-46</v>
      </c>
      <c r="X94">
        <v>118</v>
      </c>
      <c r="Y94" s="2" t="s">
        <v>786</v>
      </c>
      <c r="Z94">
        <v>45.18929</v>
      </c>
      <c r="AA94">
        <v>7.6367900000000004</v>
      </c>
      <c r="AB94" t="s">
        <v>78</v>
      </c>
      <c r="AC94" t="s">
        <v>81</v>
      </c>
      <c r="AD94" t="s">
        <v>82</v>
      </c>
      <c r="AE94">
        <v>37967</v>
      </c>
      <c r="AF94">
        <v>17307</v>
      </c>
      <c r="AG94">
        <v>0</v>
      </c>
      <c r="AH94">
        <v>0</v>
      </c>
      <c r="AI94">
        <v>14286</v>
      </c>
      <c r="AJ94">
        <v>6374</v>
      </c>
      <c r="AK94">
        <v>0</v>
      </c>
      <c r="AL94">
        <v>1307</v>
      </c>
      <c r="AM94">
        <v>11484</v>
      </c>
      <c r="AN94">
        <v>44628</v>
      </c>
      <c r="AO94">
        <v>222309</v>
      </c>
      <c r="AP94">
        <v>0</v>
      </c>
      <c r="AQ94">
        <v>0</v>
      </c>
      <c r="AR94">
        <v>3</v>
      </c>
      <c r="AS94">
        <v>1</v>
      </c>
      <c r="AT94">
        <v>0</v>
      </c>
      <c r="AU94">
        <v>8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24</v>
      </c>
      <c r="BB94">
        <v>38</v>
      </c>
      <c r="BC94">
        <v>6</v>
      </c>
      <c r="BD94">
        <v>0</v>
      </c>
      <c r="BE94">
        <v>0</v>
      </c>
      <c r="BF94">
        <v>4</v>
      </c>
      <c r="BG94">
        <v>6</v>
      </c>
      <c r="BH94">
        <v>12</v>
      </c>
      <c r="BI94">
        <v>6</v>
      </c>
      <c r="BJ94">
        <v>45.189247000000002</v>
      </c>
      <c r="BK94">
        <v>7.6367756</v>
      </c>
      <c r="BL94">
        <v>1800</v>
      </c>
      <c r="BM94" t="s">
        <v>83</v>
      </c>
      <c r="BN94" t="s">
        <v>84</v>
      </c>
      <c r="BO94" t="s">
        <v>85</v>
      </c>
      <c r="BP94" t="s">
        <v>107</v>
      </c>
      <c r="BQ94" t="s">
        <v>203</v>
      </c>
      <c r="BR94" t="s">
        <v>204</v>
      </c>
      <c r="BS94">
        <v>759418</v>
      </c>
      <c r="BT94">
        <v>346143</v>
      </c>
      <c r="BU94">
        <v>0</v>
      </c>
      <c r="BV94">
        <v>0</v>
      </c>
      <c r="BW94">
        <v>285740</v>
      </c>
      <c r="BX94">
        <v>127535</v>
      </c>
      <c r="BY94">
        <v>0</v>
      </c>
      <c r="BZ94">
        <v>1</v>
      </c>
      <c r="CA94" t="s">
        <v>787</v>
      </c>
      <c r="CB94" t="s">
        <v>788</v>
      </c>
      <c r="CC94" s="3">
        <v>46092.557106481479</v>
      </c>
      <c r="CD94" t="s">
        <v>91</v>
      </c>
    </row>
    <row r="95" spans="1:82" ht="16" x14ac:dyDescent="0.2">
      <c r="A95" t="s">
        <v>789</v>
      </c>
      <c r="B95" t="s">
        <v>790</v>
      </c>
      <c r="C95" t="s">
        <v>791</v>
      </c>
      <c r="D95" t="s">
        <v>78</v>
      </c>
      <c r="E95" t="s">
        <v>792</v>
      </c>
      <c r="F95">
        <v>6</v>
      </c>
      <c r="G95">
        <v>300</v>
      </c>
      <c r="H95" t="str">
        <f t="shared" si="8"/>
        <v>6x300</v>
      </c>
      <c r="I95">
        <v>307</v>
      </c>
      <c r="J95" s="4">
        <f t="shared" si="9"/>
        <v>2.8425925925925927E-2</v>
      </c>
      <c r="K95">
        <v>464</v>
      </c>
      <c r="L95" s="4">
        <f t="shared" si="10"/>
        <v>4.296296296296296E-2</v>
      </c>
      <c r="M95">
        <v>704</v>
      </c>
      <c r="N95" s="4">
        <f t="shared" si="11"/>
        <v>6.5185185185185193E-2</v>
      </c>
      <c r="O95">
        <v>1405</v>
      </c>
      <c r="P95" s="4">
        <f t="shared" si="12"/>
        <v>0.13009259259259259</v>
      </c>
      <c r="Q95" s="6" t="str">
        <f t="shared" si="7"/>
        <v>later</v>
      </c>
      <c r="R95" s="6">
        <f t="shared" si="13"/>
        <v>666</v>
      </c>
      <c r="S95">
        <v>304</v>
      </c>
      <c r="T95">
        <v>43</v>
      </c>
      <c r="U95">
        <v>-47</v>
      </c>
      <c r="V95">
        <v>-16</v>
      </c>
      <c r="W95">
        <v>-44</v>
      </c>
      <c r="X95">
        <v>104</v>
      </c>
      <c r="Y95" s="2" t="s">
        <v>793</v>
      </c>
      <c r="Z95">
        <v>46.086127612709298</v>
      </c>
      <c r="AA95">
        <v>11.1180209355824</v>
      </c>
      <c r="AB95" t="s">
        <v>78</v>
      </c>
      <c r="AC95" t="s">
        <v>81</v>
      </c>
      <c r="AD95" t="s">
        <v>82</v>
      </c>
      <c r="AE95">
        <v>64671</v>
      </c>
      <c r="AF95">
        <v>0</v>
      </c>
      <c r="AG95">
        <v>20781</v>
      </c>
      <c r="AH95">
        <v>7492</v>
      </c>
      <c r="AI95">
        <v>0</v>
      </c>
      <c r="AJ95">
        <v>31808</v>
      </c>
      <c r="AK95">
        <v>4590</v>
      </c>
      <c r="AL95">
        <v>10279</v>
      </c>
      <c r="AM95">
        <v>31214</v>
      </c>
      <c r="AN95">
        <v>98782</v>
      </c>
      <c r="AO95">
        <v>157068</v>
      </c>
      <c r="AP95">
        <v>6</v>
      </c>
      <c r="AQ95">
        <v>0</v>
      </c>
      <c r="AR95">
        <v>4</v>
      </c>
      <c r="AS95">
        <v>13</v>
      </c>
      <c r="AT95">
        <v>1</v>
      </c>
      <c r="AU95">
        <v>29</v>
      </c>
      <c r="AV95">
        <v>6</v>
      </c>
      <c r="AW95">
        <v>0</v>
      </c>
      <c r="AX95">
        <v>0</v>
      </c>
      <c r="AY95">
        <v>0</v>
      </c>
      <c r="AZ95">
        <v>1</v>
      </c>
      <c r="BA95">
        <v>14</v>
      </c>
      <c r="BB95">
        <v>36</v>
      </c>
      <c r="BC95">
        <v>8</v>
      </c>
      <c r="BD95">
        <v>2</v>
      </c>
      <c r="BE95">
        <v>0</v>
      </c>
      <c r="BF95">
        <v>6</v>
      </c>
      <c r="BG95">
        <v>6</v>
      </c>
      <c r="BH95">
        <v>7</v>
      </c>
      <c r="BI95">
        <v>6</v>
      </c>
      <c r="BJ95">
        <v>46.08625</v>
      </c>
      <c r="BK95">
        <v>11.1184999</v>
      </c>
      <c r="BL95">
        <v>1800</v>
      </c>
      <c r="BM95" t="s">
        <v>83</v>
      </c>
      <c r="BN95" t="s">
        <v>84</v>
      </c>
      <c r="BO95" t="s">
        <v>85</v>
      </c>
      <c r="BP95" t="s">
        <v>160</v>
      </c>
      <c r="BQ95" t="s">
        <v>794</v>
      </c>
      <c r="BR95" t="s">
        <v>791</v>
      </c>
      <c r="BS95">
        <v>1293541</v>
      </c>
      <c r="BT95">
        <v>0</v>
      </c>
      <c r="BU95">
        <v>415630</v>
      </c>
      <c r="BV95">
        <v>149852</v>
      </c>
      <c r="BW95">
        <v>0</v>
      </c>
      <c r="BX95">
        <v>636222</v>
      </c>
      <c r="BY95">
        <v>91837</v>
      </c>
      <c r="BZ95">
        <v>1</v>
      </c>
      <c r="CA95" t="s">
        <v>795</v>
      </c>
      <c r="CB95" t="s">
        <v>796</v>
      </c>
      <c r="CC95" s="3">
        <v>46092.557106481479</v>
      </c>
      <c r="CD95" t="s">
        <v>91</v>
      </c>
    </row>
    <row r="96" spans="1:82" ht="16" x14ac:dyDescent="0.2">
      <c r="A96" t="s">
        <v>799</v>
      </c>
      <c r="B96" t="s">
        <v>800</v>
      </c>
      <c r="C96" t="s">
        <v>801</v>
      </c>
      <c r="D96" t="s">
        <v>78</v>
      </c>
      <c r="E96" t="s">
        <v>802</v>
      </c>
      <c r="F96">
        <v>6</v>
      </c>
      <c r="G96">
        <v>300</v>
      </c>
      <c r="H96" t="str">
        <f t="shared" si="8"/>
        <v>6x300</v>
      </c>
      <c r="I96">
        <v>302</v>
      </c>
      <c r="J96" s="4">
        <f t="shared" si="9"/>
        <v>2.7962962962962964E-2</v>
      </c>
      <c r="K96">
        <v>457</v>
      </c>
      <c r="L96" s="4">
        <f t="shared" si="10"/>
        <v>4.2314814814814812E-2</v>
      </c>
      <c r="M96">
        <v>692</v>
      </c>
      <c r="N96" s="4">
        <f t="shared" si="11"/>
        <v>6.4074074074074075E-2</v>
      </c>
      <c r="O96">
        <v>1382</v>
      </c>
      <c r="P96" s="4">
        <f t="shared" si="12"/>
        <v>0.12796296296296297</v>
      </c>
      <c r="Q96" s="6" t="str">
        <f t="shared" si="7"/>
        <v>later</v>
      </c>
      <c r="R96" s="6">
        <f t="shared" si="13"/>
        <v>666</v>
      </c>
      <c r="S96">
        <v>304</v>
      </c>
      <c r="T96">
        <v>-97</v>
      </c>
      <c r="U96">
        <v>-31</v>
      </c>
      <c r="V96">
        <v>54</v>
      </c>
      <c r="W96">
        <v>4</v>
      </c>
      <c r="X96">
        <v>111</v>
      </c>
      <c r="Y96" s="2" t="s">
        <v>803</v>
      </c>
      <c r="Z96">
        <v>41.118589999999998</v>
      </c>
      <c r="AA96">
        <v>14.758330000000001</v>
      </c>
      <c r="AB96" t="s">
        <v>78</v>
      </c>
      <c r="AC96" t="s">
        <v>81</v>
      </c>
      <c r="AD96" t="s">
        <v>82</v>
      </c>
      <c r="AE96">
        <v>20302</v>
      </c>
      <c r="AF96">
        <v>0</v>
      </c>
      <c r="AG96">
        <v>0</v>
      </c>
      <c r="AH96">
        <v>10969</v>
      </c>
      <c r="AI96">
        <v>1395</v>
      </c>
      <c r="AJ96">
        <v>7938</v>
      </c>
      <c r="AK96">
        <v>0</v>
      </c>
      <c r="AL96">
        <v>3497</v>
      </c>
      <c r="AM96">
        <v>19520</v>
      </c>
      <c r="AN96">
        <v>59709</v>
      </c>
      <c r="AO96">
        <v>95627</v>
      </c>
      <c r="AP96">
        <v>0</v>
      </c>
      <c r="AQ96">
        <v>0</v>
      </c>
      <c r="AR96">
        <v>2</v>
      </c>
      <c r="AS96">
        <v>44</v>
      </c>
      <c r="AT96">
        <v>0</v>
      </c>
      <c r="AU96">
        <v>12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2</v>
      </c>
      <c r="BB96">
        <v>7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2</v>
      </c>
      <c r="BI96">
        <v>0</v>
      </c>
      <c r="BJ96">
        <v>41.118693299999997</v>
      </c>
      <c r="BK96">
        <v>14.7582954</v>
      </c>
      <c r="BL96">
        <v>1800</v>
      </c>
      <c r="BM96" t="s">
        <v>83</v>
      </c>
      <c r="BN96" t="s">
        <v>84</v>
      </c>
      <c r="BO96" t="s">
        <v>85</v>
      </c>
      <c r="BP96" t="s">
        <v>97</v>
      </c>
      <c r="BQ96" t="s">
        <v>98</v>
      </c>
      <c r="BR96" t="s">
        <v>801</v>
      </c>
      <c r="BS96">
        <v>354726</v>
      </c>
      <c r="BT96">
        <v>0</v>
      </c>
      <c r="BU96">
        <v>0</v>
      </c>
      <c r="BV96">
        <v>219401</v>
      </c>
      <c r="BW96">
        <v>27918</v>
      </c>
      <c r="BX96">
        <v>107407</v>
      </c>
      <c r="BY96">
        <v>0</v>
      </c>
      <c r="BZ96">
        <v>1</v>
      </c>
      <c r="CA96" t="s">
        <v>804</v>
      </c>
      <c r="CB96" t="s">
        <v>805</v>
      </c>
      <c r="CC96" s="3">
        <v>46092.557106481479</v>
      </c>
      <c r="CD96" t="s">
        <v>91</v>
      </c>
    </row>
    <row r="97" spans="1:82" ht="16" x14ac:dyDescent="0.2">
      <c r="A97" t="s">
        <v>807</v>
      </c>
      <c r="B97" t="s">
        <v>808</v>
      </c>
      <c r="C97" t="s">
        <v>809</v>
      </c>
      <c r="D97" t="s">
        <v>78</v>
      </c>
      <c r="E97" t="s">
        <v>810</v>
      </c>
      <c r="F97">
        <v>6</v>
      </c>
      <c r="G97">
        <v>300</v>
      </c>
      <c r="H97" t="str">
        <f t="shared" si="8"/>
        <v>6x300</v>
      </c>
      <c r="I97">
        <v>292</v>
      </c>
      <c r="J97" s="4">
        <f t="shared" si="9"/>
        <v>2.703703703703704E-2</v>
      </c>
      <c r="K97">
        <v>440</v>
      </c>
      <c r="L97" s="4">
        <f t="shared" si="10"/>
        <v>4.0740740740740737E-2</v>
      </c>
      <c r="M97">
        <v>668</v>
      </c>
      <c r="N97" s="4">
        <f t="shared" si="11"/>
        <v>6.1851851851851852E-2</v>
      </c>
      <c r="O97">
        <v>1333</v>
      </c>
      <c r="P97" s="4">
        <f t="shared" si="12"/>
        <v>0.12342592592592593</v>
      </c>
      <c r="Q97" s="6" t="str">
        <f t="shared" si="7"/>
        <v>later</v>
      </c>
      <c r="R97" s="6">
        <f t="shared" si="13"/>
        <v>666</v>
      </c>
      <c r="S97">
        <v>304</v>
      </c>
      <c r="T97">
        <v>-87</v>
      </c>
      <c r="U97">
        <v>-31</v>
      </c>
      <c r="V97">
        <v>5</v>
      </c>
      <c r="W97">
        <v>17</v>
      </c>
      <c r="X97">
        <v>133</v>
      </c>
      <c r="Y97" s="2" t="s">
        <v>811</v>
      </c>
      <c r="Z97">
        <v>45.515509999999999</v>
      </c>
      <c r="AA97">
        <v>10.137890000000001</v>
      </c>
      <c r="AB97" t="s">
        <v>78</v>
      </c>
      <c r="AC97" t="s">
        <v>81</v>
      </c>
      <c r="AD97" t="s">
        <v>82</v>
      </c>
      <c r="AE97">
        <v>24425</v>
      </c>
      <c r="AF97">
        <v>0</v>
      </c>
      <c r="AG97">
        <v>0</v>
      </c>
      <c r="AH97">
        <v>0</v>
      </c>
      <c r="AI97">
        <v>14930</v>
      </c>
      <c r="AJ97">
        <v>9495</v>
      </c>
      <c r="AK97">
        <v>0</v>
      </c>
      <c r="AL97">
        <v>3465</v>
      </c>
      <c r="AM97">
        <v>15840</v>
      </c>
      <c r="AN97">
        <v>74333</v>
      </c>
      <c r="AO97">
        <v>337026</v>
      </c>
      <c r="AP97">
        <v>0</v>
      </c>
      <c r="AQ97">
        <v>0</v>
      </c>
      <c r="AR97">
        <v>4</v>
      </c>
      <c r="AS97">
        <v>10</v>
      </c>
      <c r="AT97">
        <v>0</v>
      </c>
      <c r="AU97">
        <v>12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2</v>
      </c>
      <c r="BB97">
        <v>10</v>
      </c>
      <c r="BC97">
        <v>2</v>
      </c>
      <c r="BD97">
        <v>2</v>
      </c>
      <c r="BE97">
        <v>0</v>
      </c>
      <c r="BF97">
        <v>2</v>
      </c>
      <c r="BG97">
        <v>0</v>
      </c>
      <c r="BH97">
        <v>2</v>
      </c>
      <c r="BI97">
        <v>0</v>
      </c>
      <c r="BJ97">
        <v>45.515450000000001</v>
      </c>
      <c r="BK97">
        <v>10.1379</v>
      </c>
      <c r="BL97">
        <v>1800</v>
      </c>
      <c r="BM97" t="s">
        <v>83</v>
      </c>
      <c r="BN97" t="s">
        <v>84</v>
      </c>
      <c r="BO97" t="s">
        <v>85</v>
      </c>
      <c r="BP97" t="s">
        <v>107</v>
      </c>
      <c r="BQ97" t="s">
        <v>108</v>
      </c>
      <c r="BR97" t="s">
        <v>179</v>
      </c>
      <c r="BS97">
        <v>354055</v>
      </c>
      <c r="BT97">
        <v>0</v>
      </c>
      <c r="BU97">
        <v>0</v>
      </c>
      <c r="BV97">
        <v>0</v>
      </c>
      <c r="BW97">
        <v>164127</v>
      </c>
      <c r="BX97">
        <v>189928</v>
      </c>
      <c r="BY97">
        <v>0</v>
      </c>
      <c r="BZ97">
        <v>1</v>
      </c>
      <c r="CA97" t="s">
        <v>812</v>
      </c>
      <c r="CB97" t="s">
        <v>813</v>
      </c>
      <c r="CC97" s="3">
        <v>46092.557106481479</v>
      </c>
      <c r="CD97" t="s">
        <v>91</v>
      </c>
    </row>
    <row r="98" spans="1:82" ht="16" x14ac:dyDescent="0.2">
      <c r="A98" t="s">
        <v>814</v>
      </c>
      <c r="B98" t="s">
        <v>815</v>
      </c>
      <c r="C98" t="s">
        <v>816</v>
      </c>
      <c r="D98" t="s">
        <v>78</v>
      </c>
      <c r="E98" t="s">
        <v>817</v>
      </c>
      <c r="F98">
        <v>6</v>
      </c>
      <c r="G98">
        <v>300</v>
      </c>
      <c r="H98" t="str">
        <f t="shared" si="8"/>
        <v>6x300</v>
      </c>
      <c r="I98">
        <v>291</v>
      </c>
      <c r="J98" s="4">
        <f t="shared" si="9"/>
        <v>2.6944444444444441E-2</v>
      </c>
      <c r="K98">
        <v>439</v>
      </c>
      <c r="L98" s="4">
        <f t="shared" si="10"/>
        <v>4.0648148148148149E-2</v>
      </c>
      <c r="M98">
        <v>665</v>
      </c>
      <c r="N98" s="4">
        <f t="shared" si="11"/>
        <v>6.157407407407408E-2</v>
      </c>
      <c r="O98">
        <v>1328</v>
      </c>
      <c r="P98" s="4">
        <f t="shared" si="12"/>
        <v>0.12296296296296295</v>
      </c>
      <c r="Q98" s="6" t="str">
        <f t="shared" si="7"/>
        <v>later</v>
      </c>
      <c r="R98" s="6">
        <f t="shared" si="13"/>
        <v>666</v>
      </c>
      <c r="S98">
        <v>304</v>
      </c>
      <c r="T98">
        <v>-52</v>
      </c>
      <c r="U98">
        <v>-38</v>
      </c>
      <c r="V98">
        <v>6</v>
      </c>
      <c r="W98">
        <v>-1</v>
      </c>
      <c r="X98">
        <v>114</v>
      </c>
      <c r="Y98" s="2" t="s">
        <v>818</v>
      </c>
      <c r="Z98">
        <v>45.928421193010401</v>
      </c>
      <c r="AA98">
        <v>8.5559556033571909</v>
      </c>
      <c r="AB98" t="s">
        <v>78</v>
      </c>
      <c r="AC98" t="s">
        <v>81</v>
      </c>
      <c r="AD98" t="s">
        <v>82</v>
      </c>
      <c r="AE98">
        <v>30869</v>
      </c>
      <c r="AF98">
        <v>0</v>
      </c>
      <c r="AG98">
        <v>0</v>
      </c>
      <c r="AH98">
        <v>18337</v>
      </c>
      <c r="AI98">
        <v>0</v>
      </c>
      <c r="AJ98">
        <v>11733</v>
      </c>
      <c r="AK98">
        <v>799</v>
      </c>
      <c r="AL98">
        <v>8561</v>
      </c>
      <c r="AM98">
        <v>19307</v>
      </c>
      <c r="AN98">
        <v>43075</v>
      </c>
      <c r="AO98">
        <v>83800</v>
      </c>
      <c r="AP98">
        <v>6</v>
      </c>
      <c r="AQ98">
        <v>0</v>
      </c>
      <c r="AR98">
        <v>4</v>
      </c>
      <c r="AS98">
        <v>8</v>
      </c>
      <c r="AT98">
        <v>0</v>
      </c>
      <c r="AU98">
        <v>28</v>
      </c>
      <c r="AV98">
        <v>5</v>
      </c>
      <c r="AW98">
        <v>1</v>
      </c>
      <c r="AX98">
        <v>3</v>
      </c>
      <c r="AY98">
        <v>0</v>
      </c>
      <c r="AZ98">
        <v>5</v>
      </c>
      <c r="BA98">
        <v>15</v>
      </c>
      <c r="BB98">
        <v>22</v>
      </c>
      <c r="BC98">
        <v>9</v>
      </c>
      <c r="BD98">
        <v>2</v>
      </c>
      <c r="BE98">
        <v>0</v>
      </c>
      <c r="BF98">
        <v>4</v>
      </c>
      <c r="BG98">
        <v>0</v>
      </c>
      <c r="BH98">
        <v>6</v>
      </c>
      <c r="BI98">
        <v>0</v>
      </c>
      <c r="BJ98">
        <v>45.928179900000003</v>
      </c>
      <c r="BK98">
        <v>8.5558700000000005</v>
      </c>
      <c r="BL98">
        <v>1800</v>
      </c>
      <c r="BM98" t="s">
        <v>83</v>
      </c>
      <c r="BN98" t="s">
        <v>84</v>
      </c>
      <c r="BO98" t="s">
        <v>85</v>
      </c>
      <c r="BP98" t="s">
        <v>107</v>
      </c>
      <c r="BQ98" t="s">
        <v>203</v>
      </c>
      <c r="BR98" t="s">
        <v>819</v>
      </c>
      <c r="BS98">
        <v>617470</v>
      </c>
      <c r="BT98">
        <v>0</v>
      </c>
      <c r="BU98">
        <v>0</v>
      </c>
      <c r="BV98">
        <v>366768</v>
      </c>
      <c r="BW98">
        <v>0</v>
      </c>
      <c r="BX98">
        <v>234703</v>
      </c>
      <c r="BY98">
        <v>15999</v>
      </c>
      <c r="BZ98">
        <v>1</v>
      </c>
      <c r="CA98" t="s">
        <v>820</v>
      </c>
      <c r="CB98" t="s">
        <v>821</v>
      </c>
      <c r="CC98" s="3">
        <v>46092.557106481479</v>
      </c>
      <c r="CD98" t="s">
        <v>91</v>
      </c>
    </row>
    <row r="99" spans="1:82" ht="16" x14ac:dyDescent="0.2">
      <c r="A99" t="s">
        <v>822</v>
      </c>
      <c r="B99" t="s">
        <v>823</v>
      </c>
      <c r="C99" t="s">
        <v>824</v>
      </c>
      <c r="D99" t="s">
        <v>78</v>
      </c>
      <c r="E99" t="s">
        <v>825</v>
      </c>
      <c r="F99">
        <v>6</v>
      </c>
      <c r="G99">
        <v>300</v>
      </c>
      <c r="H99" t="str">
        <f t="shared" si="8"/>
        <v>6x300</v>
      </c>
      <c r="I99">
        <v>290</v>
      </c>
      <c r="J99" s="4">
        <f t="shared" si="9"/>
        <v>2.6851851851851852E-2</v>
      </c>
      <c r="K99">
        <v>438</v>
      </c>
      <c r="L99" s="4">
        <f t="shared" si="10"/>
        <v>4.0555555555555553E-2</v>
      </c>
      <c r="M99">
        <v>665</v>
      </c>
      <c r="N99" s="4">
        <f t="shared" si="11"/>
        <v>6.157407407407408E-2</v>
      </c>
      <c r="O99">
        <v>1326</v>
      </c>
      <c r="P99" s="4">
        <f t="shared" si="12"/>
        <v>0.12277777777777778</v>
      </c>
      <c r="Q99" s="6" t="str">
        <f t="shared" si="7"/>
        <v>later</v>
      </c>
      <c r="R99" s="6">
        <f t="shared" si="13"/>
        <v>666</v>
      </c>
      <c r="S99">
        <v>304</v>
      </c>
      <c r="T99">
        <v>-50</v>
      </c>
      <c r="U99">
        <v>-34</v>
      </c>
      <c r="V99">
        <v>-8</v>
      </c>
      <c r="W99">
        <v>4</v>
      </c>
      <c r="X99">
        <v>120</v>
      </c>
      <c r="Y99" s="2" t="s">
        <v>826</v>
      </c>
      <c r="Z99">
        <v>45.647728303697697</v>
      </c>
      <c r="AA99">
        <v>12.5471903509229</v>
      </c>
      <c r="AB99" t="s">
        <v>78</v>
      </c>
      <c r="AC99" t="s">
        <v>81</v>
      </c>
      <c r="AD99" t="s">
        <v>82</v>
      </c>
      <c r="AE99">
        <v>33558</v>
      </c>
      <c r="AF99">
        <v>0</v>
      </c>
      <c r="AG99">
        <v>0</v>
      </c>
      <c r="AH99">
        <v>10223</v>
      </c>
      <c r="AI99">
        <v>9827</v>
      </c>
      <c r="AJ99">
        <v>8828</v>
      </c>
      <c r="AK99">
        <v>4680</v>
      </c>
      <c r="AL99">
        <v>4242</v>
      </c>
      <c r="AM99">
        <v>15551</v>
      </c>
      <c r="AN99">
        <v>57063</v>
      </c>
      <c r="AO99">
        <v>98126</v>
      </c>
      <c r="AP99">
        <v>0</v>
      </c>
      <c r="AQ99">
        <v>0</v>
      </c>
      <c r="AR99">
        <v>2</v>
      </c>
      <c r="AS99">
        <v>3</v>
      </c>
      <c r="AT99">
        <v>1</v>
      </c>
      <c r="AU99">
        <v>7</v>
      </c>
      <c r="AV99">
        <v>1</v>
      </c>
      <c r="AW99">
        <v>1</v>
      </c>
      <c r="AX99">
        <v>0</v>
      </c>
      <c r="AY99">
        <v>0</v>
      </c>
      <c r="AZ99">
        <v>0</v>
      </c>
      <c r="BA99">
        <v>4</v>
      </c>
      <c r="BB99">
        <v>17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45.647742800000003</v>
      </c>
      <c r="BK99">
        <v>12.5471804</v>
      </c>
      <c r="BL99">
        <v>1800</v>
      </c>
      <c r="BM99" t="s">
        <v>83</v>
      </c>
      <c r="BN99" t="s">
        <v>84</v>
      </c>
      <c r="BO99" t="s">
        <v>85</v>
      </c>
      <c r="BP99" t="s">
        <v>160</v>
      </c>
      <c r="BQ99" t="s">
        <v>161</v>
      </c>
      <c r="BR99" t="s">
        <v>343</v>
      </c>
      <c r="BS99">
        <v>671309</v>
      </c>
      <c r="BT99">
        <v>0</v>
      </c>
      <c r="BU99">
        <v>0</v>
      </c>
      <c r="BV99">
        <v>204464</v>
      </c>
      <c r="BW99">
        <v>196554</v>
      </c>
      <c r="BX99">
        <v>176648</v>
      </c>
      <c r="BY99">
        <v>93643</v>
      </c>
      <c r="BZ99">
        <v>1</v>
      </c>
      <c r="CA99" t="s">
        <v>827</v>
      </c>
      <c r="CB99" t="s">
        <v>828</v>
      </c>
      <c r="CC99" s="3">
        <v>46092.557106481479</v>
      </c>
      <c r="CD99" t="s">
        <v>91</v>
      </c>
    </row>
    <row r="100" spans="1:82" ht="16" x14ac:dyDescent="0.2">
      <c r="A100" t="s">
        <v>829</v>
      </c>
      <c r="B100" t="s">
        <v>830</v>
      </c>
      <c r="C100" t="s">
        <v>831</v>
      </c>
      <c r="D100" t="s">
        <v>78</v>
      </c>
      <c r="E100" t="s">
        <v>832</v>
      </c>
      <c r="F100">
        <v>6</v>
      </c>
      <c r="G100">
        <v>300</v>
      </c>
      <c r="H100" t="str">
        <f t="shared" si="8"/>
        <v>6x300</v>
      </c>
      <c r="I100">
        <v>290</v>
      </c>
      <c r="J100" s="4">
        <f t="shared" si="9"/>
        <v>2.6851851851851852E-2</v>
      </c>
      <c r="K100">
        <v>438</v>
      </c>
      <c r="L100" s="4">
        <f t="shared" si="10"/>
        <v>4.0555555555555553E-2</v>
      </c>
      <c r="M100">
        <v>665</v>
      </c>
      <c r="N100" s="4">
        <f t="shared" si="11"/>
        <v>6.157407407407408E-2</v>
      </c>
      <c r="O100">
        <v>1326</v>
      </c>
      <c r="P100" s="4">
        <f t="shared" si="12"/>
        <v>0.12277777777777778</v>
      </c>
      <c r="Q100" s="6" t="str">
        <f t="shared" si="7"/>
        <v>later</v>
      </c>
      <c r="R100" s="6">
        <f t="shared" si="13"/>
        <v>666</v>
      </c>
      <c r="S100">
        <v>304</v>
      </c>
      <c r="T100">
        <v>-30</v>
      </c>
      <c r="U100">
        <v>-34</v>
      </c>
      <c r="V100">
        <v>-13</v>
      </c>
      <c r="W100">
        <v>-14</v>
      </c>
      <c r="X100">
        <v>119</v>
      </c>
      <c r="Y100" s="2" t="s">
        <v>833</v>
      </c>
      <c r="Z100">
        <v>45.872947749679298</v>
      </c>
      <c r="AA100">
        <v>11.021234777912101</v>
      </c>
      <c r="AB100" t="s">
        <v>78</v>
      </c>
      <c r="AC100" t="s">
        <v>81</v>
      </c>
      <c r="AD100" t="s">
        <v>82</v>
      </c>
      <c r="AE100">
        <v>34913</v>
      </c>
      <c r="AF100">
        <v>0</v>
      </c>
      <c r="AG100">
        <v>0</v>
      </c>
      <c r="AH100">
        <v>20436</v>
      </c>
      <c r="AI100">
        <v>1858</v>
      </c>
      <c r="AJ100">
        <v>11468</v>
      </c>
      <c r="AK100">
        <v>1151</v>
      </c>
      <c r="AL100">
        <v>3395</v>
      </c>
      <c r="AM100">
        <v>17249</v>
      </c>
      <c r="AN100">
        <v>54861</v>
      </c>
      <c r="AO100">
        <v>79745</v>
      </c>
      <c r="AP100">
        <v>0</v>
      </c>
      <c r="AQ100">
        <v>1</v>
      </c>
      <c r="AR100">
        <v>2</v>
      </c>
      <c r="AS100">
        <v>2</v>
      </c>
      <c r="AT100">
        <v>1</v>
      </c>
      <c r="AU100">
        <v>8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</v>
      </c>
      <c r="BB100">
        <v>8</v>
      </c>
      <c r="BC100">
        <v>2</v>
      </c>
      <c r="BD100">
        <v>2</v>
      </c>
      <c r="BE100">
        <v>0</v>
      </c>
      <c r="BF100">
        <v>2</v>
      </c>
      <c r="BG100">
        <v>0</v>
      </c>
      <c r="BH100">
        <v>6</v>
      </c>
      <c r="BI100">
        <v>0</v>
      </c>
      <c r="BJ100">
        <v>45.8731133</v>
      </c>
      <c r="BK100">
        <v>11.020969900000001</v>
      </c>
      <c r="BL100">
        <v>1800</v>
      </c>
      <c r="BM100" t="s">
        <v>83</v>
      </c>
      <c r="BN100" t="s">
        <v>84</v>
      </c>
      <c r="BO100" t="s">
        <v>85</v>
      </c>
      <c r="BP100" t="s">
        <v>160</v>
      </c>
      <c r="BQ100" t="s">
        <v>794</v>
      </c>
      <c r="BR100" t="s">
        <v>791</v>
      </c>
      <c r="BS100">
        <v>698353</v>
      </c>
      <c r="BT100">
        <v>0</v>
      </c>
      <c r="BU100">
        <v>0</v>
      </c>
      <c r="BV100">
        <v>408767</v>
      </c>
      <c r="BW100">
        <v>37161</v>
      </c>
      <c r="BX100">
        <v>229386</v>
      </c>
      <c r="BY100">
        <v>23039</v>
      </c>
      <c r="BZ100">
        <v>1</v>
      </c>
      <c r="CA100" t="s">
        <v>834</v>
      </c>
      <c r="CB100" t="s">
        <v>835</v>
      </c>
      <c r="CC100" s="3">
        <v>46092.557106481479</v>
      </c>
      <c r="CD100" t="s">
        <v>91</v>
      </c>
    </row>
    <row r="101" spans="1:82" ht="16" x14ac:dyDescent="0.2">
      <c r="A101" t="s">
        <v>837</v>
      </c>
      <c r="B101" t="s">
        <v>838</v>
      </c>
      <c r="C101" t="s">
        <v>839</v>
      </c>
      <c r="D101" t="s">
        <v>78</v>
      </c>
      <c r="E101" t="s">
        <v>840</v>
      </c>
      <c r="F101">
        <v>6</v>
      </c>
      <c r="G101">
        <v>300</v>
      </c>
      <c r="H101" t="str">
        <f t="shared" si="8"/>
        <v>6x300</v>
      </c>
      <c r="I101">
        <v>289</v>
      </c>
      <c r="J101" s="4">
        <f t="shared" si="9"/>
        <v>2.675925925925926E-2</v>
      </c>
      <c r="K101">
        <v>436</v>
      </c>
      <c r="L101" s="4">
        <f t="shared" si="10"/>
        <v>4.0370370370370369E-2</v>
      </c>
      <c r="M101">
        <v>661</v>
      </c>
      <c r="N101" s="4">
        <f t="shared" si="11"/>
        <v>6.1203703703703698E-2</v>
      </c>
      <c r="O101">
        <v>1319</v>
      </c>
      <c r="P101" s="4">
        <f t="shared" si="12"/>
        <v>0.12212962962962963</v>
      </c>
      <c r="Q101" s="6" t="str">
        <f t="shared" si="7"/>
        <v>later</v>
      </c>
      <c r="R101" s="6">
        <f t="shared" si="13"/>
        <v>666</v>
      </c>
      <c r="S101">
        <v>304</v>
      </c>
      <c r="T101">
        <v>-72</v>
      </c>
      <c r="U101">
        <v>-32</v>
      </c>
      <c r="V101">
        <v>2</v>
      </c>
      <c r="W101">
        <v>19</v>
      </c>
      <c r="X101">
        <v>102</v>
      </c>
      <c r="Y101" s="2" t="s">
        <v>841</v>
      </c>
      <c r="Z101">
        <v>45.645789710492402</v>
      </c>
      <c r="AA101">
        <v>9.9373671779121793</v>
      </c>
      <c r="AB101" t="s">
        <v>78</v>
      </c>
      <c r="AC101" t="s">
        <v>81</v>
      </c>
      <c r="AD101" t="s">
        <v>82</v>
      </c>
      <c r="AE101">
        <v>21743</v>
      </c>
      <c r="AF101">
        <v>0</v>
      </c>
      <c r="AG101">
        <v>0</v>
      </c>
      <c r="AH101">
        <v>0</v>
      </c>
      <c r="AI101">
        <v>0</v>
      </c>
      <c r="AJ101">
        <v>21743</v>
      </c>
      <c r="AK101">
        <v>0</v>
      </c>
      <c r="AL101">
        <v>4505</v>
      </c>
      <c r="AM101">
        <v>14707</v>
      </c>
      <c r="AN101">
        <v>61846</v>
      </c>
      <c r="AO101">
        <v>189054</v>
      </c>
      <c r="AP101">
        <v>1</v>
      </c>
      <c r="AQ101">
        <v>0</v>
      </c>
      <c r="AR101">
        <v>2</v>
      </c>
      <c r="AS101">
        <v>11</v>
      </c>
      <c r="AT101">
        <v>0</v>
      </c>
      <c r="AU101">
        <v>9</v>
      </c>
      <c r="AV101">
        <v>5</v>
      </c>
      <c r="AW101">
        <v>0</v>
      </c>
      <c r="AX101">
        <v>0</v>
      </c>
      <c r="AY101">
        <v>0</v>
      </c>
      <c r="AZ101">
        <v>0</v>
      </c>
      <c r="BA101">
        <v>5</v>
      </c>
      <c r="BB101">
        <v>19</v>
      </c>
      <c r="BC101">
        <v>3</v>
      </c>
      <c r="BD101">
        <v>3</v>
      </c>
      <c r="BE101">
        <v>0</v>
      </c>
      <c r="BF101">
        <v>3</v>
      </c>
      <c r="BG101">
        <v>0</v>
      </c>
      <c r="BH101">
        <v>3</v>
      </c>
      <c r="BI101">
        <v>0</v>
      </c>
      <c r="BJ101">
        <v>45.645777699999996</v>
      </c>
      <c r="BK101">
        <v>9.9373764999999992</v>
      </c>
      <c r="BL101">
        <v>1800</v>
      </c>
      <c r="BM101" t="s">
        <v>83</v>
      </c>
      <c r="BN101" t="s">
        <v>84</v>
      </c>
      <c r="BO101" t="s">
        <v>85</v>
      </c>
      <c r="BP101" t="s">
        <v>107</v>
      </c>
      <c r="BQ101" t="s">
        <v>108</v>
      </c>
      <c r="BR101" t="s">
        <v>179</v>
      </c>
      <c r="BS101">
        <v>434926</v>
      </c>
      <c r="BT101">
        <v>0</v>
      </c>
      <c r="BU101">
        <v>0</v>
      </c>
      <c r="BV101">
        <v>0</v>
      </c>
      <c r="BW101">
        <v>0</v>
      </c>
      <c r="BX101">
        <v>434926</v>
      </c>
      <c r="BY101">
        <v>0</v>
      </c>
      <c r="BZ101">
        <v>1</v>
      </c>
      <c r="CA101" t="s">
        <v>842</v>
      </c>
      <c r="CB101" t="s">
        <v>843</v>
      </c>
      <c r="CC101" s="3">
        <v>46092.557106481479</v>
      </c>
      <c r="CD101" t="s">
        <v>91</v>
      </c>
    </row>
    <row r="102" spans="1:82" ht="16" x14ac:dyDescent="0.2">
      <c r="A102" t="s">
        <v>844</v>
      </c>
      <c r="B102" t="s">
        <v>845</v>
      </c>
      <c r="C102" t="s">
        <v>846</v>
      </c>
      <c r="D102" t="s">
        <v>78</v>
      </c>
      <c r="E102" t="s">
        <v>847</v>
      </c>
      <c r="F102">
        <v>6</v>
      </c>
      <c r="G102">
        <v>300</v>
      </c>
      <c r="H102" t="str">
        <f t="shared" si="8"/>
        <v>6x300</v>
      </c>
      <c r="I102">
        <v>287</v>
      </c>
      <c r="J102" s="4">
        <f t="shared" si="9"/>
        <v>2.6574074074074073E-2</v>
      </c>
      <c r="K102">
        <v>433</v>
      </c>
      <c r="L102" s="4">
        <f t="shared" si="10"/>
        <v>4.0092592592592589E-2</v>
      </c>
      <c r="M102">
        <v>657</v>
      </c>
      <c r="N102" s="4">
        <f t="shared" si="11"/>
        <v>6.083333333333333E-2</v>
      </c>
      <c r="O102">
        <v>1311</v>
      </c>
      <c r="P102" s="4">
        <f t="shared" si="12"/>
        <v>0.12138888888888889</v>
      </c>
      <c r="Q102" s="6" t="str">
        <f t="shared" si="7"/>
        <v>later</v>
      </c>
      <c r="R102" s="6">
        <f t="shared" si="13"/>
        <v>666</v>
      </c>
      <c r="S102">
        <v>304</v>
      </c>
      <c r="T102">
        <v>-86</v>
      </c>
      <c r="U102">
        <v>15</v>
      </c>
      <c r="V102">
        <v>5</v>
      </c>
      <c r="W102">
        <v>-26</v>
      </c>
      <c r="X102">
        <v>121</v>
      </c>
      <c r="Y102" s="2" t="s">
        <v>848</v>
      </c>
      <c r="Z102">
        <v>45.692720000000001</v>
      </c>
      <c r="AA102">
        <v>8.8024799999999992</v>
      </c>
      <c r="AB102" t="s">
        <v>78</v>
      </c>
      <c r="AC102" t="s">
        <v>81</v>
      </c>
      <c r="AD102" t="s">
        <v>82</v>
      </c>
      <c r="AE102">
        <v>22226</v>
      </c>
      <c r="AF102">
        <v>0</v>
      </c>
      <c r="AG102">
        <v>0</v>
      </c>
      <c r="AH102">
        <v>0</v>
      </c>
      <c r="AI102">
        <v>9345</v>
      </c>
      <c r="AJ102">
        <v>11534</v>
      </c>
      <c r="AK102">
        <v>1347</v>
      </c>
      <c r="AL102">
        <v>7049</v>
      </c>
      <c r="AM102">
        <v>19870</v>
      </c>
      <c r="AN102">
        <v>120504</v>
      </c>
      <c r="AO102">
        <v>362629</v>
      </c>
      <c r="AP102">
        <v>0</v>
      </c>
      <c r="AQ102">
        <v>0</v>
      </c>
      <c r="AR102">
        <v>2</v>
      </c>
      <c r="AS102">
        <v>6</v>
      </c>
      <c r="AT102">
        <v>0</v>
      </c>
      <c r="AU102">
        <v>15</v>
      </c>
      <c r="AV102">
        <v>3</v>
      </c>
      <c r="AW102">
        <v>0</v>
      </c>
      <c r="AX102">
        <v>0</v>
      </c>
      <c r="AY102">
        <v>3</v>
      </c>
      <c r="AZ102">
        <v>0</v>
      </c>
      <c r="BA102">
        <v>9</v>
      </c>
      <c r="BB102">
        <v>18</v>
      </c>
      <c r="BC102">
        <v>5</v>
      </c>
      <c r="BD102">
        <v>3</v>
      </c>
      <c r="BE102">
        <v>0</v>
      </c>
      <c r="BF102">
        <v>3</v>
      </c>
      <c r="BG102">
        <v>0</v>
      </c>
      <c r="BH102">
        <v>6</v>
      </c>
      <c r="BI102">
        <v>3</v>
      </c>
      <c r="BJ102">
        <v>45.692724900000002</v>
      </c>
      <c r="BK102">
        <v>8.8024316000000002</v>
      </c>
      <c r="BL102">
        <v>1800</v>
      </c>
      <c r="BM102" t="s">
        <v>83</v>
      </c>
      <c r="BN102" t="s">
        <v>84</v>
      </c>
      <c r="BO102" t="s">
        <v>85</v>
      </c>
      <c r="BP102" t="s">
        <v>107</v>
      </c>
      <c r="BQ102" t="s">
        <v>108</v>
      </c>
      <c r="BR102" t="s">
        <v>305</v>
      </c>
      <c r="BS102">
        <v>444622</v>
      </c>
      <c r="BT102">
        <v>0</v>
      </c>
      <c r="BU102">
        <v>0</v>
      </c>
      <c r="BV102">
        <v>0</v>
      </c>
      <c r="BW102">
        <v>186930</v>
      </c>
      <c r="BX102">
        <v>230716</v>
      </c>
      <c r="BY102">
        <v>26976</v>
      </c>
      <c r="BZ102">
        <v>1</v>
      </c>
      <c r="CA102" t="s">
        <v>849</v>
      </c>
      <c r="CB102" t="s">
        <v>850</v>
      </c>
      <c r="CC102" s="3">
        <v>46092.557106481479</v>
      </c>
      <c r="CD102" t="s">
        <v>91</v>
      </c>
    </row>
    <row r="103" spans="1:82" ht="16" x14ac:dyDescent="0.2">
      <c r="A103" t="s">
        <v>851</v>
      </c>
      <c r="B103" t="s">
        <v>852</v>
      </c>
      <c r="C103" t="s">
        <v>853</v>
      </c>
      <c r="D103" t="s">
        <v>78</v>
      </c>
      <c r="E103" t="s">
        <v>854</v>
      </c>
      <c r="F103">
        <v>6</v>
      </c>
      <c r="G103">
        <v>300</v>
      </c>
      <c r="H103" t="str">
        <f t="shared" si="8"/>
        <v>6x300</v>
      </c>
      <c r="I103">
        <v>284</v>
      </c>
      <c r="J103" s="4">
        <f t="shared" si="9"/>
        <v>2.6296296296296293E-2</v>
      </c>
      <c r="K103">
        <v>429</v>
      </c>
      <c r="L103" s="4">
        <f t="shared" si="10"/>
        <v>3.9722222222222221E-2</v>
      </c>
      <c r="M103">
        <v>651</v>
      </c>
      <c r="N103" s="4">
        <f t="shared" si="11"/>
        <v>6.027777777777777E-2</v>
      </c>
      <c r="O103">
        <v>1299</v>
      </c>
      <c r="P103" s="4">
        <f t="shared" si="12"/>
        <v>0.12027777777777778</v>
      </c>
      <c r="Q103" s="6" t="str">
        <f t="shared" si="7"/>
        <v>later</v>
      </c>
      <c r="R103" s="6">
        <f t="shared" si="13"/>
        <v>666</v>
      </c>
      <c r="S103">
        <v>304</v>
      </c>
      <c r="T103">
        <v>-93</v>
      </c>
      <c r="U103">
        <v>-25</v>
      </c>
      <c r="V103">
        <v>0</v>
      </c>
      <c r="W103">
        <v>17</v>
      </c>
      <c r="X103">
        <v>131</v>
      </c>
      <c r="Y103" s="2" t="s">
        <v>855</v>
      </c>
      <c r="Z103">
        <v>45.908024980413202</v>
      </c>
      <c r="AA103">
        <v>12.3388209779121</v>
      </c>
      <c r="AB103" t="s">
        <v>78</v>
      </c>
      <c r="AC103" t="s">
        <v>81</v>
      </c>
      <c r="AD103" t="s">
        <v>82</v>
      </c>
      <c r="AE103">
        <v>23018</v>
      </c>
      <c r="AF103">
        <v>0</v>
      </c>
      <c r="AG103">
        <v>0</v>
      </c>
      <c r="AH103">
        <v>19978</v>
      </c>
      <c r="AI103">
        <v>0</v>
      </c>
      <c r="AJ103">
        <v>3040</v>
      </c>
      <c r="AK103">
        <v>0</v>
      </c>
      <c r="AL103">
        <v>1809</v>
      </c>
      <c r="AM103">
        <v>6714</v>
      </c>
      <c r="AN103">
        <v>49608</v>
      </c>
      <c r="AO103">
        <v>143404</v>
      </c>
      <c r="AP103">
        <v>1</v>
      </c>
      <c r="AQ103">
        <v>0</v>
      </c>
      <c r="AR103">
        <v>3</v>
      </c>
      <c r="AS103">
        <v>7</v>
      </c>
      <c r="AT103">
        <v>2</v>
      </c>
      <c r="AU103">
        <v>10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23</v>
      </c>
      <c r="BB103">
        <v>25</v>
      </c>
      <c r="BC103">
        <v>9</v>
      </c>
      <c r="BD103">
        <v>2</v>
      </c>
      <c r="BE103">
        <v>0</v>
      </c>
      <c r="BF103">
        <v>2</v>
      </c>
      <c r="BG103">
        <v>0</v>
      </c>
      <c r="BH103">
        <v>2</v>
      </c>
      <c r="BI103">
        <v>0</v>
      </c>
      <c r="BJ103">
        <v>45.907999199999999</v>
      </c>
      <c r="BK103">
        <v>12.3388671</v>
      </c>
      <c r="BL103">
        <v>1800</v>
      </c>
      <c r="BM103" t="s">
        <v>83</v>
      </c>
      <c r="BN103" t="s">
        <v>84</v>
      </c>
      <c r="BO103" t="s">
        <v>85</v>
      </c>
      <c r="BP103" t="s">
        <v>160</v>
      </c>
      <c r="BQ103" t="s">
        <v>161</v>
      </c>
      <c r="BR103" t="s">
        <v>428</v>
      </c>
      <c r="BS103">
        <v>460409</v>
      </c>
      <c r="BT103">
        <v>0</v>
      </c>
      <c r="BU103">
        <v>0</v>
      </c>
      <c r="BV103">
        <v>399588</v>
      </c>
      <c r="BW103">
        <v>0</v>
      </c>
      <c r="BX103">
        <v>60821</v>
      </c>
      <c r="BY103">
        <v>0</v>
      </c>
      <c r="BZ103">
        <v>1</v>
      </c>
      <c r="CA103" t="s">
        <v>856</v>
      </c>
      <c r="CB103" t="s">
        <v>857</v>
      </c>
      <c r="CC103" s="3">
        <v>46092.557106481479</v>
      </c>
      <c r="CD103" t="s">
        <v>91</v>
      </c>
    </row>
    <row r="104" spans="1:82" ht="16" x14ac:dyDescent="0.2">
      <c r="A104" t="s">
        <v>858</v>
      </c>
      <c r="B104" t="s">
        <v>859</v>
      </c>
      <c r="C104" t="s">
        <v>860</v>
      </c>
      <c r="D104" t="s">
        <v>78</v>
      </c>
      <c r="E104" t="s">
        <v>861</v>
      </c>
      <c r="F104">
        <v>6</v>
      </c>
      <c r="G104">
        <v>300</v>
      </c>
      <c r="H104" t="str">
        <f t="shared" si="8"/>
        <v>6x300</v>
      </c>
      <c r="I104">
        <v>282</v>
      </c>
      <c r="J104" s="4">
        <f t="shared" si="9"/>
        <v>2.6111111111111109E-2</v>
      </c>
      <c r="K104">
        <v>426</v>
      </c>
      <c r="L104" s="4">
        <f t="shared" si="10"/>
        <v>3.9444444444444442E-2</v>
      </c>
      <c r="M104">
        <v>646</v>
      </c>
      <c r="N104" s="4">
        <f t="shared" si="11"/>
        <v>5.9814814814814814E-2</v>
      </c>
      <c r="O104">
        <v>1289</v>
      </c>
      <c r="P104" s="4">
        <f t="shared" si="12"/>
        <v>0.11935185185185186</v>
      </c>
      <c r="Q104" s="6" t="str">
        <f t="shared" si="7"/>
        <v>later</v>
      </c>
      <c r="R104" s="6">
        <f t="shared" si="13"/>
        <v>666</v>
      </c>
      <c r="S104">
        <v>304</v>
      </c>
      <c r="T104">
        <v>-39</v>
      </c>
      <c r="U104">
        <v>-29</v>
      </c>
      <c r="V104">
        <v>-18</v>
      </c>
      <c r="W104">
        <v>1</v>
      </c>
      <c r="X104">
        <v>97</v>
      </c>
      <c r="Y104" s="2" t="s">
        <v>862</v>
      </c>
      <c r="Z104">
        <v>41.968359999999997</v>
      </c>
      <c r="AA104">
        <v>12.710850000000001</v>
      </c>
      <c r="AB104" t="s">
        <v>78</v>
      </c>
      <c r="AC104" t="s">
        <v>81</v>
      </c>
      <c r="AD104" t="s">
        <v>82</v>
      </c>
      <c r="AE104">
        <v>30880</v>
      </c>
      <c r="AF104">
        <v>0</v>
      </c>
      <c r="AG104">
        <v>0</v>
      </c>
      <c r="AH104">
        <v>6425</v>
      </c>
      <c r="AI104">
        <v>0</v>
      </c>
      <c r="AJ104">
        <v>24455</v>
      </c>
      <c r="AK104">
        <v>0</v>
      </c>
      <c r="AL104">
        <v>5813</v>
      </c>
      <c r="AM104">
        <v>20412</v>
      </c>
      <c r="AN104">
        <v>83970</v>
      </c>
      <c r="AO104">
        <v>287240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10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6</v>
      </c>
      <c r="BB104">
        <v>14</v>
      </c>
      <c r="BC104">
        <v>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41.968721299999999</v>
      </c>
      <c r="BK104">
        <v>12.7104082</v>
      </c>
      <c r="BL104">
        <v>1800</v>
      </c>
      <c r="BM104" t="s">
        <v>83</v>
      </c>
      <c r="BN104" t="s">
        <v>84</v>
      </c>
      <c r="BO104" t="s">
        <v>85</v>
      </c>
      <c r="BP104" t="s">
        <v>86</v>
      </c>
      <c r="BQ104" t="s">
        <v>87</v>
      </c>
      <c r="BR104" t="s">
        <v>88</v>
      </c>
      <c r="BS104">
        <v>617681</v>
      </c>
      <c r="BT104">
        <v>0</v>
      </c>
      <c r="BU104">
        <v>0</v>
      </c>
      <c r="BV104">
        <v>128519</v>
      </c>
      <c r="BW104">
        <v>0</v>
      </c>
      <c r="BX104">
        <v>489162</v>
      </c>
      <c r="BY104">
        <v>0</v>
      </c>
      <c r="BZ104">
        <v>1</v>
      </c>
      <c r="CA104" t="s">
        <v>863</v>
      </c>
      <c r="CB104" t="s">
        <v>864</v>
      </c>
      <c r="CC104" s="3">
        <v>46092.557106481479</v>
      </c>
      <c r="CD104" t="s">
        <v>91</v>
      </c>
    </row>
    <row r="105" spans="1:82" ht="16" x14ac:dyDescent="0.2">
      <c r="A105" t="s">
        <v>865</v>
      </c>
      <c r="B105" t="s">
        <v>866</v>
      </c>
      <c r="C105" t="s">
        <v>867</v>
      </c>
      <c r="D105" t="s">
        <v>78</v>
      </c>
      <c r="E105" t="s">
        <v>868</v>
      </c>
      <c r="F105">
        <v>6</v>
      </c>
      <c r="G105">
        <v>300</v>
      </c>
      <c r="H105" t="str">
        <f t="shared" si="8"/>
        <v>6x300</v>
      </c>
      <c r="I105">
        <v>282</v>
      </c>
      <c r="J105" s="4">
        <f t="shared" si="9"/>
        <v>2.6111111111111109E-2</v>
      </c>
      <c r="K105">
        <v>425</v>
      </c>
      <c r="L105" s="4">
        <f t="shared" si="10"/>
        <v>3.9351851851851853E-2</v>
      </c>
      <c r="M105">
        <v>645</v>
      </c>
      <c r="N105" s="4">
        <f t="shared" si="11"/>
        <v>5.9722222222222225E-2</v>
      </c>
      <c r="O105">
        <v>1287</v>
      </c>
      <c r="P105" s="4">
        <f t="shared" si="12"/>
        <v>0.11916666666666666</v>
      </c>
      <c r="Q105" s="6" t="str">
        <f t="shared" si="7"/>
        <v>later</v>
      </c>
      <c r="R105" s="6">
        <f t="shared" si="13"/>
        <v>666</v>
      </c>
      <c r="S105">
        <v>304</v>
      </c>
      <c r="T105">
        <v>-95</v>
      </c>
      <c r="U105">
        <v>-36</v>
      </c>
      <c r="V105">
        <v>12</v>
      </c>
      <c r="W105">
        <v>19</v>
      </c>
      <c r="X105">
        <v>126</v>
      </c>
      <c r="Y105" s="2" t="s">
        <v>869</v>
      </c>
      <c r="Z105">
        <v>42.767969999999998</v>
      </c>
      <c r="AA105">
        <v>13.955730000000001</v>
      </c>
      <c r="AB105" t="s">
        <v>78</v>
      </c>
      <c r="AC105" t="s">
        <v>81</v>
      </c>
      <c r="AD105" t="s">
        <v>82</v>
      </c>
      <c r="AE105">
        <v>13691</v>
      </c>
      <c r="AF105">
        <v>0</v>
      </c>
      <c r="AG105">
        <v>0</v>
      </c>
      <c r="AH105">
        <v>7149</v>
      </c>
      <c r="AI105">
        <v>0</v>
      </c>
      <c r="AJ105">
        <v>4142</v>
      </c>
      <c r="AK105">
        <v>2400</v>
      </c>
      <c r="AL105">
        <v>2299</v>
      </c>
      <c r="AM105">
        <v>9706</v>
      </c>
      <c r="AN105">
        <v>34208</v>
      </c>
      <c r="AO105">
        <v>71756</v>
      </c>
      <c r="AP105">
        <v>1</v>
      </c>
      <c r="AQ105">
        <v>0</v>
      </c>
      <c r="AR105">
        <v>3</v>
      </c>
      <c r="AS105">
        <v>4</v>
      </c>
      <c r="AT105">
        <v>0</v>
      </c>
      <c r="AU105">
        <v>17</v>
      </c>
      <c r="AV105">
        <v>5</v>
      </c>
      <c r="AW105">
        <v>0</v>
      </c>
      <c r="AX105">
        <v>1</v>
      </c>
      <c r="AY105">
        <v>0</v>
      </c>
      <c r="AZ105">
        <v>0</v>
      </c>
      <c r="BA105">
        <v>2</v>
      </c>
      <c r="BB105">
        <v>6</v>
      </c>
      <c r="BC105">
        <v>1</v>
      </c>
      <c r="BD105">
        <v>2</v>
      </c>
      <c r="BE105">
        <v>0</v>
      </c>
      <c r="BF105">
        <v>2</v>
      </c>
      <c r="BG105">
        <v>0</v>
      </c>
      <c r="BH105">
        <v>2</v>
      </c>
      <c r="BI105">
        <v>0</v>
      </c>
      <c r="BJ105">
        <v>42.767929899999999</v>
      </c>
      <c r="BK105">
        <v>13.95553</v>
      </c>
      <c r="BL105">
        <v>1800</v>
      </c>
      <c r="BM105" t="s">
        <v>83</v>
      </c>
      <c r="BN105" t="s">
        <v>84</v>
      </c>
      <c r="BO105" t="s">
        <v>85</v>
      </c>
      <c r="BP105" t="s">
        <v>97</v>
      </c>
      <c r="BQ105" t="s">
        <v>870</v>
      </c>
      <c r="BR105" t="s">
        <v>871</v>
      </c>
      <c r="BS105">
        <v>273879</v>
      </c>
      <c r="BT105">
        <v>0</v>
      </c>
      <c r="BU105">
        <v>0</v>
      </c>
      <c r="BV105">
        <v>142994</v>
      </c>
      <c r="BW105">
        <v>0</v>
      </c>
      <c r="BX105">
        <v>82878</v>
      </c>
      <c r="BY105">
        <v>48007</v>
      </c>
      <c r="BZ105">
        <v>1</v>
      </c>
      <c r="CA105" t="s">
        <v>872</v>
      </c>
      <c r="CB105" t="s">
        <v>873</v>
      </c>
      <c r="CC105" s="3">
        <v>46092.557106481479</v>
      </c>
      <c r="CD105" t="s">
        <v>91</v>
      </c>
    </row>
    <row r="106" spans="1:82" ht="16" x14ac:dyDescent="0.2">
      <c r="A106" t="s">
        <v>874</v>
      </c>
      <c r="B106" t="s">
        <v>875</v>
      </c>
      <c r="C106" t="s">
        <v>876</v>
      </c>
      <c r="D106" t="s">
        <v>78</v>
      </c>
      <c r="E106" t="s">
        <v>877</v>
      </c>
      <c r="F106">
        <v>6</v>
      </c>
      <c r="G106">
        <v>300</v>
      </c>
      <c r="H106" t="str">
        <f t="shared" si="8"/>
        <v>6x300</v>
      </c>
      <c r="I106">
        <v>279</v>
      </c>
      <c r="J106" s="4">
        <f t="shared" si="9"/>
        <v>2.5833333333333333E-2</v>
      </c>
      <c r="K106">
        <v>422</v>
      </c>
      <c r="L106" s="4">
        <f t="shared" si="10"/>
        <v>3.9074074074074074E-2</v>
      </c>
      <c r="M106">
        <v>640</v>
      </c>
      <c r="N106" s="4">
        <f t="shared" si="11"/>
        <v>5.9259259259259262E-2</v>
      </c>
      <c r="O106">
        <v>1277</v>
      </c>
      <c r="P106" s="4">
        <f t="shared" si="12"/>
        <v>0.11824074074074074</v>
      </c>
      <c r="Q106" s="6" t="str">
        <f t="shared" si="7"/>
        <v>later</v>
      </c>
      <c r="R106" s="6">
        <f t="shared" si="13"/>
        <v>666</v>
      </c>
      <c r="S106">
        <v>304</v>
      </c>
      <c r="T106">
        <v>-82</v>
      </c>
      <c r="U106">
        <v>5</v>
      </c>
      <c r="V106">
        <v>-7</v>
      </c>
      <c r="W106">
        <v>-17</v>
      </c>
      <c r="X106">
        <v>124</v>
      </c>
      <c r="Y106" s="2" t="s">
        <v>878</v>
      </c>
      <c r="Z106">
        <v>45.430994195353897</v>
      </c>
      <c r="AA106">
        <v>10.518557261578501</v>
      </c>
      <c r="AB106" t="s">
        <v>78</v>
      </c>
      <c r="AC106" t="s">
        <v>81</v>
      </c>
      <c r="AD106" t="s">
        <v>82</v>
      </c>
      <c r="AE106">
        <v>9124</v>
      </c>
      <c r="AF106">
        <v>0</v>
      </c>
      <c r="AG106">
        <v>0</v>
      </c>
      <c r="AH106">
        <v>0</v>
      </c>
      <c r="AI106">
        <v>0</v>
      </c>
      <c r="AJ106">
        <v>9124</v>
      </c>
      <c r="AK106">
        <v>0</v>
      </c>
      <c r="AL106">
        <v>194</v>
      </c>
      <c r="AM106">
        <v>1647</v>
      </c>
      <c r="AN106">
        <v>38176</v>
      </c>
      <c r="AO106">
        <v>117109</v>
      </c>
      <c r="AP106">
        <v>0</v>
      </c>
      <c r="AQ106">
        <v>0</v>
      </c>
      <c r="AR106">
        <v>3</v>
      </c>
      <c r="AS106">
        <v>7</v>
      </c>
      <c r="AT106">
        <v>0</v>
      </c>
      <c r="AU106">
        <v>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12</v>
      </c>
      <c r="BB106">
        <v>16</v>
      </c>
      <c r="BC106">
        <v>10</v>
      </c>
      <c r="BD106">
        <v>0</v>
      </c>
      <c r="BE106">
        <v>5</v>
      </c>
      <c r="BF106">
        <v>0</v>
      </c>
      <c r="BG106">
        <v>5</v>
      </c>
      <c r="BH106">
        <v>0</v>
      </c>
      <c r="BI106">
        <v>5</v>
      </c>
      <c r="BJ106">
        <v>45.430881800000002</v>
      </c>
      <c r="BK106">
        <v>10.5185814</v>
      </c>
      <c r="BL106">
        <v>1800</v>
      </c>
      <c r="BM106" t="s">
        <v>83</v>
      </c>
      <c r="BN106" t="s">
        <v>84</v>
      </c>
      <c r="BO106" t="s">
        <v>85</v>
      </c>
      <c r="BP106" t="s">
        <v>107</v>
      </c>
      <c r="BQ106" t="s">
        <v>108</v>
      </c>
      <c r="BR106" t="s">
        <v>179</v>
      </c>
      <c r="BS106">
        <v>182504</v>
      </c>
      <c r="BT106">
        <v>0</v>
      </c>
      <c r="BU106">
        <v>0</v>
      </c>
      <c r="BV106">
        <v>0</v>
      </c>
      <c r="BW106">
        <v>0</v>
      </c>
      <c r="BX106">
        <v>182504</v>
      </c>
      <c r="BY106">
        <v>0</v>
      </c>
      <c r="BZ106">
        <v>1</v>
      </c>
      <c r="CA106" t="s">
        <v>879</v>
      </c>
      <c r="CB106" t="s">
        <v>880</v>
      </c>
      <c r="CC106" s="3">
        <v>46092.557106481479</v>
      </c>
      <c r="CD106" t="s">
        <v>91</v>
      </c>
    </row>
    <row r="107" spans="1:82" ht="16" x14ac:dyDescent="0.2">
      <c r="A107" t="s">
        <v>881</v>
      </c>
      <c r="B107" t="s">
        <v>882</v>
      </c>
      <c r="C107" t="s">
        <v>883</v>
      </c>
      <c r="D107" t="s">
        <v>78</v>
      </c>
      <c r="E107" t="s">
        <v>884</v>
      </c>
      <c r="F107">
        <v>6</v>
      </c>
      <c r="G107">
        <v>300</v>
      </c>
      <c r="H107" t="str">
        <f t="shared" si="8"/>
        <v>6x300</v>
      </c>
      <c r="I107">
        <v>279</v>
      </c>
      <c r="J107" s="4">
        <f t="shared" si="9"/>
        <v>2.5833333333333333E-2</v>
      </c>
      <c r="K107">
        <v>421</v>
      </c>
      <c r="L107" s="4">
        <f t="shared" si="10"/>
        <v>3.8981481481481485E-2</v>
      </c>
      <c r="M107">
        <v>638</v>
      </c>
      <c r="N107" s="4">
        <f t="shared" si="11"/>
        <v>5.9074074074074064E-2</v>
      </c>
      <c r="O107">
        <v>1273</v>
      </c>
      <c r="P107" s="4">
        <f t="shared" si="12"/>
        <v>0.11787037037037036</v>
      </c>
      <c r="Q107" s="6" t="str">
        <f t="shared" si="7"/>
        <v>later</v>
      </c>
      <c r="R107" s="6">
        <f t="shared" si="13"/>
        <v>666</v>
      </c>
      <c r="S107">
        <v>304</v>
      </c>
      <c r="T107">
        <v>-70</v>
      </c>
      <c r="U107">
        <v>-33</v>
      </c>
      <c r="V107">
        <v>-11</v>
      </c>
      <c r="W107">
        <v>16</v>
      </c>
      <c r="X107">
        <v>109</v>
      </c>
      <c r="Y107" s="2" t="s">
        <v>885</v>
      </c>
      <c r="Z107">
        <v>43.859022699999997</v>
      </c>
      <c r="AA107">
        <v>10.763140699999999</v>
      </c>
      <c r="AB107" t="s">
        <v>78</v>
      </c>
      <c r="AC107" t="s">
        <v>81</v>
      </c>
      <c r="AD107" t="s">
        <v>82</v>
      </c>
      <c r="AE107">
        <v>22201</v>
      </c>
      <c r="AF107">
        <v>0</v>
      </c>
      <c r="AG107">
        <v>0</v>
      </c>
      <c r="AH107">
        <v>0</v>
      </c>
      <c r="AI107">
        <v>0</v>
      </c>
      <c r="AJ107">
        <v>22201</v>
      </c>
      <c r="AK107">
        <v>0</v>
      </c>
      <c r="AL107">
        <v>1564</v>
      </c>
      <c r="AM107">
        <v>9855</v>
      </c>
      <c r="AN107">
        <v>73885</v>
      </c>
      <c r="AO107">
        <v>139401</v>
      </c>
      <c r="AP107">
        <v>0</v>
      </c>
      <c r="AQ107">
        <v>0</v>
      </c>
      <c r="AR107">
        <v>1</v>
      </c>
      <c r="AS107">
        <v>7</v>
      </c>
      <c r="AT107">
        <v>0</v>
      </c>
      <c r="AU107">
        <v>17</v>
      </c>
      <c r="AV107">
        <v>1</v>
      </c>
      <c r="AW107">
        <v>0</v>
      </c>
      <c r="AX107">
        <v>0</v>
      </c>
      <c r="AY107">
        <v>0</v>
      </c>
      <c r="AZ107">
        <v>1</v>
      </c>
      <c r="BA107">
        <v>11</v>
      </c>
      <c r="BB107">
        <v>15</v>
      </c>
      <c r="BC107">
        <v>9</v>
      </c>
      <c r="BD107">
        <v>2</v>
      </c>
      <c r="BE107">
        <v>0</v>
      </c>
      <c r="BF107">
        <v>2</v>
      </c>
      <c r="BG107">
        <v>0</v>
      </c>
      <c r="BH107">
        <v>2</v>
      </c>
      <c r="BI107">
        <v>0</v>
      </c>
      <c r="BJ107">
        <v>43.859012300000003</v>
      </c>
      <c r="BK107">
        <v>10.763164700000001</v>
      </c>
      <c r="BL107">
        <v>1800</v>
      </c>
      <c r="BM107" t="s">
        <v>83</v>
      </c>
      <c r="BN107" t="s">
        <v>84</v>
      </c>
      <c r="BO107" t="s">
        <v>85</v>
      </c>
      <c r="BP107" t="s">
        <v>86</v>
      </c>
      <c r="BQ107" t="s">
        <v>212</v>
      </c>
      <c r="BR107" t="s">
        <v>886</v>
      </c>
      <c r="BS107">
        <v>444130</v>
      </c>
      <c r="BT107">
        <v>0</v>
      </c>
      <c r="BU107">
        <v>0</v>
      </c>
      <c r="BV107">
        <v>0</v>
      </c>
      <c r="BW107">
        <v>0</v>
      </c>
      <c r="BX107">
        <v>444130</v>
      </c>
      <c r="BY107">
        <v>0</v>
      </c>
      <c r="BZ107">
        <v>1</v>
      </c>
      <c r="CA107" t="s">
        <v>887</v>
      </c>
      <c r="CB107" t="s">
        <v>888</v>
      </c>
      <c r="CC107" s="3">
        <v>46092.557106481479</v>
      </c>
      <c r="CD107" t="s">
        <v>91</v>
      </c>
    </row>
    <row r="108" spans="1:82" ht="16" x14ac:dyDescent="0.2">
      <c r="A108" t="s">
        <v>889</v>
      </c>
      <c r="B108" t="s">
        <v>890</v>
      </c>
      <c r="C108" t="s">
        <v>891</v>
      </c>
      <c r="D108" t="s">
        <v>78</v>
      </c>
      <c r="E108" t="s">
        <v>892</v>
      </c>
      <c r="F108">
        <v>6</v>
      </c>
      <c r="G108">
        <v>300</v>
      </c>
      <c r="H108" t="str">
        <f t="shared" si="8"/>
        <v>6x300</v>
      </c>
      <c r="I108">
        <v>274</v>
      </c>
      <c r="J108" s="4">
        <f t="shared" si="9"/>
        <v>2.5370370370370373E-2</v>
      </c>
      <c r="K108">
        <v>414</v>
      </c>
      <c r="L108" s="4">
        <f t="shared" si="10"/>
        <v>3.833333333333333E-2</v>
      </c>
      <c r="M108">
        <v>628</v>
      </c>
      <c r="N108" s="4">
        <f t="shared" si="11"/>
        <v>5.8148148148148143E-2</v>
      </c>
      <c r="O108">
        <v>1253</v>
      </c>
      <c r="P108" s="4">
        <f t="shared" si="12"/>
        <v>0.11601851851851852</v>
      </c>
      <c r="Q108" s="6" t="str">
        <f t="shared" si="7"/>
        <v>later</v>
      </c>
      <c r="R108" s="6">
        <f t="shared" si="13"/>
        <v>666</v>
      </c>
      <c r="S108">
        <v>304</v>
      </c>
      <c r="T108">
        <v>-37</v>
      </c>
      <c r="U108">
        <v>-39</v>
      </c>
      <c r="V108">
        <v>-12</v>
      </c>
      <c r="W108">
        <v>-21</v>
      </c>
      <c r="X108">
        <v>130</v>
      </c>
      <c r="Y108" s="2" t="s">
        <v>893</v>
      </c>
      <c r="Z108">
        <v>43.720547000000003</v>
      </c>
      <c r="AA108">
        <v>10.979559200000001</v>
      </c>
      <c r="AB108" t="s">
        <v>78</v>
      </c>
      <c r="AC108" t="s">
        <v>81</v>
      </c>
      <c r="AD108" t="s">
        <v>82</v>
      </c>
      <c r="AE108">
        <v>75237</v>
      </c>
      <c r="AF108">
        <v>0</v>
      </c>
      <c r="AG108">
        <v>0</v>
      </c>
      <c r="AH108">
        <v>51717</v>
      </c>
      <c r="AI108">
        <v>9416</v>
      </c>
      <c r="AJ108">
        <v>13711</v>
      </c>
      <c r="AK108">
        <v>393</v>
      </c>
      <c r="AL108">
        <v>1146</v>
      </c>
      <c r="AM108">
        <v>13848</v>
      </c>
      <c r="AN108">
        <v>69024</v>
      </c>
      <c r="AO108">
        <v>108694</v>
      </c>
      <c r="AP108">
        <v>0</v>
      </c>
      <c r="AQ108">
        <v>0</v>
      </c>
      <c r="AR108">
        <v>1</v>
      </c>
      <c r="AS108">
        <v>8</v>
      </c>
      <c r="AT108">
        <v>0</v>
      </c>
      <c r="AU108">
        <v>12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10</v>
      </c>
      <c r="BB108">
        <v>12</v>
      </c>
      <c r="BC108">
        <v>6</v>
      </c>
      <c r="BD108">
        <v>0</v>
      </c>
      <c r="BE108">
        <v>2</v>
      </c>
      <c r="BF108">
        <v>0</v>
      </c>
      <c r="BG108">
        <v>2</v>
      </c>
      <c r="BH108">
        <v>0</v>
      </c>
      <c r="BI108">
        <v>2</v>
      </c>
      <c r="BJ108">
        <v>43.720489999999998</v>
      </c>
      <c r="BK108">
        <v>10.979579899999999</v>
      </c>
      <c r="BL108">
        <v>1800</v>
      </c>
      <c r="BM108" t="s">
        <v>83</v>
      </c>
      <c r="BN108" t="s">
        <v>84</v>
      </c>
      <c r="BO108" t="s">
        <v>85</v>
      </c>
      <c r="BP108" t="s">
        <v>86</v>
      </c>
      <c r="BQ108" t="s">
        <v>212</v>
      </c>
      <c r="BR108" t="s">
        <v>213</v>
      </c>
      <c r="BS108">
        <v>1793196</v>
      </c>
      <c r="BT108">
        <v>0</v>
      </c>
      <c r="BU108">
        <v>0</v>
      </c>
      <c r="BV108">
        <v>1344686</v>
      </c>
      <c r="BW108">
        <v>188336</v>
      </c>
      <c r="BX108">
        <v>252291</v>
      </c>
      <c r="BY108">
        <v>7883</v>
      </c>
      <c r="BZ108">
        <v>1</v>
      </c>
      <c r="CA108" t="s">
        <v>894</v>
      </c>
      <c r="CB108" t="s">
        <v>895</v>
      </c>
      <c r="CC108" s="3">
        <v>46092.557106481479</v>
      </c>
      <c r="CD108" t="s">
        <v>91</v>
      </c>
    </row>
    <row r="109" spans="1:82" ht="16" x14ac:dyDescent="0.2">
      <c r="A109" t="s">
        <v>898</v>
      </c>
      <c r="B109" t="s">
        <v>899</v>
      </c>
      <c r="C109" t="s">
        <v>900</v>
      </c>
      <c r="D109" t="s">
        <v>78</v>
      </c>
      <c r="E109" t="s">
        <v>901</v>
      </c>
      <c r="F109">
        <v>6</v>
      </c>
      <c r="G109">
        <v>300</v>
      </c>
      <c r="H109" t="str">
        <f t="shared" si="8"/>
        <v>6x300</v>
      </c>
      <c r="I109">
        <v>272</v>
      </c>
      <c r="J109" s="4">
        <f t="shared" si="9"/>
        <v>2.5185185185185185E-2</v>
      </c>
      <c r="K109">
        <v>410</v>
      </c>
      <c r="L109" s="4">
        <f t="shared" si="10"/>
        <v>3.7962962962962962E-2</v>
      </c>
      <c r="M109">
        <v>622</v>
      </c>
      <c r="N109" s="4">
        <f t="shared" si="11"/>
        <v>5.7592592592592591E-2</v>
      </c>
      <c r="O109">
        <v>1242</v>
      </c>
      <c r="P109" s="4">
        <f t="shared" si="12"/>
        <v>0.11499999999999999</v>
      </c>
      <c r="Q109" s="6" t="str">
        <f t="shared" si="7"/>
        <v>later</v>
      </c>
      <c r="R109" s="6">
        <f t="shared" si="13"/>
        <v>666</v>
      </c>
      <c r="S109">
        <v>304</v>
      </c>
      <c r="T109">
        <v>-89</v>
      </c>
      <c r="U109">
        <v>-29</v>
      </c>
      <c r="V109">
        <v>8</v>
      </c>
      <c r="W109">
        <v>12</v>
      </c>
      <c r="X109">
        <v>118</v>
      </c>
      <c r="Y109" s="2" t="s">
        <v>902</v>
      </c>
      <c r="Z109">
        <v>45.033625767784002</v>
      </c>
      <c r="AA109">
        <v>11.7774479355824</v>
      </c>
      <c r="AB109" t="s">
        <v>78</v>
      </c>
      <c r="AC109" t="s">
        <v>81</v>
      </c>
      <c r="AD109" t="s">
        <v>82</v>
      </c>
      <c r="AE109">
        <v>15439</v>
      </c>
      <c r="AF109">
        <v>0</v>
      </c>
      <c r="AG109">
        <v>0</v>
      </c>
      <c r="AH109">
        <v>8055</v>
      </c>
      <c r="AI109">
        <v>0</v>
      </c>
      <c r="AJ109">
        <v>7384</v>
      </c>
      <c r="AK109">
        <v>0</v>
      </c>
      <c r="AL109">
        <v>546</v>
      </c>
      <c r="AM109">
        <v>3668</v>
      </c>
      <c r="AN109">
        <v>37187</v>
      </c>
      <c r="AO109">
        <v>76687</v>
      </c>
      <c r="AP109">
        <v>1</v>
      </c>
      <c r="AQ109">
        <v>0</v>
      </c>
      <c r="AR109">
        <v>12</v>
      </c>
      <c r="AS109">
        <v>13</v>
      </c>
      <c r="AT109">
        <v>0</v>
      </c>
      <c r="AU109">
        <v>25</v>
      </c>
      <c r="AV109">
        <v>2</v>
      </c>
      <c r="AW109">
        <v>0</v>
      </c>
      <c r="AX109">
        <v>0</v>
      </c>
      <c r="AY109">
        <v>0</v>
      </c>
      <c r="AZ109">
        <v>0</v>
      </c>
      <c r="BA109">
        <v>4</v>
      </c>
      <c r="BB109">
        <v>7</v>
      </c>
      <c r="BC109">
        <v>4</v>
      </c>
      <c r="BD109">
        <v>2</v>
      </c>
      <c r="BE109">
        <v>0</v>
      </c>
      <c r="BF109">
        <v>2</v>
      </c>
      <c r="BG109">
        <v>0</v>
      </c>
      <c r="BH109">
        <v>2</v>
      </c>
      <c r="BI109">
        <v>0</v>
      </c>
      <c r="BJ109">
        <v>45.033762600000003</v>
      </c>
      <c r="BK109">
        <v>11.7775178</v>
      </c>
      <c r="BL109">
        <v>1800</v>
      </c>
      <c r="BM109" t="s">
        <v>83</v>
      </c>
      <c r="BN109" t="s">
        <v>84</v>
      </c>
      <c r="BO109" t="s">
        <v>85</v>
      </c>
      <c r="BP109" t="s">
        <v>160</v>
      </c>
      <c r="BQ109" t="s">
        <v>161</v>
      </c>
      <c r="BR109" t="s">
        <v>900</v>
      </c>
      <c r="BS109">
        <v>292820</v>
      </c>
      <c r="BT109">
        <v>0</v>
      </c>
      <c r="BU109">
        <v>0</v>
      </c>
      <c r="BV109">
        <v>161105</v>
      </c>
      <c r="BW109">
        <v>0</v>
      </c>
      <c r="BX109">
        <v>131715</v>
      </c>
      <c r="BY109">
        <v>0</v>
      </c>
      <c r="BZ109">
        <v>1</v>
      </c>
      <c r="CA109" t="s">
        <v>903</v>
      </c>
      <c r="CB109" t="s">
        <v>904</v>
      </c>
      <c r="CC109" s="3">
        <v>46092.557106481479</v>
      </c>
      <c r="CD109" t="s">
        <v>91</v>
      </c>
    </row>
    <row r="110" spans="1:82" ht="16" x14ac:dyDescent="0.2">
      <c r="A110" t="s">
        <v>905</v>
      </c>
      <c r="B110" t="s">
        <v>906</v>
      </c>
      <c r="C110" t="s">
        <v>907</v>
      </c>
      <c r="D110" t="s">
        <v>78</v>
      </c>
      <c r="E110" t="s">
        <v>908</v>
      </c>
      <c r="F110">
        <v>6</v>
      </c>
      <c r="G110">
        <v>300</v>
      </c>
      <c r="H110" t="str">
        <f t="shared" si="8"/>
        <v>6x300</v>
      </c>
      <c r="I110">
        <v>266</v>
      </c>
      <c r="J110" s="4">
        <f t="shared" si="9"/>
        <v>2.462962962962963E-2</v>
      </c>
      <c r="K110">
        <v>402</v>
      </c>
      <c r="L110" s="4">
        <f t="shared" si="10"/>
        <v>3.7222222222222226E-2</v>
      </c>
      <c r="M110">
        <v>609</v>
      </c>
      <c r="N110" s="4">
        <f t="shared" si="11"/>
        <v>5.6388888888888884E-2</v>
      </c>
      <c r="O110">
        <v>1216</v>
      </c>
      <c r="P110" s="4">
        <f t="shared" si="12"/>
        <v>0.11259259259259259</v>
      </c>
      <c r="Q110" s="6" t="str">
        <f t="shared" si="7"/>
        <v>later</v>
      </c>
      <c r="R110" s="6">
        <f t="shared" si="13"/>
        <v>666</v>
      </c>
      <c r="S110">
        <v>304</v>
      </c>
      <c r="T110">
        <v>-84</v>
      </c>
      <c r="U110">
        <v>-30</v>
      </c>
      <c r="V110">
        <v>9</v>
      </c>
      <c r="W110">
        <v>-4</v>
      </c>
      <c r="X110">
        <v>112</v>
      </c>
      <c r="Y110" s="2" t="s">
        <v>909</v>
      </c>
      <c r="Z110">
        <v>42.348129999999998</v>
      </c>
      <c r="AA110">
        <v>13.351430000000001</v>
      </c>
      <c r="AB110" t="s">
        <v>78</v>
      </c>
      <c r="AC110" t="s">
        <v>81</v>
      </c>
      <c r="AD110" t="s">
        <v>82</v>
      </c>
      <c r="AE110">
        <v>1928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1928</v>
      </c>
      <c r="AL110">
        <v>254</v>
      </c>
      <c r="AM110">
        <v>2747</v>
      </c>
      <c r="AN110">
        <v>35329</v>
      </c>
      <c r="AO110">
        <v>75093</v>
      </c>
      <c r="AP110">
        <v>1</v>
      </c>
      <c r="AQ110">
        <v>0</v>
      </c>
      <c r="AR110">
        <v>4</v>
      </c>
      <c r="AS110">
        <v>14</v>
      </c>
      <c r="AT110">
        <v>1</v>
      </c>
      <c r="AU110">
        <v>15</v>
      </c>
      <c r="AV110">
        <v>1</v>
      </c>
      <c r="AW110">
        <v>0</v>
      </c>
      <c r="AX110">
        <v>0</v>
      </c>
      <c r="AY110">
        <v>1</v>
      </c>
      <c r="AZ110">
        <v>3</v>
      </c>
      <c r="BA110">
        <v>6</v>
      </c>
      <c r="BB110">
        <v>10</v>
      </c>
      <c r="BC110">
        <v>2</v>
      </c>
      <c r="BD110">
        <v>4</v>
      </c>
      <c r="BE110">
        <v>0</v>
      </c>
      <c r="BF110">
        <v>4</v>
      </c>
      <c r="BG110">
        <v>0</v>
      </c>
      <c r="BH110">
        <v>4</v>
      </c>
      <c r="BI110">
        <v>0</v>
      </c>
      <c r="BJ110">
        <v>42.348097500000002</v>
      </c>
      <c r="BK110">
        <v>13.351402800000001</v>
      </c>
      <c r="BL110">
        <v>1800</v>
      </c>
      <c r="BM110" t="s">
        <v>83</v>
      </c>
      <c r="BN110" t="s">
        <v>84</v>
      </c>
      <c r="BO110" t="s">
        <v>85</v>
      </c>
      <c r="BP110" t="s">
        <v>97</v>
      </c>
      <c r="BQ110" t="s">
        <v>870</v>
      </c>
      <c r="BR110" t="s">
        <v>910</v>
      </c>
      <c r="BS110">
        <v>38573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38573</v>
      </c>
      <c r="BZ110">
        <v>1</v>
      </c>
      <c r="CA110" t="s">
        <v>911</v>
      </c>
      <c r="CB110" t="s">
        <v>912</v>
      </c>
      <c r="CC110" s="3">
        <v>46092.557106481479</v>
      </c>
      <c r="CD110" t="s">
        <v>91</v>
      </c>
    </row>
    <row r="111" spans="1:82" ht="16" x14ac:dyDescent="0.2">
      <c r="A111" t="s">
        <v>913</v>
      </c>
      <c r="B111" t="s">
        <v>914</v>
      </c>
      <c r="C111" t="s">
        <v>915</v>
      </c>
      <c r="D111" t="s">
        <v>78</v>
      </c>
      <c r="E111" t="s">
        <v>916</v>
      </c>
      <c r="F111">
        <v>6</v>
      </c>
      <c r="G111">
        <v>300</v>
      </c>
      <c r="H111" t="str">
        <f t="shared" si="8"/>
        <v>6x300</v>
      </c>
      <c r="I111">
        <v>265</v>
      </c>
      <c r="J111" s="4">
        <f t="shared" si="9"/>
        <v>2.4537037037037038E-2</v>
      </c>
      <c r="K111">
        <v>401</v>
      </c>
      <c r="L111" s="4">
        <f t="shared" si="10"/>
        <v>3.712962962962963E-2</v>
      </c>
      <c r="M111">
        <v>608</v>
      </c>
      <c r="N111" s="4">
        <f t="shared" si="11"/>
        <v>5.6296296296296296E-2</v>
      </c>
      <c r="O111">
        <v>1212</v>
      </c>
      <c r="P111" s="4">
        <f t="shared" si="12"/>
        <v>0.11222222222222222</v>
      </c>
      <c r="Q111" s="6" t="str">
        <f t="shared" si="7"/>
        <v>later</v>
      </c>
      <c r="R111" s="6">
        <f t="shared" si="13"/>
        <v>666</v>
      </c>
      <c r="S111">
        <v>304</v>
      </c>
      <c r="T111">
        <v>-55</v>
      </c>
      <c r="U111">
        <v>-38</v>
      </c>
      <c r="V111">
        <v>14</v>
      </c>
      <c r="W111">
        <v>-31</v>
      </c>
      <c r="X111">
        <v>116</v>
      </c>
      <c r="Y111" s="2" t="s">
        <v>917</v>
      </c>
      <c r="Z111">
        <v>40.953808000000002</v>
      </c>
      <c r="AA111">
        <v>9.4968459999999997</v>
      </c>
      <c r="AB111" t="s">
        <v>78</v>
      </c>
      <c r="AC111" t="s">
        <v>81</v>
      </c>
      <c r="AD111" t="s">
        <v>82</v>
      </c>
      <c r="AE111">
        <v>20002</v>
      </c>
      <c r="AF111">
        <v>0</v>
      </c>
      <c r="AG111">
        <v>18988</v>
      </c>
      <c r="AH111">
        <v>0</v>
      </c>
      <c r="AI111">
        <v>0</v>
      </c>
      <c r="AJ111">
        <v>1014</v>
      </c>
      <c r="AK111">
        <v>0</v>
      </c>
      <c r="AL111">
        <v>2107</v>
      </c>
      <c r="AM111">
        <v>7799</v>
      </c>
      <c r="AN111">
        <v>43421</v>
      </c>
      <c r="AO111">
        <v>51734</v>
      </c>
      <c r="AP111">
        <v>1</v>
      </c>
      <c r="AQ111">
        <v>2</v>
      </c>
      <c r="AR111">
        <v>4</v>
      </c>
      <c r="AS111">
        <v>3</v>
      </c>
      <c r="AT111">
        <v>2</v>
      </c>
      <c r="AU111">
        <v>20</v>
      </c>
      <c r="AV111">
        <v>4</v>
      </c>
      <c r="AW111">
        <v>0</v>
      </c>
      <c r="AX111">
        <v>2</v>
      </c>
      <c r="AY111">
        <v>0</v>
      </c>
      <c r="AZ111">
        <v>4</v>
      </c>
      <c r="BA111">
        <v>10</v>
      </c>
      <c r="BB111">
        <v>28</v>
      </c>
      <c r="BC111">
        <v>8</v>
      </c>
      <c r="BD111">
        <v>0</v>
      </c>
      <c r="BE111">
        <v>0</v>
      </c>
      <c r="BF111">
        <v>8</v>
      </c>
      <c r="BG111">
        <v>0</v>
      </c>
      <c r="BH111">
        <v>12</v>
      </c>
      <c r="BI111">
        <v>0</v>
      </c>
      <c r="BJ111">
        <v>40.953898199999998</v>
      </c>
      <c r="BK111">
        <v>9.4970441000000001</v>
      </c>
      <c r="BL111">
        <v>1800</v>
      </c>
      <c r="BM111" t="s">
        <v>83</v>
      </c>
      <c r="BN111" t="s">
        <v>84</v>
      </c>
      <c r="BO111" t="s">
        <v>85</v>
      </c>
      <c r="BP111" t="s">
        <v>242</v>
      </c>
      <c r="BQ111" t="s">
        <v>335</v>
      </c>
      <c r="BR111" t="s">
        <v>918</v>
      </c>
      <c r="BS111">
        <v>385997</v>
      </c>
      <c r="BT111">
        <v>0</v>
      </c>
      <c r="BU111">
        <v>365704</v>
      </c>
      <c r="BV111">
        <v>0</v>
      </c>
      <c r="BW111">
        <v>0</v>
      </c>
      <c r="BX111">
        <v>20293</v>
      </c>
      <c r="BY111">
        <v>0</v>
      </c>
      <c r="BZ111">
        <v>1</v>
      </c>
      <c r="CA111" t="s">
        <v>919</v>
      </c>
      <c r="CB111" t="s">
        <v>920</v>
      </c>
      <c r="CC111" s="3">
        <v>46092.557106481479</v>
      </c>
      <c r="CD111" t="s">
        <v>91</v>
      </c>
    </row>
    <row r="112" spans="1:82" ht="16" x14ac:dyDescent="0.2">
      <c r="A112" t="s">
        <v>921</v>
      </c>
      <c r="B112" t="s">
        <v>922</v>
      </c>
      <c r="C112" t="s">
        <v>923</v>
      </c>
      <c r="D112" t="s">
        <v>78</v>
      </c>
      <c r="E112" t="s">
        <v>924</v>
      </c>
      <c r="F112">
        <v>6</v>
      </c>
      <c r="G112">
        <v>300</v>
      </c>
      <c r="H112" t="str">
        <f t="shared" si="8"/>
        <v>6x300</v>
      </c>
      <c r="I112">
        <v>264</v>
      </c>
      <c r="J112" s="4">
        <f t="shared" si="9"/>
        <v>2.4444444444444446E-2</v>
      </c>
      <c r="K112">
        <v>399</v>
      </c>
      <c r="L112" s="4">
        <f t="shared" si="10"/>
        <v>3.6944444444444446E-2</v>
      </c>
      <c r="M112">
        <v>604</v>
      </c>
      <c r="N112" s="4">
        <f t="shared" si="11"/>
        <v>5.5925925925925928E-2</v>
      </c>
      <c r="O112">
        <v>1206</v>
      </c>
      <c r="P112" s="4">
        <f t="shared" si="12"/>
        <v>0.11166666666666665</v>
      </c>
      <c r="Q112" s="6" t="str">
        <f t="shared" si="7"/>
        <v>later</v>
      </c>
      <c r="R112" s="6">
        <f t="shared" si="13"/>
        <v>666</v>
      </c>
      <c r="S112">
        <v>304</v>
      </c>
      <c r="T112">
        <v>-82</v>
      </c>
      <c r="U112">
        <v>-30</v>
      </c>
      <c r="V112">
        <v>0</v>
      </c>
      <c r="W112">
        <v>-3</v>
      </c>
      <c r="X112">
        <v>120</v>
      </c>
      <c r="Y112" s="2" t="s">
        <v>925</v>
      </c>
      <c r="Z112">
        <v>43.7368691033315</v>
      </c>
      <c r="AA112">
        <v>10.803782449077</v>
      </c>
      <c r="AB112" t="s">
        <v>78</v>
      </c>
      <c r="AC112" t="s">
        <v>81</v>
      </c>
      <c r="AD112" t="s">
        <v>82</v>
      </c>
      <c r="AE112">
        <v>25230</v>
      </c>
      <c r="AF112">
        <v>0</v>
      </c>
      <c r="AG112">
        <v>0</v>
      </c>
      <c r="AH112">
        <v>0</v>
      </c>
      <c r="AI112">
        <v>10953</v>
      </c>
      <c r="AJ112">
        <v>11891</v>
      </c>
      <c r="AK112">
        <v>2386</v>
      </c>
      <c r="AL112">
        <v>6009</v>
      </c>
      <c r="AM112">
        <v>14149</v>
      </c>
      <c r="AN112">
        <v>39112</v>
      </c>
      <c r="AO112">
        <v>113675</v>
      </c>
      <c r="AP112">
        <v>7</v>
      </c>
      <c r="AQ112">
        <v>0</v>
      </c>
      <c r="AR112">
        <v>3</v>
      </c>
      <c r="AS112">
        <v>2</v>
      </c>
      <c r="AT112">
        <v>0</v>
      </c>
      <c r="AU112">
        <v>15</v>
      </c>
      <c r="AV112">
        <v>3</v>
      </c>
      <c r="AW112">
        <v>0</v>
      </c>
      <c r="AX112">
        <v>0</v>
      </c>
      <c r="AY112">
        <v>0</v>
      </c>
      <c r="AZ112">
        <v>4</v>
      </c>
      <c r="BA112">
        <v>0</v>
      </c>
      <c r="BB112">
        <v>4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43.736789899999998</v>
      </c>
      <c r="BK112">
        <v>10.8037999</v>
      </c>
      <c r="BL112">
        <v>1800</v>
      </c>
      <c r="BM112" t="s">
        <v>83</v>
      </c>
      <c r="BN112" t="s">
        <v>84</v>
      </c>
      <c r="BO112" t="s">
        <v>85</v>
      </c>
      <c r="BP112" t="s">
        <v>86</v>
      </c>
      <c r="BQ112" t="s">
        <v>212</v>
      </c>
      <c r="BR112" t="s">
        <v>213</v>
      </c>
      <c r="BS112">
        <v>504692</v>
      </c>
      <c r="BT112">
        <v>0</v>
      </c>
      <c r="BU112">
        <v>0</v>
      </c>
      <c r="BV112">
        <v>0</v>
      </c>
      <c r="BW112">
        <v>219083</v>
      </c>
      <c r="BX112">
        <v>237844</v>
      </c>
      <c r="BY112">
        <v>47765</v>
      </c>
      <c r="BZ112">
        <v>1</v>
      </c>
      <c r="CA112" t="s">
        <v>926</v>
      </c>
      <c r="CB112" t="s">
        <v>927</v>
      </c>
      <c r="CC112" s="3">
        <v>46092.557106481479</v>
      </c>
      <c r="CD112" t="s">
        <v>91</v>
      </c>
    </row>
    <row r="113" spans="1:82" ht="16" x14ac:dyDescent="0.2">
      <c r="A113" t="s">
        <v>928</v>
      </c>
      <c r="B113" t="s">
        <v>929</v>
      </c>
      <c r="C113" t="s">
        <v>930</v>
      </c>
      <c r="D113" t="s">
        <v>78</v>
      </c>
      <c r="E113" t="s">
        <v>931</v>
      </c>
      <c r="F113">
        <v>6</v>
      </c>
      <c r="G113">
        <v>300</v>
      </c>
      <c r="H113" t="str">
        <f t="shared" si="8"/>
        <v>6x300</v>
      </c>
      <c r="I113">
        <v>263</v>
      </c>
      <c r="J113" s="4">
        <f t="shared" si="9"/>
        <v>2.435185185185185E-2</v>
      </c>
      <c r="K113">
        <v>397</v>
      </c>
      <c r="L113" s="4">
        <f t="shared" si="10"/>
        <v>3.6759259259259255E-2</v>
      </c>
      <c r="M113">
        <v>603</v>
      </c>
      <c r="N113" s="4">
        <f t="shared" si="11"/>
        <v>5.5833333333333325E-2</v>
      </c>
      <c r="O113">
        <v>1202</v>
      </c>
      <c r="P113" s="4">
        <f t="shared" si="12"/>
        <v>0.1112962962962963</v>
      </c>
      <c r="Q113" s="6" t="str">
        <f t="shared" si="7"/>
        <v>later</v>
      </c>
      <c r="R113" s="6">
        <f t="shared" si="13"/>
        <v>666</v>
      </c>
      <c r="S113">
        <v>304</v>
      </c>
      <c r="T113">
        <v>-102</v>
      </c>
      <c r="U113">
        <v>-37</v>
      </c>
      <c r="V113">
        <v>19</v>
      </c>
      <c r="W113">
        <v>1</v>
      </c>
      <c r="X113">
        <v>123</v>
      </c>
      <c r="Y113" s="2" t="s">
        <v>932</v>
      </c>
      <c r="Z113">
        <v>43.879240000000003</v>
      </c>
      <c r="AA113">
        <v>8.0056799999999999</v>
      </c>
      <c r="AB113" t="s">
        <v>78</v>
      </c>
      <c r="AC113" t="s">
        <v>81</v>
      </c>
      <c r="AD113" t="s">
        <v>82</v>
      </c>
      <c r="AE113">
        <v>20088</v>
      </c>
      <c r="AF113">
        <v>0</v>
      </c>
      <c r="AG113">
        <v>0</v>
      </c>
      <c r="AH113">
        <v>18821</v>
      </c>
      <c r="AI113">
        <v>0</v>
      </c>
      <c r="AJ113">
        <v>1138</v>
      </c>
      <c r="AK113">
        <v>129</v>
      </c>
      <c r="AL113">
        <v>7487</v>
      </c>
      <c r="AM113">
        <v>16661</v>
      </c>
      <c r="AN113">
        <v>44436</v>
      </c>
      <c r="AO113">
        <v>66441</v>
      </c>
      <c r="AP113">
        <v>3</v>
      </c>
      <c r="AQ113">
        <v>0</v>
      </c>
      <c r="AR113">
        <v>2</v>
      </c>
      <c r="AS113">
        <v>10</v>
      </c>
      <c r="AT113">
        <v>0</v>
      </c>
      <c r="AU113">
        <v>18</v>
      </c>
      <c r="AV113">
        <v>0</v>
      </c>
      <c r="AW113">
        <v>0</v>
      </c>
      <c r="AX113">
        <v>3</v>
      </c>
      <c r="AY113">
        <v>0</v>
      </c>
      <c r="AZ113">
        <v>1</v>
      </c>
      <c r="BA113">
        <v>6</v>
      </c>
      <c r="BB113">
        <v>11</v>
      </c>
      <c r="BC113">
        <v>1</v>
      </c>
      <c r="BD113">
        <v>2</v>
      </c>
      <c r="BE113">
        <v>0</v>
      </c>
      <c r="BF113">
        <v>4</v>
      </c>
      <c r="BG113">
        <v>0</v>
      </c>
      <c r="BH113">
        <v>4</v>
      </c>
      <c r="BI113">
        <v>0</v>
      </c>
      <c r="BJ113">
        <v>43.879238399999998</v>
      </c>
      <c r="BK113">
        <v>8.0056733999999992</v>
      </c>
      <c r="BL113">
        <v>1800</v>
      </c>
      <c r="BM113" t="s">
        <v>83</v>
      </c>
      <c r="BN113" t="s">
        <v>84</v>
      </c>
      <c r="BO113" t="s">
        <v>85</v>
      </c>
      <c r="BP113" t="s">
        <v>107</v>
      </c>
      <c r="BQ113" t="s">
        <v>569</v>
      </c>
      <c r="BR113" t="s">
        <v>930</v>
      </c>
      <c r="BS113">
        <v>401795</v>
      </c>
      <c r="BT113">
        <v>0</v>
      </c>
      <c r="BU113">
        <v>0</v>
      </c>
      <c r="BV113">
        <v>376434</v>
      </c>
      <c r="BW113">
        <v>0</v>
      </c>
      <c r="BX113">
        <v>22769</v>
      </c>
      <c r="BY113">
        <v>2592</v>
      </c>
      <c r="BZ113">
        <v>1</v>
      </c>
      <c r="CA113" t="s">
        <v>933</v>
      </c>
      <c r="CB113" t="s">
        <v>934</v>
      </c>
      <c r="CC113" s="3">
        <v>46092.557106481479</v>
      </c>
      <c r="CD113" t="s">
        <v>91</v>
      </c>
    </row>
    <row r="114" spans="1:82" ht="16" x14ac:dyDescent="0.2">
      <c r="A114" t="s">
        <v>935</v>
      </c>
      <c r="B114" t="s">
        <v>936</v>
      </c>
      <c r="C114" t="s">
        <v>937</v>
      </c>
      <c r="D114" t="s">
        <v>78</v>
      </c>
      <c r="E114" t="s">
        <v>938</v>
      </c>
      <c r="F114">
        <v>6</v>
      </c>
      <c r="G114">
        <v>300</v>
      </c>
      <c r="H114" t="str">
        <f t="shared" si="8"/>
        <v>6x300</v>
      </c>
      <c r="I114">
        <v>263</v>
      </c>
      <c r="J114" s="4">
        <f t="shared" si="9"/>
        <v>2.435185185185185E-2</v>
      </c>
      <c r="K114">
        <v>396</v>
      </c>
      <c r="L114" s="4">
        <f t="shared" si="10"/>
        <v>3.6666666666666667E-2</v>
      </c>
      <c r="M114">
        <v>601</v>
      </c>
      <c r="N114" s="4">
        <f t="shared" si="11"/>
        <v>5.5648148148148148E-2</v>
      </c>
      <c r="O114">
        <v>1200</v>
      </c>
      <c r="P114" s="4">
        <f t="shared" si="12"/>
        <v>0.1111111111111111</v>
      </c>
      <c r="Q114" s="6" t="str">
        <f t="shared" si="7"/>
        <v>later</v>
      </c>
      <c r="R114" s="6">
        <f t="shared" si="13"/>
        <v>666</v>
      </c>
      <c r="S114">
        <v>304</v>
      </c>
      <c r="T114">
        <v>-82</v>
      </c>
      <c r="U114">
        <v>-30</v>
      </c>
      <c r="V114">
        <v>-8</v>
      </c>
      <c r="W114">
        <v>1</v>
      </c>
      <c r="X114">
        <v>123</v>
      </c>
      <c r="Y114" s="2" t="s">
        <v>939</v>
      </c>
      <c r="Z114">
        <v>45.1772572587208</v>
      </c>
      <c r="AA114">
        <v>9.6325682644175608</v>
      </c>
      <c r="AB114" t="s">
        <v>78</v>
      </c>
      <c r="AC114" t="s">
        <v>81</v>
      </c>
      <c r="AD114" t="s">
        <v>82</v>
      </c>
      <c r="AE114">
        <v>16167</v>
      </c>
      <c r="AF114">
        <v>0</v>
      </c>
      <c r="AG114">
        <v>0</v>
      </c>
      <c r="AH114">
        <v>0</v>
      </c>
      <c r="AI114">
        <v>10960</v>
      </c>
      <c r="AJ114">
        <v>3781</v>
      </c>
      <c r="AK114">
        <v>1426</v>
      </c>
      <c r="AL114">
        <v>3443</v>
      </c>
      <c r="AM114">
        <v>12794</v>
      </c>
      <c r="AN114">
        <v>25198</v>
      </c>
      <c r="AO114">
        <v>69509</v>
      </c>
      <c r="AP114">
        <v>1</v>
      </c>
      <c r="AQ114">
        <v>0</v>
      </c>
      <c r="AR114">
        <v>1</v>
      </c>
      <c r="AS114">
        <v>7</v>
      </c>
      <c r="AT114">
        <v>0</v>
      </c>
      <c r="AU114">
        <v>15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45.1774171</v>
      </c>
      <c r="BK114">
        <v>9.6324953999999998</v>
      </c>
      <c r="BL114">
        <v>1800</v>
      </c>
      <c r="BM114" t="s">
        <v>83</v>
      </c>
      <c r="BN114" t="s">
        <v>84</v>
      </c>
      <c r="BO114" t="s">
        <v>85</v>
      </c>
      <c r="BP114" t="s">
        <v>107</v>
      </c>
      <c r="BQ114" t="s">
        <v>108</v>
      </c>
      <c r="BR114" t="s">
        <v>539</v>
      </c>
      <c r="BS114">
        <v>323461</v>
      </c>
      <c r="BT114">
        <v>0</v>
      </c>
      <c r="BU114">
        <v>0</v>
      </c>
      <c r="BV114">
        <v>0</v>
      </c>
      <c r="BW114">
        <v>219222</v>
      </c>
      <c r="BX114">
        <v>75698</v>
      </c>
      <c r="BY114">
        <v>28541</v>
      </c>
      <c r="BZ114">
        <v>1</v>
      </c>
      <c r="CA114" t="s">
        <v>940</v>
      </c>
      <c r="CB114" t="s">
        <v>941</v>
      </c>
      <c r="CC114" s="3">
        <v>46092.557106481479</v>
      </c>
      <c r="CD114" t="s">
        <v>91</v>
      </c>
    </row>
    <row r="115" spans="1:82" ht="16" x14ac:dyDescent="0.2">
      <c r="A115" t="s">
        <v>942</v>
      </c>
      <c r="B115" t="s">
        <v>943</v>
      </c>
      <c r="C115" t="s">
        <v>944</v>
      </c>
      <c r="D115" t="s">
        <v>78</v>
      </c>
      <c r="E115" t="s">
        <v>945</v>
      </c>
      <c r="F115">
        <v>6</v>
      </c>
      <c r="G115">
        <v>300</v>
      </c>
      <c r="H115" t="str">
        <f t="shared" si="8"/>
        <v>6x300</v>
      </c>
      <c r="I115">
        <v>261</v>
      </c>
      <c r="J115" s="4">
        <f t="shared" si="9"/>
        <v>2.4166666666666666E-2</v>
      </c>
      <c r="K115">
        <v>394</v>
      </c>
      <c r="L115" s="4">
        <f t="shared" si="10"/>
        <v>3.6481481481481483E-2</v>
      </c>
      <c r="M115">
        <v>597</v>
      </c>
      <c r="N115" s="4">
        <f t="shared" si="11"/>
        <v>5.527777777777778E-2</v>
      </c>
      <c r="O115">
        <v>1192</v>
      </c>
      <c r="P115" s="4">
        <f t="shared" si="12"/>
        <v>0.11037037037037035</v>
      </c>
      <c r="Q115" s="6" t="str">
        <f t="shared" si="7"/>
        <v>later</v>
      </c>
      <c r="R115" s="6">
        <f t="shared" si="13"/>
        <v>666</v>
      </c>
      <c r="S115">
        <v>304</v>
      </c>
      <c r="T115">
        <v>-87</v>
      </c>
      <c r="U115">
        <v>-31</v>
      </c>
      <c r="V115">
        <v>27</v>
      </c>
      <c r="W115">
        <v>-13</v>
      </c>
      <c r="X115">
        <v>108</v>
      </c>
      <c r="Y115" s="2" t="s">
        <v>946</v>
      </c>
      <c r="Z115">
        <v>42.03931</v>
      </c>
      <c r="AA115">
        <v>13.42216</v>
      </c>
      <c r="AB115" t="s">
        <v>78</v>
      </c>
      <c r="AC115" t="s">
        <v>81</v>
      </c>
      <c r="AD115" t="s">
        <v>82</v>
      </c>
      <c r="AE115">
        <v>16751</v>
      </c>
      <c r="AF115">
        <v>0</v>
      </c>
      <c r="AG115">
        <v>0</v>
      </c>
      <c r="AH115">
        <v>12529</v>
      </c>
      <c r="AI115">
        <v>0</v>
      </c>
      <c r="AJ115">
        <v>0</v>
      </c>
      <c r="AK115">
        <v>4222</v>
      </c>
      <c r="AL115">
        <v>12259</v>
      </c>
      <c r="AM115">
        <v>30237</v>
      </c>
      <c r="AN115">
        <v>41746</v>
      </c>
      <c r="AO115">
        <v>61317</v>
      </c>
      <c r="AP115">
        <v>7</v>
      </c>
      <c r="AQ115">
        <v>0</v>
      </c>
      <c r="AR115">
        <v>7</v>
      </c>
      <c r="AS115">
        <v>6</v>
      </c>
      <c r="AT115">
        <v>1</v>
      </c>
      <c r="AU115">
        <v>27</v>
      </c>
      <c r="AV115">
        <v>8</v>
      </c>
      <c r="AW115">
        <v>1</v>
      </c>
      <c r="AX115">
        <v>0</v>
      </c>
      <c r="AY115">
        <v>1</v>
      </c>
      <c r="AZ115">
        <v>2</v>
      </c>
      <c r="BA115">
        <v>6</v>
      </c>
      <c r="BB115">
        <v>14</v>
      </c>
      <c r="BC115">
        <v>1</v>
      </c>
      <c r="BD115">
        <v>2</v>
      </c>
      <c r="BE115">
        <v>0</v>
      </c>
      <c r="BF115">
        <v>4</v>
      </c>
      <c r="BG115">
        <v>0</v>
      </c>
      <c r="BH115">
        <v>8</v>
      </c>
      <c r="BI115">
        <v>0</v>
      </c>
      <c r="BJ115">
        <v>42.039415499999997</v>
      </c>
      <c r="BK115">
        <v>13.422079699999999</v>
      </c>
      <c r="BL115">
        <v>1800</v>
      </c>
      <c r="BM115" t="s">
        <v>83</v>
      </c>
      <c r="BN115" t="s">
        <v>84</v>
      </c>
      <c r="BO115" t="s">
        <v>85</v>
      </c>
      <c r="BP115" t="s">
        <v>97</v>
      </c>
      <c r="BQ115" t="s">
        <v>870</v>
      </c>
      <c r="BR115" t="s">
        <v>910</v>
      </c>
      <c r="BS115">
        <v>299077</v>
      </c>
      <c r="BT115">
        <v>0</v>
      </c>
      <c r="BU115">
        <v>0</v>
      </c>
      <c r="BV115">
        <v>214629</v>
      </c>
      <c r="BW115">
        <v>0</v>
      </c>
      <c r="BX115">
        <v>0</v>
      </c>
      <c r="BY115">
        <v>84448</v>
      </c>
      <c r="BZ115">
        <v>1</v>
      </c>
      <c r="CA115" t="s">
        <v>947</v>
      </c>
      <c r="CB115" t="s">
        <v>948</v>
      </c>
      <c r="CC115" s="3">
        <v>46092.557106481479</v>
      </c>
      <c r="CD115" t="s">
        <v>91</v>
      </c>
    </row>
    <row r="116" spans="1:82" ht="16" x14ac:dyDescent="0.2">
      <c r="A116" t="s">
        <v>949</v>
      </c>
      <c r="B116" t="s">
        <v>950</v>
      </c>
      <c r="C116" t="s">
        <v>951</v>
      </c>
      <c r="D116" t="s">
        <v>78</v>
      </c>
      <c r="E116" t="s">
        <v>952</v>
      </c>
      <c r="F116">
        <v>6</v>
      </c>
      <c r="G116">
        <v>300</v>
      </c>
      <c r="H116" t="str">
        <f t="shared" si="8"/>
        <v>6x300</v>
      </c>
      <c r="I116">
        <v>257</v>
      </c>
      <c r="J116" s="4">
        <f t="shared" si="9"/>
        <v>2.3796296296296298E-2</v>
      </c>
      <c r="K116">
        <v>388</v>
      </c>
      <c r="L116" s="4">
        <f t="shared" si="10"/>
        <v>3.5925925925925924E-2</v>
      </c>
      <c r="M116">
        <v>588</v>
      </c>
      <c r="N116" s="4">
        <f t="shared" si="11"/>
        <v>5.4444444444444441E-2</v>
      </c>
      <c r="O116">
        <v>1174</v>
      </c>
      <c r="P116" s="4">
        <f t="shared" si="12"/>
        <v>0.10870370370370371</v>
      </c>
      <c r="Q116" s="6" t="str">
        <f t="shared" si="7"/>
        <v>later</v>
      </c>
      <c r="R116" s="6">
        <f t="shared" si="13"/>
        <v>666</v>
      </c>
      <c r="S116">
        <v>304</v>
      </c>
      <c r="T116">
        <v>-80</v>
      </c>
      <c r="U116">
        <v>-30</v>
      </c>
      <c r="V116">
        <v>-15</v>
      </c>
      <c r="W116">
        <v>2</v>
      </c>
      <c r="X116">
        <v>122</v>
      </c>
      <c r="Y116" s="2" t="s">
        <v>953</v>
      </c>
      <c r="Z116">
        <v>38.838334926692298</v>
      </c>
      <c r="AA116">
        <v>16.640370562761401</v>
      </c>
      <c r="AB116" t="s">
        <v>78</v>
      </c>
      <c r="AC116" t="s">
        <v>81</v>
      </c>
      <c r="AD116" t="s">
        <v>82</v>
      </c>
      <c r="AE116">
        <v>10796</v>
      </c>
      <c r="AF116">
        <v>0</v>
      </c>
      <c r="AG116">
        <v>0</v>
      </c>
      <c r="AH116">
        <v>0</v>
      </c>
      <c r="AI116">
        <v>9733</v>
      </c>
      <c r="AJ116">
        <v>0</v>
      </c>
      <c r="AK116">
        <v>1063</v>
      </c>
      <c r="AL116">
        <v>2282</v>
      </c>
      <c r="AM116">
        <v>8685</v>
      </c>
      <c r="AN116">
        <v>32808</v>
      </c>
      <c r="AO116">
        <v>75805</v>
      </c>
      <c r="AP116">
        <v>0</v>
      </c>
      <c r="AQ116">
        <v>0</v>
      </c>
      <c r="AR116">
        <v>1</v>
      </c>
      <c r="AS116">
        <v>2</v>
      </c>
      <c r="AT116">
        <v>1</v>
      </c>
      <c r="AU116">
        <v>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10</v>
      </c>
      <c r="BB116">
        <v>17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38.838475000000003</v>
      </c>
      <c r="BK116">
        <v>16.640216299999999</v>
      </c>
      <c r="BL116">
        <v>1800</v>
      </c>
      <c r="BM116" t="s">
        <v>83</v>
      </c>
      <c r="BN116" t="s">
        <v>84</v>
      </c>
      <c r="BO116" t="s">
        <v>85</v>
      </c>
      <c r="BP116" t="s">
        <v>97</v>
      </c>
      <c r="BQ116" t="s">
        <v>954</v>
      </c>
      <c r="BR116" t="s">
        <v>955</v>
      </c>
      <c r="BS116">
        <v>215955</v>
      </c>
      <c r="BT116">
        <v>0</v>
      </c>
      <c r="BU116">
        <v>0</v>
      </c>
      <c r="BV116">
        <v>0</v>
      </c>
      <c r="BW116">
        <v>194684</v>
      </c>
      <c r="BX116">
        <v>0</v>
      </c>
      <c r="BY116">
        <v>21271</v>
      </c>
      <c r="BZ116">
        <v>1</v>
      </c>
      <c r="CA116" t="s">
        <v>956</v>
      </c>
      <c r="CB116" t="s">
        <v>957</v>
      </c>
      <c r="CC116" s="3">
        <v>46092.557106481479</v>
      </c>
      <c r="CD116" t="s">
        <v>91</v>
      </c>
    </row>
    <row r="117" spans="1:82" ht="16" x14ac:dyDescent="0.2">
      <c r="A117" t="s">
        <v>961</v>
      </c>
      <c r="B117" t="s">
        <v>962</v>
      </c>
      <c r="C117" t="s">
        <v>963</v>
      </c>
      <c r="D117" t="s">
        <v>78</v>
      </c>
      <c r="E117" t="s">
        <v>964</v>
      </c>
      <c r="F117">
        <v>6</v>
      </c>
      <c r="G117">
        <v>300</v>
      </c>
      <c r="H117" t="str">
        <f t="shared" si="8"/>
        <v>6x300</v>
      </c>
      <c r="I117">
        <v>248</v>
      </c>
      <c r="J117" s="4">
        <f t="shared" si="9"/>
        <v>2.2962962962962963E-2</v>
      </c>
      <c r="K117">
        <v>375</v>
      </c>
      <c r="L117" s="4">
        <f t="shared" si="10"/>
        <v>3.4722222222222224E-2</v>
      </c>
      <c r="M117">
        <v>569</v>
      </c>
      <c r="N117" s="4">
        <f t="shared" si="11"/>
        <v>5.2685185185185189E-2</v>
      </c>
      <c r="O117">
        <v>1135</v>
      </c>
      <c r="P117" s="4">
        <f t="shared" si="12"/>
        <v>0.10509259259259258</v>
      </c>
      <c r="Q117" s="6" t="str">
        <f t="shared" si="7"/>
        <v>later</v>
      </c>
      <c r="R117" s="6">
        <f t="shared" si="13"/>
        <v>666</v>
      </c>
      <c r="S117">
        <v>304</v>
      </c>
      <c r="T117">
        <v>-92</v>
      </c>
      <c r="U117">
        <v>-26</v>
      </c>
      <c r="V117">
        <v>-10</v>
      </c>
      <c r="W117">
        <v>-5</v>
      </c>
      <c r="X117">
        <v>122</v>
      </c>
      <c r="Y117" s="2" t="s">
        <v>965</v>
      </c>
      <c r="Z117">
        <v>44.083342999999999</v>
      </c>
      <c r="AA117">
        <v>8.2232869999999991</v>
      </c>
      <c r="AB117" t="s">
        <v>78</v>
      </c>
      <c r="AC117" t="s">
        <v>81</v>
      </c>
      <c r="AD117" t="s">
        <v>82</v>
      </c>
      <c r="AE117">
        <v>11277</v>
      </c>
      <c r="AF117">
        <v>0</v>
      </c>
      <c r="AG117">
        <v>0</v>
      </c>
      <c r="AH117">
        <v>8255</v>
      </c>
      <c r="AI117">
        <v>0</v>
      </c>
      <c r="AJ117">
        <v>970</v>
      </c>
      <c r="AK117">
        <v>2052</v>
      </c>
      <c r="AL117">
        <v>2303</v>
      </c>
      <c r="AM117">
        <v>6108</v>
      </c>
      <c r="AN117">
        <v>36530</v>
      </c>
      <c r="AO117">
        <v>72328</v>
      </c>
      <c r="AP117">
        <v>0</v>
      </c>
      <c r="AQ117">
        <v>0</v>
      </c>
      <c r="AR117">
        <v>2</v>
      </c>
      <c r="AS117">
        <v>8</v>
      </c>
      <c r="AT117">
        <v>0</v>
      </c>
      <c r="AU117">
        <v>8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4</v>
      </c>
      <c r="BB117">
        <v>7</v>
      </c>
      <c r="BC117">
        <v>4</v>
      </c>
      <c r="BD117">
        <v>1</v>
      </c>
      <c r="BE117">
        <v>0</v>
      </c>
      <c r="BF117">
        <v>1</v>
      </c>
      <c r="BG117">
        <v>0</v>
      </c>
      <c r="BH117">
        <v>3</v>
      </c>
      <c r="BI117">
        <v>6</v>
      </c>
      <c r="BJ117">
        <v>44.0833491</v>
      </c>
      <c r="BK117">
        <v>8.2232892999999994</v>
      </c>
      <c r="BL117">
        <v>1800</v>
      </c>
      <c r="BM117" t="s">
        <v>83</v>
      </c>
      <c r="BN117" t="s">
        <v>84</v>
      </c>
      <c r="BO117" t="s">
        <v>85</v>
      </c>
      <c r="BP117" t="s">
        <v>107</v>
      </c>
      <c r="BQ117" t="s">
        <v>569</v>
      </c>
      <c r="BR117" t="s">
        <v>966</v>
      </c>
      <c r="BS117">
        <v>225590</v>
      </c>
      <c r="BT117">
        <v>0</v>
      </c>
      <c r="BU117">
        <v>0</v>
      </c>
      <c r="BV117">
        <v>165105</v>
      </c>
      <c r="BW117">
        <v>0</v>
      </c>
      <c r="BX117">
        <v>19418</v>
      </c>
      <c r="BY117">
        <v>41067</v>
      </c>
      <c r="BZ117">
        <v>1</v>
      </c>
      <c r="CA117" t="s">
        <v>967</v>
      </c>
      <c r="CB117" t="s">
        <v>968</v>
      </c>
      <c r="CC117" s="3">
        <v>46092.557106481479</v>
      </c>
      <c r="CD117" t="s">
        <v>91</v>
      </c>
    </row>
    <row r="118" spans="1:82" ht="16" x14ac:dyDescent="0.2">
      <c r="A118" t="s">
        <v>971</v>
      </c>
      <c r="B118" t="s">
        <v>972</v>
      </c>
      <c r="C118" t="s">
        <v>973</v>
      </c>
      <c r="D118" t="s">
        <v>78</v>
      </c>
      <c r="E118" t="s">
        <v>974</v>
      </c>
      <c r="F118">
        <v>6</v>
      </c>
      <c r="G118">
        <v>300</v>
      </c>
      <c r="H118" t="str">
        <f t="shared" si="8"/>
        <v>6x300</v>
      </c>
      <c r="I118">
        <v>244</v>
      </c>
      <c r="J118" s="4">
        <f t="shared" si="9"/>
        <v>2.2592592592592595E-2</v>
      </c>
      <c r="K118">
        <v>369</v>
      </c>
      <c r="L118" s="4">
        <f t="shared" si="10"/>
        <v>3.4166666666666665E-2</v>
      </c>
      <c r="M118">
        <v>559</v>
      </c>
      <c r="N118" s="4">
        <f t="shared" si="11"/>
        <v>5.1759259259259255E-2</v>
      </c>
      <c r="O118">
        <v>1115</v>
      </c>
      <c r="P118" s="4">
        <f t="shared" si="12"/>
        <v>0.10324074074074074</v>
      </c>
      <c r="Q118" s="6" t="str">
        <f t="shared" si="7"/>
        <v>later</v>
      </c>
      <c r="R118" s="6">
        <f t="shared" si="13"/>
        <v>666</v>
      </c>
      <c r="S118">
        <v>304</v>
      </c>
      <c r="T118">
        <v>-92</v>
      </c>
      <c r="U118">
        <v>-32</v>
      </c>
      <c r="V118">
        <v>-6</v>
      </c>
      <c r="W118">
        <v>-5</v>
      </c>
      <c r="X118">
        <v>118</v>
      </c>
      <c r="Y118" s="2" t="s">
        <v>975</v>
      </c>
      <c r="Z118">
        <v>45.122408</v>
      </c>
      <c r="AA118">
        <v>8.4636069999999997</v>
      </c>
      <c r="AB118" t="s">
        <v>78</v>
      </c>
      <c r="AC118" t="s">
        <v>81</v>
      </c>
      <c r="AD118" t="s">
        <v>82</v>
      </c>
      <c r="AE118">
        <v>11013</v>
      </c>
      <c r="AF118">
        <v>0</v>
      </c>
      <c r="AG118">
        <v>0</v>
      </c>
      <c r="AH118">
        <v>3704</v>
      </c>
      <c r="AI118">
        <v>0</v>
      </c>
      <c r="AJ118">
        <v>0</v>
      </c>
      <c r="AK118">
        <v>7309</v>
      </c>
      <c r="AL118">
        <v>2690</v>
      </c>
      <c r="AM118">
        <v>18322</v>
      </c>
      <c r="AN118">
        <v>33303</v>
      </c>
      <c r="AO118">
        <v>52942</v>
      </c>
      <c r="AP118">
        <v>0</v>
      </c>
      <c r="AQ118">
        <v>0</v>
      </c>
      <c r="AR118">
        <v>2</v>
      </c>
      <c r="AS118">
        <v>2</v>
      </c>
      <c r="AT118">
        <v>0</v>
      </c>
      <c r="AU118">
        <v>16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11</v>
      </c>
      <c r="BB118">
        <v>27</v>
      </c>
      <c r="BC118">
        <v>9</v>
      </c>
      <c r="BD118">
        <v>2</v>
      </c>
      <c r="BE118">
        <v>0</v>
      </c>
      <c r="BF118">
        <v>2</v>
      </c>
      <c r="BG118">
        <v>0</v>
      </c>
      <c r="BH118">
        <v>5</v>
      </c>
      <c r="BI118">
        <v>0</v>
      </c>
      <c r="BJ118">
        <v>45.122407699999997</v>
      </c>
      <c r="BK118">
        <v>8.4638810000000007</v>
      </c>
      <c r="BL118">
        <v>1800</v>
      </c>
      <c r="BM118" t="s">
        <v>83</v>
      </c>
      <c r="BN118" t="s">
        <v>84</v>
      </c>
      <c r="BO118" t="s">
        <v>85</v>
      </c>
      <c r="BP118" t="s">
        <v>107</v>
      </c>
      <c r="BQ118" t="s">
        <v>203</v>
      </c>
      <c r="BR118" t="s">
        <v>671</v>
      </c>
      <c r="BS118">
        <v>220292</v>
      </c>
      <c r="BT118">
        <v>0</v>
      </c>
      <c r="BU118">
        <v>0</v>
      </c>
      <c r="BV118">
        <v>74094</v>
      </c>
      <c r="BW118">
        <v>0</v>
      </c>
      <c r="BX118">
        <v>0</v>
      </c>
      <c r="BY118">
        <v>146198</v>
      </c>
      <c r="BZ118">
        <v>1</v>
      </c>
      <c r="CA118" t="s">
        <v>976</v>
      </c>
      <c r="CB118" t="s">
        <v>977</v>
      </c>
      <c r="CC118" s="3">
        <v>46092.557106481479</v>
      </c>
      <c r="CD118" t="s">
        <v>91</v>
      </c>
    </row>
    <row r="119" spans="1:82" ht="16" x14ac:dyDescent="0.2">
      <c r="A119" t="s">
        <v>979</v>
      </c>
      <c r="B119" t="s">
        <v>980</v>
      </c>
      <c r="C119" t="s">
        <v>981</v>
      </c>
      <c r="D119" t="s">
        <v>78</v>
      </c>
      <c r="E119" t="s">
        <v>982</v>
      </c>
      <c r="F119">
        <v>6</v>
      </c>
      <c r="G119">
        <v>300</v>
      </c>
      <c r="H119" t="str">
        <f t="shared" si="8"/>
        <v>6x300</v>
      </c>
      <c r="I119">
        <v>240</v>
      </c>
      <c r="J119" s="4">
        <f t="shared" si="9"/>
        <v>2.2222222222222223E-2</v>
      </c>
      <c r="K119">
        <v>362</v>
      </c>
      <c r="L119" s="4">
        <f t="shared" si="10"/>
        <v>3.3518518518518524E-2</v>
      </c>
      <c r="M119">
        <v>550</v>
      </c>
      <c r="N119" s="4">
        <f t="shared" si="11"/>
        <v>5.0925925925925923E-2</v>
      </c>
      <c r="O119">
        <v>1097</v>
      </c>
      <c r="P119" s="4">
        <f t="shared" si="12"/>
        <v>0.10157407407407408</v>
      </c>
      <c r="Q119" s="6" t="str">
        <f t="shared" si="7"/>
        <v>later</v>
      </c>
      <c r="R119" s="6">
        <f t="shared" si="13"/>
        <v>666</v>
      </c>
      <c r="S119">
        <v>304</v>
      </c>
      <c r="T119">
        <v>-93</v>
      </c>
      <c r="U119">
        <v>-32</v>
      </c>
      <c r="V119">
        <v>-9</v>
      </c>
      <c r="W119">
        <v>-3</v>
      </c>
      <c r="X119">
        <v>119</v>
      </c>
      <c r="Y119" s="2" t="s">
        <v>983</v>
      </c>
      <c r="Z119">
        <v>45.434049365696602</v>
      </c>
      <c r="AA119">
        <v>8.7128907441756294</v>
      </c>
      <c r="AB119" t="s">
        <v>78</v>
      </c>
      <c r="AC119" t="s">
        <v>81</v>
      </c>
      <c r="AD119" t="s">
        <v>82</v>
      </c>
      <c r="AE119">
        <v>28886</v>
      </c>
      <c r="AF119">
        <v>0</v>
      </c>
      <c r="AG119">
        <v>0</v>
      </c>
      <c r="AH119">
        <v>23116</v>
      </c>
      <c r="AI119">
        <v>513</v>
      </c>
      <c r="AJ119">
        <v>2611</v>
      </c>
      <c r="AK119">
        <v>2646</v>
      </c>
      <c r="AL119">
        <v>1830</v>
      </c>
      <c r="AM119">
        <v>9226</v>
      </c>
      <c r="AN119">
        <v>40525</v>
      </c>
      <c r="AO119">
        <v>171366</v>
      </c>
      <c r="AP119">
        <v>0</v>
      </c>
      <c r="AQ119">
        <v>0</v>
      </c>
      <c r="AR119">
        <v>1</v>
      </c>
      <c r="AS119">
        <v>2</v>
      </c>
      <c r="AT119">
        <v>0</v>
      </c>
      <c r="AU119">
        <v>9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6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45.434079199999999</v>
      </c>
      <c r="BK119">
        <v>8.7128285999999999</v>
      </c>
      <c r="BL119">
        <v>1800</v>
      </c>
      <c r="BM119" t="s">
        <v>83</v>
      </c>
      <c r="BN119" t="s">
        <v>84</v>
      </c>
      <c r="BO119" t="s">
        <v>85</v>
      </c>
      <c r="BP119" t="s">
        <v>107</v>
      </c>
      <c r="BQ119" t="s">
        <v>203</v>
      </c>
      <c r="BR119" t="s">
        <v>310</v>
      </c>
      <c r="BS119">
        <v>567551</v>
      </c>
      <c r="BT119">
        <v>0</v>
      </c>
      <c r="BU119">
        <v>0</v>
      </c>
      <c r="BV119">
        <v>462340</v>
      </c>
      <c r="BW119">
        <v>0</v>
      </c>
      <c r="BX119">
        <v>52286</v>
      </c>
      <c r="BY119">
        <v>52925</v>
      </c>
      <c r="BZ119">
        <v>1</v>
      </c>
      <c r="CA119" t="s">
        <v>984</v>
      </c>
      <c r="CB119" t="s">
        <v>985</v>
      </c>
      <c r="CC119" s="3">
        <v>46092.557106481479</v>
      </c>
      <c r="CD119" t="s">
        <v>91</v>
      </c>
    </row>
    <row r="120" spans="1:82" ht="16" x14ac:dyDescent="0.2">
      <c r="A120" t="s">
        <v>986</v>
      </c>
      <c r="B120" t="s">
        <v>987</v>
      </c>
      <c r="C120" t="s">
        <v>988</v>
      </c>
      <c r="D120" t="s">
        <v>78</v>
      </c>
      <c r="E120" t="s">
        <v>989</v>
      </c>
      <c r="F120">
        <v>6</v>
      </c>
      <c r="G120">
        <v>300</v>
      </c>
      <c r="H120" t="str">
        <f t="shared" si="8"/>
        <v>6x300</v>
      </c>
      <c r="I120">
        <v>239</v>
      </c>
      <c r="J120" s="4">
        <f t="shared" si="9"/>
        <v>2.2129629629629628E-2</v>
      </c>
      <c r="K120">
        <v>361</v>
      </c>
      <c r="L120" s="4">
        <f t="shared" si="10"/>
        <v>3.3425925925925928E-2</v>
      </c>
      <c r="M120">
        <v>547</v>
      </c>
      <c r="N120" s="4">
        <f t="shared" si="11"/>
        <v>5.0648148148148144E-2</v>
      </c>
      <c r="O120">
        <v>1092</v>
      </c>
      <c r="P120" s="4">
        <f t="shared" si="12"/>
        <v>0.10111111111111111</v>
      </c>
      <c r="Q120" s="6" t="str">
        <f t="shared" si="7"/>
        <v>later</v>
      </c>
      <c r="R120" s="6">
        <f t="shared" si="13"/>
        <v>666</v>
      </c>
      <c r="S120">
        <v>304</v>
      </c>
      <c r="T120">
        <v>-85</v>
      </c>
      <c r="U120">
        <v>-32</v>
      </c>
      <c r="V120">
        <v>0</v>
      </c>
      <c r="W120">
        <v>-24</v>
      </c>
      <c r="X120">
        <v>120</v>
      </c>
      <c r="Y120" s="2" t="s">
        <v>990</v>
      </c>
      <c r="Z120">
        <v>39.891739999999999</v>
      </c>
      <c r="AA120">
        <v>8.5995299999999997</v>
      </c>
      <c r="AB120" t="s">
        <v>78</v>
      </c>
      <c r="AC120" t="s">
        <v>81</v>
      </c>
      <c r="AD120" t="s">
        <v>82</v>
      </c>
      <c r="AE120">
        <v>6129</v>
      </c>
      <c r="AF120">
        <v>0</v>
      </c>
      <c r="AG120">
        <v>0</v>
      </c>
      <c r="AH120">
        <v>0</v>
      </c>
      <c r="AI120">
        <v>4092</v>
      </c>
      <c r="AJ120">
        <v>1677</v>
      </c>
      <c r="AK120">
        <v>360</v>
      </c>
      <c r="AL120">
        <v>7419</v>
      </c>
      <c r="AM120">
        <v>21773</v>
      </c>
      <c r="AN120">
        <v>34716</v>
      </c>
      <c r="AO120">
        <v>52848</v>
      </c>
      <c r="AP120">
        <v>1</v>
      </c>
      <c r="AQ120">
        <v>0</v>
      </c>
      <c r="AR120">
        <v>4</v>
      </c>
      <c r="AS120">
        <v>6</v>
      </c>
      <c r="AT120">
        <v>1</v>
      </c>
      <c r="AU120">
        <v>12</v>
      </c>
      <c r="AV120">
        <v>4</v>
      </c>
      <c r="AW120">
        <v>1</v>
      </c>
      <c r="AX120">
        <v>0</v>
      </c>
      <c r="AY120">
        <v>0</v>
      </c>
      <c r="AZ120">
        <v>1</v>
      </c>
      <c r="BA120">
        <v>22</v>
      </c>
      <c r="BB120">
        <v>46</v>
      </c>
      <c r="BC120">
        <v>5</v>
      </c>
      <c r="BD120">
        <v>4</v>
      </c>
      <c r="BE120">
        <v>0</v>
      </c>
      <c r="BF120">
        <v>6</v>
      </c>
      <c r="BG120">
        <v>0</v>
      </c>
      <c r="BH120">
        <v>6</v>
      </c>
      <c r="BI120">
        <v>0</v>
      </c>
      <c r="BJ120">
        <v>39.891651199999998</v>
      </c>
      <c r="BK120">
        <v>8.5993732999999999</v>
      </c>
      <c r="BL120">
        <v>1800</v>
      </c>
      <c r="BM120" t="s">
        <v>83</v>
      </c>
      <c r="BN120" t="s">
        <v>84</v>
      </c>
      <c r="BO120" t="s">
        <v>85</v>
      </c>
      <c r="BP120" t="s">
        <v>242</v>
      </c>
      <c r="BQ120" t="s">
        <v>335</v>
      </c>
      <c r="BR120" t="s">
        <v>988</v>
      </c>
      <c r="BS120">
        <v>122639</v>
      </c>
      <c r="BT120">
        <v>0</v>
      </c>
      <c r="BU120">
        <v>0</v>
      </c>
      <c r="BV120">
        <v>0</v>
      </c>
      <c r="BW120">
        <v>81868</v>
      </c>
      <c r="BX120">
        <v>33552</v>
      </c>
      <c r="BY120">
        <v>7219</v>
      </c>
      <c r="BZ120">
        <v>1</v>
      </c>
      <c r="CA120" t="s">
        <v>991</v>
      </c>
      <c r="CB120" t="s">
        <v>992</v>
      </c>
      <c r="CC120" s="3">
        <v>46092.557106481479</v>
      </c>
      <c r="CD120" t="s">
        <v>91</v>
      </c>
    </row>
    <row r="121" spans="1:82" ht="16" x14ac:dyDescent="0.2">
      <c r="A121" t="s">
        <v>994</v>
      </c>
      <c r="B121" t="s">
        <v>995</v>
      </c>
      <c r="C121" t="s">
        <v>996</v>
      </c>
      <c r="D121" t="s">
        <v>78</v>
      </c>
      <c r="E121" t="s">
        <v>997</v>
      </c>
      <c r="F121">
        <v>6</v>
      </c>
      <c r="G121">
        <v>300</v>
      </c>
      <c r="H121" t="str">
        <f t="shared" si="8"/>
        <v>6x300</v>
      </c>
      <c r="I121">
        <v>237</v>
      </c>
      <c r="J121" s="4">
        <f t="shared" si="9"/>
        <v>2.1944444444444447E-2</v>
      </c>
      <c r="K121">
        <v>357</v>
      </c>
      <c r="L121" s="4">
        <f t="shared" si="10"/>
        <v>3.3055555555555553E-2</v>
      </c>
      <c r="M121">
        <v>542</v>
      </c>
      <c r="N121" s="4">
        <f t="shared" si="11"/>
        <v>5.0185185185185187E-2</v>
      </c>
      <c r="O121">
        <v>1081</v>
      </c>
      <c r="P121" s="4">
        <f t="shared" si="12"/>
        <v>0.10009259259259261</v>
      </c>
      <c r="Q121" s="6" t="str">
        <f t="shared" si="7"/>
        <v>later</v>
      </c>
      <c r="R121" s="6">
        <f t="shared" si="13"/>
        <v>666</v>
      </c>
      <c r="S121">
        <v>304</v>
      </c>
      <c r="T121">
        <v>-92</v>
      </c>
      <c r="U121">
        <v>-31</v>
      </c>
      <c r="V121">
        <v>5</v>
      </c>
      <c r="W121">
        <v>-14</v>
      </c>
      <c r="X121">
        <v>109</v>
      </c>
      <c r="Y121" s="2" t="s">
        <v>998</v>
      </c>
      <c r="Z121">
        <v>41.5821194067058</v>
      </c>
      <c r="AA121">
        <v>12.8267747932526</v>
      </c>
      <c r="AB121" t="s">
        <v>78</v>
      </c>
      <c r="AC121" t="s">
        <v>81</v>
      </c>
      <c r="AD121" t="s">
        <v>82</v>
      </c>
      <c r="AE121">
        <v>20459</v>
      </c>
      <c r="AF121">
        <v>0</v>
      </c>
      <c r="AG121">
        <v>0</v>
      </c>
      <c r="AH121">
        <v>7036</v>
      </c>
      <c r="AI121">
        <v>0</v>
      </c>
      <c r="AJ121">
        <v>10966</v>
      </c>
      <c r="AK121">
        <v>2457</v>
      </c>
      <c r="AL121">
        <v>6659</v>
      </c>
      <c r="AM121">
        <v>16552</v>
      </c>
      <c r="AN121">
        <v>32105</v>
      </c>
      <c r="AO121">
        <v>62987</v>
      </c>
      <c r="AP121">
        <v>0</v>
      </c>
      <c r="AQ121">
        <v>0</v>
      </c>
      <c r="AR121">
        <v>4</v>
      </c>
      <c r="AS121">
        <v>8</v>
      </c>
      <c r="AT121">
        <v>4</v>
      </c>
      <c r="AU121">
        <v>14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4</v>
      </c>
      <c r="BI121">
        <v>0</v>
      </c>
      <c r="BJ121">
        <v>41.58229</v>
      </c>
      <c r="BK121">
        <v>12.8262099</v>
      </c>
      <c r="BL121">
        <v>1800</v>
      </c>
      <c r="BM121" t="s">
        <v>83</v>
      </c>
      <c r="BN121" t="s">
        <v>84</v>
      </c>
      <c r="BO121" t="s">
        <v>85</v>
      </c>
      <c r="BP121" t="s">
        <v>86</v>
      </c>
      <c r="BQ121" t="s">
        <v>87</v>
      </c>
      <c r="BR121" t="s">
        <v>772</v>
      </c>
      <c r="BS121">
        <v>398692</v>
      </c>
      <c r="BT121">
        <v>0</v>
      </c>
      <c r="BU121">
        <v>0</v>
      </c>
      <c r="BV121">
        <v>140752</v>
      </c>
      <c r="BW121">
        <v>0</v>
      </c>
      <c r="BX121">
        <v>208757</v>
      </c>
      <c r="BY121">
        <v>49183</v>
      </c>
      <c r="BZ121">
        <v>1</v>
      </c>
      <c r="CA121" t="s">
        <v>999</v>
      </c>
      <c r="CB121" t="s">
        <v>1000</v>
      </c>
      <c r="CC121" s="3">
        <v>46092.557106481479</v>
      </c>
      <c r="CD121" t="s">
        <v>91</v>
      </c>
    </row>
    <row r="122" spans="1:82" ht="16" x14ac:dyDescent="0.2">
      <c r="A122" t="s">
        <v>1002</v>
      </c>
      <c r="B122" t="s">
        <v>1003</v>
      </c>
      <c r="C122" t="s">
        <v>1004</v>
      </c>
      <c r="D122" t="s">
        <v>78</v>
      </c>
      <c r="E122" t="s">
        <v>1005</v>
      </c>
      <c r="F122">
        <v>6</v>
      </c>
      <c r="G122">
        <v>300</v>
      </c>
      <c r="H122" t="str">
        <f t="shared" si="8"/>
        <v>6x300</v>
      </c>
      <c r="I122">
        <v>229</v>
      </c>
      <c r="J122" s="4">
        <f t="shared" si="9"/>
        <v>2.12037037037037E-2</v>
      </c>
      <c r="K122">
        <v>345</v>
      </c>
      <c r="L122" s="4">
        <f t="shared" si="10"/>
        <v>3.1944444444444442E-2</v>
      </c>
      <c r="M122">
        <v>524</v>
      </c>
      <c r="N122" s="4">
        <f t="shared" si="11"/>
        <v>4.8518518518518516E-2</v>
      </c>
      <c r="O122">
        <v>1045</v>
      </c>
      <c r="P122" s="4">
        <f t="shared" si="12"/>
        <v>9.6759259259259267E-2</v>
      </c>
      <c r="Q122" s="6" t="str">
        <f t="shared" si="7"/>
        <v>later</v>
      </c>
      <c r="R122" s="6">
        <f t="shared" si="13"/>
        <v>666</v>
      </c>
      <c r="S122">
        <v>304</v>
      </c>
      <c r="T122">
        <v>-99</v>
      </c>
      <c r="U122">
        <v>-36</v>
      </c>
      <c r="V122">
        <v>1</v>
      </c>
      <c r="W122">
        <v>-13</v>
      </c>
      <c r="X122">
        <v>116</v>
      </c>
      <c r="Y122" s="2" t="s">
        <v>1006</v>
      </c>
      <c r="Z122">
        <v>41.702924506997299</v>
      </c>
      <c r="AA122">
        <v>13.5895092887061</v>
      </c>
      <c r="AB122" t="s">
        <v>78</v>
      </c>
      <c r="AC122" t="s">
        <v>81</v>
      </c>
      <c r="AD122" t="s">
        <v>82</v>
      </c>
      <c r="AE122">
        <v>16504</v>
      </c>
      <c r="AF122">
        <v>0</v>
      </c>
      <c r="AG122">
        <v>0</v>
      </c>
      <c r="AH122">
        <v>10952</v>
      </c>
      <c r="AI122">
        <v>0</v>
      </c>
      <c r="AJ122">
        <v>5552</v>
      </c>
      <c r="AK122">
        <v>0</v>
      </c>
      <c r="AL122">
        <v>1748</v>
      </c>
      <c r="AM122">
        <v>9711</v>
      </c>
      <c r="AN122">
        <v>41850</v>
      </c>
      <c r="AO122">
        <v>69738</v>
      </c>
      <c r="AP122">
        <v>1</v>
      </c>
      <c r="AQ122">
        <v>0</v>
      </c>
      <c r="AR122">
        <v>4</v>
      </c>
      <c r="AS122">
        <v>6</v>
      </c>
      <c r="AT122">
        <v>0</v>
      </c>
      <c r="AU122">
        <v>19</v>
      </c>
      <c r="AV122">
        <v>8</v>
      </c>
      <c r="AW122">
        <v>2</v>
      </c>
      <c r="AX122">
        <v>0</v>
      </c>
      <c r="AY122">
        <v>1</v>
      </c>
      <c r="AZ122">
        <v>2</v>
      </c>
      <c r="BA122">
        <v>4</v>
      </c>
      <c r="BB122">
        <v>6</v>
      </c>
      <c r="BC122">
        <v>3</v>
      </c>
      <c r="BD122">
        <v>2</v>
      </c>
      <c r="BE122">
        <v>0</v>
      </c>
      <c r="BF122">
        <v>2</v>
      </c>
      <c r="BG122">
        <v>0</v>
      </c>
      <c r="BH122">
        <v>6</v>
      </c>
      <c r="BI122">
        <v>0</v>
      </c>
      <c r="BJ122">
        <v>41.702889999999996</v>
      </c>
      <c r="BK122">
        <v>13.589699899999999</v>
      </c>
      <c r="BL122">
        <v>1800</v>
      </c>
      <c r="BM122" t="s">
        <v>83</v>
      </c>
      <c r="BN122" t="s">
        <v>84</v>
      </c>
      <c r="BO122" t="s">
        <v>85</v>
      </c>
      <c r="BP122" t="s">
        <v>86</v>
      </c>
      <c r="BQ122" t="s">
        <v>87</v>
      </c>
      <c r="BR122" t="s">
        <v>1007</v>
      </c>
      <c r="BS122">
        <v>313478</v>
      </c>
      <c r="BT122">
        <v>0</v>
      </c>
      <c r="BU122">
        <v>0</v>
      </c>
      <c r="BV122">
        <v>202382</v>
      </c>
      <c r="BW122">
        <v>0</v>
      </c>
      <c r="BX122">
        <v>111096</v>
      </c>
      <c r="BY122">
        <v>0</v>
      </c>
      <c r="BZ122">
        <v>1</v>
      </c>
      <c r="CA122" t="s">
        <v>1008</v>
      </c>
      <c r="CB122" t="s">
        <v>1009</v>
      </c>
      <c r="CC122" s="3">
        <v>46092.557106481479</v>
      </c>
      <c r="CD122" t="s">
        <v>91</v>
      </c>
    </row>
    <row r="123" spans="1:82" ht="16" x14ac:dyDescent="0.2">
      <c r="A123" t="s">
        <v>1010</v>
      </c>
      <c r="B123" t="s">
        <v>1011</v>
      </c>
      <c r="C123" t="s">
        <v>1012</v>
      </c>
      <c r="D123" t="s">
        <v>78</v>
      </c>
      <c r="E123" t="s">
        <v>1013</v>
      </c>
      <c r="F123">
        <v>6</v>
      </c>
      <c r="G123">
        <v>300</v>
      </c>
      <c r="H123" t="str">
        <f t="shared" si="8"/>
        <v>6x300</v>
      </c>
      <c r="I123">
        <v>224</v>
      </c>
      <c r="J123" s="4">
        <f t="shared" si="9"/>
        <v>2.0740740740740744E-2</v>
      </c>
      <c r="K123">
        <v>339</v>
      </c>
      <c r="L123" s="4">
        <f t="shared" si="10"/>
        <v>3.138888888888889E-2</v>
      </c>
      <c r="M123">
        <v>514</v>
      </c>
      <c r="N123" s="4">
        <f t="shared" si="11"/>
        <v>4.7592592592592596E-2</v>
      </c>
      <c r="O123">
        <v>1025</v>
      </c>
      <c r="P123" s="4">
        <f t="shared" si="12"/>
        <v>9.4907407407407399E-2</v>
      </c>
      <c r="Q123" s="6" t="str">
        <f t="shared" si="7"/>
        <v>later</v>
      </c>
      <c r="R123" s="6">
        <f t="shared" si="13"/>
        <v>666</v>
      </c>
      <c r="S123">
        <v>304</v>
      </c>
      <c r="T123">
        <v>-94</v>
      </c>
      <c r="U123">
        <v>-33</v>
      </c>
      <c r="V123">
        <v>-7</v>
      </c>
      <c r="W123">
        <v>-13</v>
      </c>
      <c r="X123">
        <v>108</v>
      </c>
      <c r="Y123" s="2" t="s">
        <v>1014</v>
      </c>
      <c r="Z123">
        <v>41.692535960932503</v>
      </c>
      <c r="AA123">
        <v>12.780724235582399</v>
      </c>
      <c r="AB123" t="s">
        <v>78</v>
      </c>
      <c r="AC123" t="s">
        <v>81</v>
      </c>
      <c r="AD123" t="s">
        <v>82</v>
      </c>
      <c r="AE123">
        <v>19578</v>
      </c>
      <c r="AF123">
        <v>0</v>
      </c>
      <c r="AG123">
        <v>0</v>
      </c>
      <c r="AH123">
        <v>6742</v>
      </c>
      <c r="AI123">
        <v>6930</v>
      </c>
      <c r="AJ123">
        <v>2986</v>
      </c>
      <c r="AK123">
        <v>2920</v>
      </c>
      <c r="AL123">
        <v>12135</v>
      </c>
      <c r="AM123">
        <v>24916</v>
      </c>
      <c r="AN123">
        <v>48689</v>
      </c>
      <c r="AO123">
        <v>133378</v>
      </c>
      <c r="AP123">
        <v>3</v>
      </c>
      <c r="AQ123">
        <v>1</v>
      </c>
      <c r="AR123">
        <v>1</v>
      </c>
      <c r="AS123">
        <v>12</v>
      </c>
      <c r="AT123">
        <v>0</v>
      </c>
      <c r="AU123">
        <v>17</v>
      </c>
      <c r="AV123">
        <v>21</v>
      </c>
      <c r="AW123">
        <v>0</v>
      </c>
      <c r="AX123">
        <v>0</v>
      </c>
      <c r="AY123">
        <v>0</v>
      </c>
      <c r="AZ123">
        <v>5</v>
      </c>
      <c r="BA123">
        <v>9</v>
      </c>
      <c r="BB123">
        <v>19</v>
      </c>
      <c r="BC123">
        <v>5</v>
      </c>
      <c r="BD123">
        <v>0</v>
      </c>
      <c r="BE123">
        <v>0</v>
      </c>
      <c r="BF123">
        <v>5</v>
      </c>
      <c r="BG123">
        <v>0</v>
      </c>
      <c r="BH123">
        <v>5</v>
      </c>
      <c r="BI123">
        <v>0</v>
      </c>
      <c r="BJ123">
        <v>41.692558900000002</v>
      </c>
      <c r="BK123">
        <v>12.780775</v>
      </c>
      <c r="BL123">
        <v>1800</v>
      </c>
      <c r="BM123" t="s">
        <v>83</v>
      </c>
      <c r="BN123" t="s">
        <v>84</v>
      </c>
      <c r="BO123" t="s">
        <v>85</v>
      </c>
      <c r="BP123" t="s">
        <v>86</v>
      </c>
      <c r="BQ123" t="s">
        <v>87</v>
      </c>
      <c r="BR123" t="s">
        <v>88</v>
      </c>
      <c r="BS123">
        <v>391651</v>
      </c>
      <c r="BT123">
        <v>0</v>
      </c>
      <c r="BU123">
        <v>0</v>
      </c>
      <c r="BV123">
        <v>134850</v>
      </c>
      <c r="BW123">
        <v>138622</v>
      </c>
      <c r="BX123">
        <v>59751</v>
      </c>
      <c r="BY123">
        <v>58428</v>
      </c>
      <c r="BZ123">
        <v>1</v>
      </c>
      <c r="CA123" t="s">
        <v>1015</v>
      </c>
      <c r="CB123" t="s">
        <v>1016</v>
      </c>
      <c r="CC123" s="3">
        <v>46092.557106481479</v>
      </c>
      <c r="CD123" t="s">
        <v>91</v>
      </c>
    </row>
    <row r="124" spans="1:82" ht="16" x14ac:dyDescent="0.2">
      <c r="A124" t="s">
        <v>1018</v>
      </c>
      <c r="B124" t="s">
        <v>1019</v>
      </c>
      <c r="C124" t="s">
        <v>1020</v>
      </c>
      <c r="D124" t="s">
        <v>78</v>
      </c>
      <c r="E124" t="s">
        <v>1021</v>
      </c>
      <c r="F124">
        <v>6</v>
      </c>
      <c r="G124">
        <v>300</v>
      </c>
      <c r="H124" t="str">
        <f t="shared" si="8"/>
        <v>6x300</v>
      </c>
      <c r="I124">
        <v>221</v>
      </c>
      <c r="J124" s="4">
        <f t="shared" si="9"/>
        <v>2.0462962962962964E-2</v>
      </c>
      <c r="K124">
        <v>334</v>
      </c>
      <c r="L124" s="4">
        <f t="shared" si="10"/>
        <v>3.0925925925925926E-2</v>
      </c>
      <c r="M124">
        <v>507</v>
      </c>
      <c r="N124" s="4">
        <f t="shared" si="11"/>
        <v>4.6944444444444448E-2</v>
      </c>
      <c r="O124">
        <v>1012</v>
      </c>
      <c r="P124" s="4">
        <f t="shared" si="12"/>
        <v>9.370370370370372E-2</v>
      </c>
      <c r="Q124" s="6" t="str">
        <f t="shared" si="7"/>
        <v>later</v>
      </c>
      <c r="R124" s="6">
        <f t="shared" si="13"/>
        <v>666</v>
      </c>
      <c r="S124">
        <v>304</v>
      </c>
      <c r="T124">
        <v>-96</v>
      </c>
      <c r="U124">
        <v>-35</v>
      </c>
      <c r="V124">
        <v>-21</v>
      </c>
      <c r="W124">
        <v>-6</v>
      </c>
      <c r="X124">
        <v>121</v>
      </c>
      <c r="Y124" s="2" t="s">
        <v>1022</v>
      </c>
      <c r="Z124">
        <v>44.6031885819827</v>
      </c>
      <c r="AA124">
        <v>11.031489808600201</v>
      </c>
      <c r="AB124" t="s">
        <v>78</v>
      </c>
      <c r="AC124" t="s">
        <v>81</v>
      </c>
      <c r="AD124" t="s">
        <v>82</v>
      </c>
      <c r="AE124">
        <v>18288</v>
      </c>
      <c r="AF124">
        <v>0</v>
      </c>
      <c r="AG124">
        <v>0</v>
      </c>
      <c r="AH124">
        <v>12977</v>
      </c>
      <c r="AI124">
        <v>2414</v>
      </c>
      <c r="AJ124">
        <v>2897</v>
      </c>
      <c r="AK124">
        <v>0</v>
      </c>
      <c r="AL124">
        <v>1109</v>
      </c>
      <c r="AM124">
        <v>10590</v>
      </c>
      <c r="AN124">
        <v>31241</v>
      </c>
      <c r="AO124">
        <v>190686</v>
      </c>
      <c r="AP124">
        <v>0</v>
      </c>
      <c r="AQ124">
        <v>0</v>
      </c>
      <c r="AR124">
        <v>1</v>
      </c>
      <c r="AS124">
        <v>5</v>
      </c>
      <c r="AT124">
        <v>4</v>
      </c>
      <c r="AU124">
        <v>18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12</v>
      </c>
      <c r="BC124">
        <v>0</v>
      </c>
      <c r="BD124">
        <v>4</v>
      </c>
      <c r="BE124">
        <v>0</v>
      </c>
      <c r="BF124">
        <v>4</v>
      </c>
      <c r="BG124">
        <v>0</v>
      </c>
      <c r="BH124">
        <v>4</v>
      </c>
      <c r="BI124">
        <v>0</v>
      </c>
      <c r="BJ124">
        <v>44.603355899999997</v>
      </c>
      <c r="BK124">
        <v>11.0315335</v>
      </c>
      <c r="BL124">
        <v>1800</v>
      </c>
      <c r="BM124" t="s">
        <v>83</v>
      </c>
      <c r="BN124" t="s">
        <v>84</v>
      </c>
      <c r="BO124" t="s">
        <v>85</v>
      </c>
      <c r="BP124" t="s">
        <v>160</v>
      </c>
      <c r="BQ124" t="s">
        <v>170</v>
      </c>
      <c r="BR124" t="s">
        <v>462</v>
      </c>
      <c r="BS124">
        <v>365819</v>
      </c>
      <c r="BT124">
        <v>0</v>
      </c>
      <c r="BU124">
        <v>0</v>
      </c>
      <c r="BV124">
        <v>259562</v>
      </c>
      <c r="BW124">
        <v>48298</v>
      </c>
      <c r="BX124">
        <v>57959</v>
      </c>
      <c r="BY124">
        <v>0</v>
      </c>
      <c r="BZ124">
        <v>1</v>
      </c>
      <c r="CA124" t="s">
        <v>1023</v>
      </c>
      <c r="CB124" t="s">
        <v>1024</v>
      </c>
      <c r="CC124" s="3">
        <v>46092.557106481479</v>
      </c>
      <c r="CD124" t="s">
        <v>91</v>
      </c>
    </row>
    <row r="125" spans="1:82" ht="16" x14ac:dyDescent="0.2">
      <c r="A125" t="s">
        <v>1026</v>
      </c>
      <c r="B125" t="s">
        <v>1027</v>
      </c>
      <c r="C125" t="s">
        <v>1028</v>
      </c>
      <c r="D125" t="s">
        <v>78</v>
      </c>
      <c r="E125" t="s">
        <v>1029</v>
      </c>
      <c r="F125">
        <v>6</v>
      </c>
      <c r="G125">
        <v>300</v>
      </c>
      <c r="H125" t="str">
        <f t="shared" si="8"/>
        <v>6x300</v>
      </c>
      <c r="I125">
        <v>220</v>
      </c>
      <c r="J125" s="4">
        <f t="shared" si="9"/>
        <v>2.0370370370370369E-2</v>
      </c>
      <c r="K125">
        <v>333</v>
      </c>
      <c r="L125" s="4">
        <f t="shared" si="10"/>
        <v>3.0833333333333338E-2</v>
      </c>
      <c r="M125">
        <v>504</v>
      </c>
      <c r="N125" s="4">
        <f t="shared" si="11"/>
        <v>4.6666666666666662E-2</v>
      </c>
      <c r="O125">
        <v>1006</v>
      </c>
      <c r="P125" s="4">
        <f t="shared" si="12"/>
        <v>9.3148148148148147E-2</v>
      </c>
      <c r="Q125" s="6" t="str">
        <f t="shared" si="7"/>
        <v>later</v>
      </c>
      <c r="R125" s="6">
        <f t="shared" si="13"/>
        <v>666</v>
      </c>
      <c r="S125">
        <v>304</v>
      </c>
      <c r="T125">
        <v>-100</v>
      </c>
      <c r="U125">
        <v>-35</v>
      </c>
      <c r="V125">
        <v>-2</v>
      </c>
      <c r="W125">
        <v>-8</v>
      </c>
      <c r="X125">
        <v>109</v>
      </c>
      <c r="Y125" s="2" t="s">
        <v>1030</v>
      </c>
      <c r="Z125">
        <v>41.704256100000002</v>
      </c>
      <c r="AA125">
        <v>12.6867518</v>
      </c>
      <c r="AB125" t="s">
        <v>78</v>
      </c>
      <c r="AC125" t="s">
        <v>81</v>
      </c>
      <c r="AD125" t="s">
        <v>82</v>
      </c>
      <c r="AE125">
        <v>17976</v>
      </c>
      <c r="AF125">
        <v>0</v>
      </c>
      <c r="AG125">
        <v>0</v>
      </c>
      <c r="AH125">
        <v>5938</v>
      </c>
      <c r="AI125">
        <v>0</v>
      </c>
      <c r="AJ125">
        <v>12038</v>
      </c>
      <c r="AK125">
        <v>0</v>
      </c>
      <c r="AL125">
        <v>14659</v>
      </c>
      <c r="AM125">
        <v>24850</v>
      </c>
      <c r="AN125">
        <v>80592</v>
      </c>
      <c r="AO125">
        <v>226185</v>
      </c>
      <c r="AP125">
        <v>2</v>
      </c>
      <c r="AQ125">
        <v>0</v>
      </c>
      <c r="AR125">
        <v>6</v>
      </c>
      <c r="AS125">
        <v>15</v>
      </c>
      <c r="AT125">
        <v>1</v>
      </c>
      <c r="AU125">
        <v>29</v>
      </c>
      <c r="AV125">
        <v>3</v>
      </c>
      <c r="AW125">
        <v>1</v>
      </c>
      <c r="AX125">
        <v>1</v>
      </c>
      <c r="AY125">
        <v>1</v>
      </c>
      <c r="AZ125">
        <v>1</v>
      </c>
      <c r="BA125">
        <v>5</v>
      </c>
      <c r="BB125">
        <v>13</v>
      </c>
      <c r="BC125">
        <v>1</v>
      </c>
      <c r="BD125">
        <v>2</v>
      </c>
      <c r="BE125">
        <v>0</v>
      </c>
      <c r="BF125">
        <v>4</v>
      </c>
      <c r="BG125">
        <v>0</v>
      </c>
      <c r="BH125">
        <v>4</v>
      </c>
      <c r="BI125">
        <v>0</v>
      </c>
      <c r="BJ125">
        <v>41.704278199999997</v>
      </c>
      <c r="BK125">
        <v>12.686697499999999</v>
      </c>
      <c r="BL125">
        <v>1800</v>
      </c>
      <c r="BM125" t="s">
        <v>83</v>
      </c>
      <c r="BN125" t="s">
        <v>84</v>
      </c>
      <c r="BO125" t="s">
        <v>85</v>
      </c>
      <c r="BP125" t="s">
        <v>86</v>
      </c>
      <c r="BQ125" t="s">
        <v>87</v>
      </c>
      <c r="BR125" t="s">
        <v>88</v>
      </c>
      <c r="BS125">
        <v>359557</v>
      </c>
      <c r="BT125">
        <v>0</v>
      </c>
      <c r="BU125">
        <v>0</v>
      </c>
      <c r="BV125">
        <v>118766</v>
      </c>
      <c r="BW125">
        <v>0</v>
      </c>
      <c r="BX125">
        <v>240791</v>
      </c>
      <c r="BY125">
        <v>0</v>
      </c>
      <c r="BZ125">
        <v>1</v>
      </c>
      <c r="CA125" t="s">
        <v>1031</v>
      </c>
      <c r="CB125" t="s">
        <v>1032</v>
      </c>
      <c r="CC125" s="3">
        <v>46092.557106481479</v>
      </c>
      <c r="CD125" t="s">
        <v>91</v>
      </c>
    </row>
    <row r="126" spans="1:82" ht="16" x14ac:dyDescent="0.2">
      <c r="A126" t="s">
        <v>1033</v>
      </c>
      <c r="B126" t="s">
        <v>1034</v>
      </c>
      <c r="C126" t="s">
        <v>1035</v>
      </c>
      <c r="D126" t="s">
        <v>78</v>
      </c>
      <c r="E126" t="s">
        <v>1036</v>
      </c>
      <c r="F126">
        <v>6</v>
      </c>
      <c r="G126">
        <v>300</v>
      </c>
      <c r="H126" t="str">
        <f t="shared" si="8"/>
        <v>6x300</v>
      </c>
      <c r="I126">
        <v>219</v>
      </c>
      <c r="J126" s="4">
        <f t="shared" si="9"/>
        <v>2.0277777777777777E-2</v>
      </c>
      <c r="K126">
        <v>330</v>
      </c>
      <c r="L126" s="4">
        <f t="shared" si="10"/>
        <v>3.0555555555555558E-2</v>
      </c>
      <c r="M126">
        <v>501</v>
      </c>
      <c r="N126" s="4">
        <f t="shared" si="11"/>
        <v>4.6388888888888889E-2</v>
      </c>
      <c r="O126">
        <v>1000</v>
      </c>
      <c r="P126" s="4">
        <f t="shared" si="12"/>
        <v>9.2592592592592601E-2</v>
      </c>
      <c r="Q126" s="6" t="str">
        <f t="shared" si="7"/>
        <v>later</v>
      </c>
      <c r="R126" s="6">
        <f t="shared" si="13"/>
        <v>666</v>
      </c>
      <c r="S126">
        <v>304</v>
      </c>
      <c r="T126">
        <v>-93</v>
      </c>
      <c r="U126">
        <v>-22</v>
      </c>
      <c r="V126">
        <v>-46</v>
      </c>
      <c r="W126">
        <v>-2</v>
      </c>
      <c r="X126">
        <v>125</v>
      </c>
      <c r="Y126" s="2" t="s">
        <v>1037</v>
      </c>
      <c r="Z126">
        <v>43.073369999999997</v>
      </c>
      <c r="AA126">
        <v>10.53839</v>
      </c>
      <c r="AB126" t="s">
        <v>78</v>
      </c>
      <c r="AC126" t="s">
        <v>81</v>
      </c>
      <c r="AD126" t="s">
        <v>82</v>
      </c>
      <c r="AE126">
        <v>4879</v>
      </c>
      <c r="AF126">
        <v>0</v>
      </c>
      <c r="AG126">
        <v>0</v>
      </c>
      <c r="AH126">
        <v>0</v>
      </c>
      <c r="AI126">
        <v>4250</v>
      </c>
      <c r="AJ126">
        <v>0</v>
      </c>
      <c r="AK126">
        <v>629</v>
      </c>
      <c r="AL126">
        <v>127</v>
      </c>
      <c r="AM126">
        <v>1123</v>
      </c>
      <c r="AN126">
        <v>7166</v>
      </c>
      <c r="AO126">
        <v>20736</v>
      </c>
      <c r="AP126">
        <v>0</v>
      </c>
      <c r="AQ126">
        <v>0</v>
      </c>
      <c r="AR126">
        <v>1</v>
      </c>
      <c r="AS126">
        <v>1</v>
      </c>
      <c r="AT126">
        <v>2</v>
      </c>
      <c r="AU126">
        <v>3</v>
      </c>
      <c r="AV126">
        <v>2</v>
      </c>
      <c r="AW126">
        <v>0</v>
      </c>
      <c r="AX126">
        <v>1</v>
      </c>
      <c r="AY126">
        <v>0</v>
      </c>
      <c r="AZ126">
        <v>0</v>
      </c>
      <c r="BA126">
        <v>4</v>
      </c>
      <c r="BB126">
        <v>13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2</v>
      </c>
      <c r="BI126">
        <v>0</v>
      </c>
      <c r="BJ126">
        <v>43.073397900000003</v>
      </c>
      <c r="BK126">
        <v>10.5384075</v>
      </c>
      <c r="BL126">
        <v>1800</v>
      </c>
      <c r="BM126" t="s">
        <v>83</v>
      </c>
      <c r="BN126" t="s">
        <v>84</v>
      </c>
      <c r="BO126" t="s">
        <v>85</v>
      </c>
      <c r="BP126" t="s">
        <v>86</v>
      </c>
      <c r="BQ126" t="s">
        <v>212</v>
      </c>
      <c r="BR126" t="s">
        <v>454</v>
      </c>
      <c r="BS126">
        <v>97610</v>
      </c>
      <c r="BT126">
        <v>0</v>
      </c>
      <c r="BU126">
        <v>0</v>
      </c>
      <c r="BV126">
        <v>0</v>
      </c>
      <c r="BW126">
        <v>85020</v>
      </c>
      <c r="BX126">
        <v>0</v>
      </c>
      <c r="BY126">
        <v>12590</v>
      </c>
      <c r="BZ126">
        <v>1</v>
      </c>
      <c r="CA126" t="s">
        <v>1038</v>
      </c>
      <c r="CB126" t="s">
        <v>1039</v>
      </c>
      <c r="CC126" s="3">
        <v>46092.557106481479</v>
      </c>
      <c r="CD126" t="s">
        <v>91</v>
      </c>
    </row>
    <row r="127" spans="1:82" ht="16" x14ac:dyDescent="0.2">
      <c r="A127" t="s">
        <v>1049</v>
      </c>
      <c r="B127" t="s">
        <v>1050</v>
      </c>
      <c r="C127" t="s">
        <v>1051</v>
      </c>
      <c r="D127" t="s">
        <v>78</v>
      </c>
      <c r="E127" t="s">
        <v>1052</v>
      </c>
      <c r="F127">
        <v>6</v>
      </c>
      <c r="G127">
        <v>300</v>
      </c>
      <c r="H127" t="str">
        <f t="shared" si="8"/>
        <v>6x300</v>
      </c>
      <c r="I127">
        <v>206</v>
      </c>
      <c r="J127" s="4">
        <f t="shared" si="9"/>
        <v>1.9074074074074073E-2</v>
      </c>
      <c r="K127">
        <v>310</v>
      </c>
      <c r="L127" s="4">
        <f t="shared" si="10"/>
        <v>2.8703703703703707E-2</v>
      </c>
      <c r="M127">
        <v>471</v>
      </c>
      <c r="N127" s="4">
        <f t="shared" si="11"/>
        <v>4.3611111111111107E-2</v>
      </c>
      <c r="O127">
        <v>940</v>
      </c>
      <c r="P127" s="4">
        <f t="shared" si="12"/>
        <v>8.7037037037037038E-2</v>
      </c>
      <c r="Q127" s="6" t="str">
        <f t="shared" si="7"/>
        <v>later</v>
      </c>
      <c r="R127" s="6">
        <f t="shared" si="13"/>
        <v>666</v>
      </c>
      <c r="S127">
        <v>304</v>
      </c>
      <c r="T127">
        <v>-98</v>
      </c>
      <c r="U127">
        <v>-35</v>
      </c>
      <c r="V127">
        <v>11</v>
      </c>
      <c r="W127">
        <v>-45</v>
      </c>
      <c r="X127">
        <v>115</v>
      </c>
      <c r="Y127" s="2" t="s">
        <v>1053</v>
      </c>
      <c r="Z127">
        <v>45.516686086832998</v>
      </c>
      <c r="AA127">
        <v>11.466294001845799</v>
      </c>
      <c r="AB127" t="s">
        <v>78</v>
      </c>
      <c r="AC127" t="s">
        <v>81</v>
      </c>
      <c r="AD127" t="s">
        <v>82</v>
      </c>
      <c r="AE127">
        <v>16077</v>
      </c>
      <c r="AF127">
        <v>0</v>
      </c>
      <c r="AG127">
        <v>0</v>
      </c>
      <c r="AH127">
        <v>9006</v>
      </c>
      <c r="AI127">
        <v>0</v>
      </c>
      <c r="AJ127">
        <v>7071</v>
      </c>
      <c r="AK127">
        <v>0</v>
      </c>
      <c r="AL127">
        <v>5101</v>
      </c>
      <c r="AM127">
        <v>17058</v>
      </c>
      <c r="AN127">
        <v>61244</v>
      </c>
      <c r="AO127">
        <v>217734</v>
      </c>
      <c r="AP127">
        <v>0</v>
      </c>
      <c r="AQ127">
        <v>1</v>
      </c>
      <c r="AR127">
        <v>3</v>
      </c>
      <c r="AS127">
        <v>3</v>
      </c>
      <c r="AT127">
        <v>0</v>
      </c>
      <c r="AU127">
        <v>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</v>
      </c>
      <c r="BB127">
        <v>20</v>
      </c>
      <c r="BC127">
        <v>2</v>
      </c>
      <c r="BD127">
        <v>0</v>
      </c>
      <c r="BE127">
        <v>0</v>
      </c>
      <c r="BF127">
        <v>2</v>
      </c>
      <c r="BG127">
        <v>2</v>
      </c>
      <c r="BH127">
        <v>8</v>
      </c>
      <c r="BI127">
        <v>2</v>
      </c>
      <c r="BJ127">
        <v>45.516649600000001</v>
      </c>
      <c r="BK127">
        <v>11.466331800000001</v>
      </c>
      <c r="BL127">
        <v>1800</v>
      </c>
      <c r="BM127" t="s">
        <v>83</v>
      </c>
      <c r="BN127" t="s">
        <v>84</v>
      </c>
      <c r="BO127" t="s">
        <v>85</v>
      </c>
      <c r="BP127" t="s">
        <v>160</v>
      </c>
      <c r="BQ127" t="s">
        <v>161</v>
      </c>
      <c r="BR127" t="s">
        <v>527</v>
      </c>
      <c r="BS127">
        <v>321581</v>
      </c>
      <c r="BT127">
        <v>0</v>
      </c>
      <c r="BU127">
        <v>0</v>
      </c>
      <c r="BV127">
        <v>180132</v>
      </c>
      <c r="BW127">
        <v>0</v>
      </c>
      <c r="BX127">
        <v>141449</v>
      </c>
      <c r="BY127">
        <v>0</v>
      </c>
      <c r="BZ127">
        <v>1</v>
      </c>
      <c r="CA127" t="s">
        <v>1054</v>
      </c>
      <c r="CB127" t="s">
        <v>1055</v>
      </c>
      <c r="CC127" s="3">
        <v>46092.557106481479</v>
      </c>
      <c r="CD127" t="s">
        <v>91</v>
      </c>
    </row>
    <row r="128" spans="1:82" ht="16" x14ac:dyDescent="0.2">
      <c r="A128" t="s">
        <v>1060</v>
      </c>
      <c r="B128" t="s">
        <v>1061</v>
      </c>
      <c r="C128" t="s">
        <v>1062</v>
      </c>
      <c r="D128" t="s">
        <v>78</v>
      </c>
      <c r="E128" t="s">
        <v>1063</v>
      </c>
      <c r="F128">
        <v>6</v>
      </c>
      <c r="G128">
        <v>300</v>
      </c>
      <c r="H128" t="str">
        <f t="shared" si="8"/>
        <v>6x300</v>
      </c>
      <c r="I128">
        <v>199</v>
      </c>
      <c r="J128" s="4">
        <f t="shared" si="9"/>
        <v>1.8425925925925925E-2</v>
      </c>
      <c r="K128">
        <v>300</v>
      </c>
      <c r="L128" s="4">
        <f t="shared" si="10"/>
        <v>2.7777777777777776E-2</v>
      </c>
      <c r="M128">
        <v>455</v>
      </c>
      <c r="N128" s="4">
        <f t="shared" si="11"/>
        <v>4.2129629629629628E-2</v>
      </c>
      <c r="O128">
        <v>908</v>
      </c>
      <c r="P128" s="4">
        <f t="shared" si="12"/>
        <v>8.4074074074074079E-2</v>
      </c>
      <c r="Q128" s="6" t="str">
        <f t="shared" si="7"/>
        <v>later</v>
      </c>
      <c r="R128" s="6">
        <f t="shared" si="13"/>
        <v>666</v>
      </c>
      <c r="S128">
        <v>304</v>
      </c>
      <c r="T128">
        <v>-100</v>
      </c>
      <c r="U128">
        <v>-37</v>
      </c>
      <c r="V128">
        <v>-35</v>
      </c>
      <c r="W128">
        <v>-6</v>
      </c>
      <c r="X128">
        <v>115</v>
      </c>
      <c r="Y128" s="2" t="s">
        <v>1064</v>
      </c>
      <c r="Z128">
        <v>43.317480442110003</v>
      </c>
      <c r="AA128">
        <v>11.353866237428299</v>
      </c>
      <c r="AB128" t="s">
        <v>78</v>
      </c>
      <c r="AC128" t="s">
        <v>81</v>
      </c>
      <c r="AD128" t="s">
        <v>82</v>
      </c>
      <c r="AE128">
        <v>26204</v>
      </c>
      <c r="AF128">
        <v>0</v>
      </c>
      <c r="AG128">
        <v>0</v>
      </c>
      <c r="AH128">
        <v>15309</v>
      </c>
      <c r="AI128">
        <v>4801</v>
      </c>
      <c r="AJ128">
        <v>6094</v>
      </c>
      <c r="AK128">
        <v>0</v>
      </c>
      <c r="AL128">
        <v>2150</v>
      </c>
      <c r="AM128">
        <v>12986</v>
      </c>
      <c r="AN128">
        <v>47240</v>
      </c>
      <c r="AO128">
        <v>73482</v>
      </c>
      <c r="AP128">
        <v>1</v>
      </c>
      <c r="AQ128">
        <v>0</v>
      </c>
      <c r="AR128">
        <v>2</v>
      </c>
      <c r="AS128">
        <v>12</v>
      </c>
      <c r="AT128">
        <v>6</v>
      </c>
      <c r="AU128">
        <v>32</v>
      </c>
      <c r="AV128">
        <v>7</v>
      </c>
      <c r="AW128">
        <v>0</v>
      </c>
      <c r="AX128">
        <v>0</v>
      </c>
      <c r="AY128">
        <v>0</v>
      </c>
      <c r="AZ128">
        <v>0</v>
      </c>
      <c r="BA128">
        <v>15</v>
      </c>
      <c r="BB128">
        <v>30</v>
      </c>
      <c r="BC128">
        <v>11</v>
      </c>
      <c r="BD128">
        <v>2</v>
      </c>
      <c r="BE128">
        <v>0</v>
      </c>
      <c r="BF128">
        <v>5</v>
      </c>
      <c r="BG128">
        <v>0</v>
      </c>
      <c r="BH128">
        <v>5</v>
      </c>
      <c r="BI128">
        <v>0</v>
      </c>
      <c r="BJ128">
        <v>43.317489899999998</v>
      </c>
      <c r="BK128">
        <v>11.3538899</v>
      </c>
      <c r="BL128">
        <v>1800</v>
      </c>
      <c r="BM128" t="s">
        <v>83</v>
      </c>
      <c r="BN128" t="s">
        <v>84</v>
      </c>
      <c r="BO128" t="s">
        <v>85</v>
      </c>
      <c r="BP128" t="s">
        <v>86</v>
      </c>
      <c r="BQ128" t="s">
        <v>212</v>
      </c>
      <c r="BR128" t="s">
        <v>1062</v>
      </c>
      <c r="BS128">
        <v>523345</v>
      </c>
      <c r="BT128">
        <v>0</v>
      </c>
      <c r="BU128">
        <v>0</v>
      </c>
      <c r="BV128">
        <v>306212</v>
      </c>
      <c r="BW128">
        <v>96050</v>
      </c>
      <c r="BX128">
        <v>121083</v>
      </c>
      <c r="BY128">
        <v>0</v>
      </c>
      <c r="BZ128">
        <v>1</v>
      </c>
      <c r="CA128" t="s">
        <v>1065</v>
      </c>
      <c r="CB128" t="s">
        <v>1066</v>
      </c>
      <c r="CC128" s="3">
        <v>46092.557106481479</v>
      </c>
      <c r="CD128" t="s">
        <v>91</v>
      </c>
    </row>
    <row r="129" spans="1:82" ht="16" x14ac:dyDescent="0.2">
      <c r="A129" t="s">
        <v>1083</v>
      </c>
      <c r="B129" t="s">
        <v>1084</v>
      </c>
      <c r="C129" t="s">
        <v>671</v>
      </c>
      <c r="D129" t="s">
        <v>78</v>
      </c>
      <c r="E129" t="s">
        <v>1085</v>
      </c>
      <c r="F129">
        <v>6</v>
      </c>
      <c r="G129">
        <v>300</v>
      </c>
      <c r="H129" t="str">
        <f t="shared" si="8"/>
        <v>6x300</v>
      </c>
      <c r="I129">
        <v>183</v>
      </c>
      <c r="J129" s="4">
        <f t="shared" si="9"/>
        <v>1.6944444444444446E-2</v>
      </c>
      <c r="K129">
        <v>276</v>
      </c>
      <c r="L129" s="4">
        <f t="shared" si="10"/>
        <v>2.5555555555555557E-2</v>
      </c>
      <c r="M129">
        <v>419</v>
      </c>
      <c r="N129" s="4">
        <f t="shared" si="11"/>
        <v>3.8796296296296294E-2</v>
      </c>
      <c r="O129">
        <v>836</v>
      </c>
      <c r="P129" s="4">
        <f t="shared" si="12"/>
        <v>7.7407407407407411E-2</v>
      </c>
      <c r="Q129" s="6" t="str">
        <f t="shared" si="7"/>
        <v>later</v>
      </c>
      <c r="R129" s="6">
        <f t="shared" si="13"/>
        <v>666</v>
      </c>
      <c r="S129">
        <v>304</v>
      </c>
      <c r="T129">
        <v>-58</v>
      </c>
      <c r="U129">
        <v>-40</v>
      </c>
      <c r="V129">
        <v>-4</v>
      </c>
      <c r="W129">
        <v>-89</v>
      </c>
      <c r="X129">
        <v>112</v>
      </c>
      <c r="Y129" s="2" t="s">
        <v>1086</v>
      </c>
      <c r="Z129">
        <v>44.916708100000001</v>
      </c>
      <c r="AA129">
        <v>8.5985422000000007</v>
      </c>
      <c r="AB129" t="s">
        <v>78</v>
      </c>
      <c r="AC129" t="s">
        <v>81</v>
      </c>
      <c r="AD129" t="s">
        <v>82</v>
      </c>
      <c r="AE129">
        <v>29585</v>
      </c>
      <c r="AF129">
        <v>0</v>
      </c>
      <c r="AG129">
        <v>0</v>
      </c>
      <c r="AH129">
        <v>12917</v>
      </c>
      <c r="AI129">
        <v>5961</v>
      </c>
      <c r="AJ129">
        <v>8620</v>
      </c>
      <c r="AK129">
        <v>2087</v>
      </c>
      <c r="AL129">
        <v>5533</v>
      </c>
      <c r="AM129">
        <v>32104</v>
      </c>
      <c r="AN129">
        <v>71270</v>
      </c>
      <c r="AO129">
        <v>104512</v>
      </c>
      <c r="AP129">
        <v>0</v>
      </c>
      <c r="AQ129">
        <v>2</v>
      </c>
      <c r="AR129">
        <v>2</v>
      </c>
      <c r="AS129">
        <v>12</v>
      </c>
      <c r="AT129">
        <v>2</v>
      </c>
      <c r="AU129">
        <v>17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6</v>
      </c>
      <c r="BB129">
        <v>41</v>
      </c>
      <c r="BC129">
        <v>5</v>
      </c>
      <c r="BD129">
        <v>6</v>
      </c>
      <c r="BE129">
        <v>12</v>
      </c>
      <c r="BF129">
        <v>6</v>
      </c>
      <c r="BG129">
        <v>12</v>
      </c>
      <c r="BH129">
        <v>6</v>
      </c>
      <c r="BI129">
        <v>12</v>
      </c>
      <c r="BJ129">
        <v>44.916879899999998</v>
      </c>
      <c r="BK129">
        <v>8.5988100000000003</v>
      </c>
      <c r="BL129">
        <v>1800</v>
      </c>
      <c r="BM129" t="s">
        <v>83</v>
      </c>
      <c r="BN129" t="s">
        <v>84</v>
      </c>
      <c r="BO129" t="s">
        <v>85</v>
      </c>
      <c r="BP129" t="s">
        <v>107</v>
      </c>
      <c r="BQ129" t="s">
        <v>203</v>
      </c>
      <c r="BR129" t="s">
        <v>671</v>
      </c>
      <c r="BS129">
        <v>591805</v>
      </c>
      <c r="BT129">
        <v>0</v>
      </c>
      <c r="BU129">
        <v>0</v>
      </c>
      <c r="BV129">
        <v>258365</v>
      </c>
      <c r="BW129">
        <v>119238</v>
      </c>
      <c r="BX129">
        <v>172451</v>
      </c>
      <c r="BY129">
        <v>41751</v>
      </c>
      <c r="BZ129">
        <v>1</v>
      </c>
      <c r="CA129" t="s">
        <v>1087</v>
      </c>
      <c r="CB129" t="s">
        <v>1088</v>
      </c>
      <c r="CC129" s="3">
        <v>46092.557106481479</v>
      </c>
      <c r="CD129" t="s">
        <v>91</v>
      </c>
    </row>
    <row r="130" spans="1:82" ht="16" x14ac:dyDescent="0.2">
      <c r="A130" t="s">
        <v>1091</v>
      </c>
      <c r="B130" t="s">
        <v>1092</v>
      </c>
      <c r="C130" t="s">
        <v>1093</v>
      </c>
      <c r="D130" t="s">
        <v>78</v>
      </c>
      <c r="E130" t="s">
        <v>1094</v>
      </c>
      <c r="F130">
        <v>6</v>
      </c>
      <c r="G130">
        <v>300</v>
      </c>
      <c r="H130" t="str">
        <f t="shared" si="8"/>
        <v>6x300</v>
      </c>
      <c r="I130">
        <v>179</v>
      </c>
      <c r="J130" s="4">
        <f t="shared" si="9"/>
        <v>1.6574074074074074E-2</v>
      </c>
      <c r="K130">
        <v>271</v>
      </c>
      <c r="L130" s="4">
        <f t="shared" si="10"/>
        <v>2.5092592592592593E-2</v>
      </c>
      <c r="M130">
        <v>410</v>
      </c>
      <c r="N130" s="4">
        <f t="shared" si="11"/>
        <v>3.7962962962962962E-2</v>
      </c>
      <c r="O130">
        <v>819</v>
      </c>
      <c r="P130" s="4">
        <f t="shared" si="12"/>
        <v>7.5833333333333336E-2</v>
      </c>
      <c r="Q130" s="6" t="str">
        <f t="shared" ref="Q130:Q193" si="14">IF(J130&gt;=0.13,2026,IF(L130&gt;=0.14,2027,IF(N130&gt;=0.14,2030,IF(P130&gt;=0.14,2035,"later"))))</f>
        <v>later</v>
      </c>
      <c r="R130" s="6">
        <f t="shared" si="13"/>
        <v>666</v>
      </c>
      <c r="S130">
        <v>304</v>
      </c>
      <c r="T130">
        <v>-100</v>
      </c>
      <c r="U130">
        <v>-34</v>
      </c>
      <c r="V130">
        <v>-42</v>
      </c>
      <c r="W130">
        <v>-25</v>
      </c>
      <c r="X130">
        <v>120</v>
      </c>
      <c r="Y130" s="2" t="s">
        <v>1095</v>
      </c>
      <c r="Z130">
        <v>39.300159999999998</v>
      </c>
      <c r="AA130">
        <v>9.0641999999999996</v>
      </c>
      <c r="AB130" t="s">
        <v>78</v>
      </c>
      <c r="AC130" t="s">
        <v>81</v>
      </c>
      <c r="AD130" t="s">
        <v>82</v>
      </c>
      <c r="AE130">
        <v>22661</v>
      </c>
      <c r="AF130">
        <v>0</v>
      </c>
      <c r="AG130">
        <v>0</v>
      </c>
      <c r="AH130">
        <v>14495</v>
      </c>
      <c r="AI130">
        <v>5264</v>
      </c>
      <c r="AJ130">
        <v>2902</v>
      </c>
      <c r="AK130">
        <v>0</v>
      </c>
      <c r="AL130">
        <v>183</v>
      </c>
      <c r="AM130">
        <v>5497</v>
      </c>
      <c r="AN130">
        <v>39467</v>
      </c>
      <c r="AO130">
        <v>218862</v>
      </c>
      <c r="AP130">
        <v>2</v>
      </c>
      <c r="AQ130">
        <v>1</v>
      </c>
      <c r="AR130">
        <v>2</v>
      </c>
      <c r="AS130">
        <v>8</v>
      </c>
      <c r="AT130">
        <v>0</v>
      </c>
      <c r="AU130">
        <v>28</v>
      </c>
      <c r="AV130">
        <v>2</v>
      </c>
      <c r="AW130">
        <v>0</v>
      </c>
      <c r="AX130">
        <v>0</v>
      </c>
      <c r="AY130">
        <v>2</v>
      </c>
      <c r="AZ130">
        <v>0</v>
      </c>
      <c r="BA130">
        <v>12</v>
      </c>
      <c r="BB130">
        <v>14</v>
      </c>
      <c r="BC130">
        <v>11</v>
      </c>
      <c r="BD130">
        <v>4</v>
      </c>
      <c r="BE130">
        <v>0</v>
      </c>
      <c r="BF130">
        <v>6</v>
      </c>
      <c r="BG130">
        <v>0</v>
      </c>
      <c r="BH130">
        <v>10</v>
      </c>
      <c r="BI130">
        <v>0</v>
      </c>
      <c r="BJ130">
        <v>39.300051500000002</v>
      </c>
      <c r="BK130">
        <v>9.0642645000000002</v>
      </c>
      <c r="BL130">
        <v>1800</v>
      </c>
      <c r="BM130" t="s">
        <v>83</v>
      </c>
      <c r="BN130" t="s">
        <v>84</v>
      </c>
      <c r="BO130" t="s">
        <v>85</v>
      </c>
      <c r="BP130" t="s">
        <v>242</v>
      </c>
      <c r="BQ130" t="s">
        <v>335</v>
      </c>
      <c r="BR130" t="s">
        <v>332</v>
      </c>
      <c r="BS130">
        <v>453235</v>
      </c>
      <c r="BT130">
        <v>0</v>
      </c>
      <c r="BU130">
        <v>0</v>
      </c>
      <c r="BV130">
        <v>289903</v>
      </c>
      <c r="BW130">
        <v>105284</v>
      </c>
      <c r="BX130">
        <v>58048</v>
      </c>
      <c r="BY130">
        <v>0</v>
      </c>
      <c r="BZ130">
        <v>1</v>
      </c>
      <c r="CA130" t="s">
        <v>1096</v>
      </c>
      <c r="CB130" t="s">
        <v>1097</v>
      </c>
      <c r="CC130" s="3">
        <v>46092.557106481479</v>
      </c>
      <c r="CD130" t="s">
        <v>91</v>
      </c>
    </row>
    <row r="131" spans="1:82" ht="16" x14ac:dyDescent="0.2">
      <c r="A131" t="s">
        <v>75</v>
      </c>
      <c r="B131" t="s">
        <v>76</v>
      </c>
      <c r="C131" t="s">
        <v>77</v>
      </c>
      <c r="D131" t="s">
        <v>78</v>
      </c>
      <c r="E131" t="s">
        <v>79</v>
      </c>
      <c r="F131">
        <v>2</v>
      </c>
      <c r="G131">
        <v>300</v>
      </c>
      <c r="H131" t="str">
        <f t="shared" ref="H131:H194" si="15">F131&amp;"x"&amp;G131</f>
        <v>2x300</v>
      </c>
      <c r="I131">
        <v>489</v>
      </c>
      <c r="J131" s="4">
        <f t="shared" ref="J131:J194" si="16">IF($G131=300,I131/75/$F131/24,IF($G131=150,I131/65/$F131/24,I131/40/$F131/24))</f>
        <v>0.13583333333333333</v>
      </c>
      <c r="K131">
        <v>739</v>
      </c>
      <c r="L131" s="4">
        <f t="shared" ref="L131:L194" si="17">IF($G131=300,K131/75/$F131/24,IF($G131=150,K131/65/$F131/24,K131/40/$F131/24))</f>
        <v>0.20527777777777778</v>
      </c>
      <c r="M131">
        <v>1120</v>
      </c>
      <c r="N131" s="4">
        <f t="shared" ref="N131:N194" si="18">IF($G131=300,M131/75/$F131/24,IF($G131=150,M131/65/$F131/24,M131/40/$F131/24))</f>
        <v>0.31111111111111112</v>
      </c>
      <c r="O131">
        <v>2236</v>
      </c>
      <c r="P131" s="4">
        <f t="shared" ref="P131:P194" si="19">IF($G131=300,O131/75/$F131/24,IF($G131=150,O131/65/$F131/24,O131/40/$F131/24))</f>
        <v>0.62111111111111106</v>
      </c>
      <c r="Q131" s="6">
        <f t="shared" si="14"/>
        <v>2026</v>
      </c>
      <c r="R131" s="6">
        <f t="shared" ref="R131:R194" si="20">IF(Q131=2026,1,IF(Q131=2027,2,IF(Q131=2030,3,IF(Q131=2035,4,666))))</f>
        <v>1</v>
      </c>
      <c r="S131">
        <v>156</v>
      </c>
      <c r="T131">
        <v>108</v>
      </c>
      <c r="U131">
        <v>221</v>
      </c>
      <c r="V131">
        <v>-32</v>
      </c>
      <c r="W131">
        <v>5</v>
      </c>
      <c r="X131">
        <v>53</v>
      </c>
      <c r="Y131" s="2" t="s">
        <v>80</v>
      </c>
      <c r="Z131">
        <v>41.845640000000003</v>
      </c>
      <c r="AA131">
        <v>12.45519</v>
      </c>
      <c r="AB131" t="s">
        <v>78</v>
      </c>
      <c r="AC131" t="s">
        <v>81</v>
      </c>
      <c r="AD131" t="s">
        <v>82</v>
      </c>
      <c r="AE131">
        <v>100705</v>
      </c>
      <c r="AF131">
        <v>0</v>
      </c>
      <c r="AG131">
        <v>0</v>
      </c>
      <c r="AH131">
        <v>74554</v>
      </c>
      <c r="AI131">
        <v>26151</v>
      </c>
      <c r="AJ131">
        <v>0</v>
      </c>
      <c r="AK131">
        <v>0</v>
      </c>
      <c r="AL131">
        <v>28817</v>
      </c>
      <c r="AM131">
        <v>98100</v>
      </c>
      <c r="AN131">
        <v>496116</v>
      </c>
      <c r="AO131">
        <v>1471161</v>
      </c>
      <c r="AP131">
        <v>2</v>
      </c>
      <c r="AQ131">
        <v>1</v>
      </c>
      <c r="AR131">
        <v>8</v>
      </c>
      <c r="AS131">
        <v>11</v>
      </c>
      <c r="AT131">
        <v>2</v>
      </c>
      <c r="AU131">
        <v>32</v>
      </c>
      <c r="AV131">
        <v>4</v>
      </c>
      <c r="AW131">
        <v>0</v>
      </c>
      <c r="AX131">
        <v>0</v>
      </c>
      <c r="AY131">
        <v>0</v>
      </c>
      <c r="AZ131">
        <v>0</v>
      </c>
      <c r="BA131">
        <v>26</v>
      </c>
      <c r="BB131">
        <v>125</v>
      </c>
      <c r="BC131">
        <v>12</v>
      </c>
      <c r="BD131">
        <v>4</v>
      </c>
      <c r="BE131">
        <v>0</v>
      </c>
      <c r="BF131">
        <v>6</v>
      </c>
      <c r="BG131">
        <v>0</v>
      </c>
      <c r="BH131">
        <v>18</v>
      </c>
      <c r="BI131">
        <v>0</v>
      </c>
      <c r="BJ131">
        <v>41.845581600000003</v>
      </c>
      <c r="BK131">
        <v>12.4555323</v>
      </c>
      <c r="BL131">
        <v>600</v>
      </c>
      <c r="BM131" t="s">
        <v>83</v>
      </c>
      <c r="BN131" t="s">
        <v>84</v>
      </c>
      <c r="BO131" t="s">
        <v>85</v>
      </c>
      <c r="BP131" t="s">
        <v>86</v>
      </c>
      <c r="BQ131" t="s">
        <v>87</v>
      </c>
      <c r="BR131" t="s">
        <v>88</v>
      </c>
      <c r="BS131">
        <v>2396992</v>
      </c>
      <c r="BT131">
        <v>0</v>
      </c>
      <c r="BU131">
        <v>0</v>
      </c>
      <c r="BV131">
        <v>1717057</v>
      </c>
      <c r="BW131">
        <v>679935</v>
      </c>
      <c r="BX131">
        <v>0</v>
      </c>
      <c r="BY131">
        <v>0</v>
      </c>
      <c r="BZ131">
        <v>1</v>
      </c>
      <c r="CA131" t="s">
        <v>89</v>
      </c>
      <c r="CB131" t="s">
        <v>90</v>
      </c>
      <c r="CC131" s="3">
        <v>46092.557106481479</v>
      </c>
      <c r="CD131" t="s">
        <v>91</v>
      </c>
    </row>
    <row r="132" spans="1:82" ht="16" x14ac:dyDescent="0.2">
      <c r="A132" t="s">
        <v>92</v>
      </c>
      <c r="B132" t="s">
        <v>93</v>
      </c>
      <c r="C132" t="s">
        <v>94</v>
      </c>
      <c r="D132" t="s">
        <v>78</v>
      </c>
      <c r="E132" t="s">
        <v>95</v>
      </c>
      <c r="F132">
        <v>2</v>
      </c>
      <c r="G132">
        <v>300</v>
      </c>
      <c r="H132" t="str">
        <f t="shared" si="15"/>
        <v>2x300</v>
      </c>
      <c r="I132">
        <v>486</v>
      </c>
      <c r="J132" s="4">
        <f t="shared" si="16"/>
        <v>0.13500000000000001</v>
      </c>
      <c r="K132">
        <v>734</v>
      </c>
      <c r="L132" s="4">
        <f t="shared" si="17"/>
        <v>0.2038888888888889</v>
      </c>
      <c r="M132">
        <v>1114</v>
      </c>
      <c r="N132" s="4">
        <f t="shared" si="18"/>
        <v>0.30944444444444447</v>
      </c>
      <c r="O132">
        <v>2223</v>
      </c>
      <c r="P132" s="4">
        <f t="shared" si="19"/>
        <v>0.61750000000000005</v>
      </c>
      <c r="Q132" s="6">
        <f t="shared" si="14"/>
        <v>2026</v>
      </c>
      <c r="R132" s="6">
        <f t="shared" si="20"/>
        <v>1</v>
      </c>
      <c r="S132">
        <v>156</v>
      </c>
      <c r="T132">
        <v>107</v>
      </c>
      <c r="U132">
        <v>190</v>
      </c>
      <c r="V132">
        <v>-6</v>
      </c>
      <c r="W132">
        <v>4</v>
      </c>
      <c r="X132">
        <v>61</v>
      </c>
      <c r="Y132" s="2" t="s">
        <v>96</v>
      </c>
      <c r="Z132">
        <v>40.896721239999998</v>
      </c>
      <c r="AA132">
        <v>14.3147612</v>
      </c>
      <c r="AB132" t="s">
        <v>78</v>
      </c>
      <c r="AC132" t="s">
        <v>81</v>
      </c>
      <c r="AD132" t="s">
        <v>82</v>
      </c>
      <c r="AE132">
        <v>174151</v>
      </c>
      <c r="AF132">
        <v>73019</v>
      </c>
      <c r="AG132">
        <v>0</v>
      </c>
      <c r="AH132">
        <v>34253</v>
      </c>
      <c r="AI132">
        <v>38783</v>
      </c>
      <c r="AJ132">
        <v>28096</v>
      </c>
      <c r="AK132">
        <v>0</v>
      </c>
      <c r="AL132">
        <v>6507</v>
      </c>
      <c r="AM132">
        <v>39527</v>
      </c>
      <c r="AN132">
        <v>428090</v>
      </c>
      <c r="AO132">
        <v>1634812</v>
      </c>
      <c r="AP132">
        <v>0</v>
      </c>
      <c r="AQ132">
        <v>0</v>
      </c>
      <c r="AR132">
        <v>6</v>
      </c>
      <c r="AS132">
        <v>17</v>
      </c>
      <c r="AT132">
        <v>0</v>
      </c>
      <c r="AU132">
        <v>28</v>
      </c>
      <c r="AV132">
        <v>2</v>
      </c>
      <c r="AW132">
        <v>2</v>
      </c>
      <c r="AX132">
        <v>1</v>
      </c>
      <c r="AY132">
        <v>0</v>
      </c>
      <c r="AZ132">
        <v>2</v>
      </c>
      <c r="BA132">
        <v>9</v>
      </c>
      <c r="BB132">
        <v>25</v>
      </c>
      <c r="BC132">
        <v>3</v>
      </c>
      <c r="BD132">
        <v>2</v>
      </c>
      <c r="BE132">
        <v>0</v>
      </c>
      <c r="BF132">
        <v>5</v>
      </c>
      <c r="BG132">
        <v>0</v>
      </c>
      <c r="BH132">
        <v>13</v>
      </c>
      <c r="BI132">
        <v>4</v>
      </c>
      <c r="BJ132">
        <v>40.8967223</v>
      </c>
      <c r="BK132">
        <v>14.314826699999999</v>
      </c>
      <c r="BL132">
        <v>600</v>
      </c>
      <c r="BM132" t="s">
        <v>83</v>
      </c>
      <c r="BN132" t="s">
        <v>84</v>
      </c>
      <c r="BO132" t="s">
        <v>85</v>
      </c>
      <c r="BP132" t="s">
        <v>97</v>
      </c>
      <c r="BQ132" t="s">
        <v>98</v>
      </c>
      <c r="BR132" t="s">
        <v>99</v>
      </c>
      <c r="BS132">
        <v>3995417</v>
      </c>
      <c r="BT132">
        <v>1972656</v>
      </c>
      <c r="BU132">
        <v>0</v>
      </c>
      <c r="BV132">
        <v>685094</v>
      </c>
      <c r="BW132">
        <v>775688</v>
      </c>
      <c r="BX132">
        <v>561979</v>
      </c>
      <c r="BY132">
        <v>0</v>
      </c>
      <c r="BZ132">
        <v>1</v>
      </c>
      <c r="CA132" t="s">
        <v>100</v>
      </c>
      <c r="CB132" t="s">
        <v>101</v>
      </c>
      <c r="CC132" s="3">
        <v>46092.557106481479</v>
      </c>
      <c r="CD132" t="s">
        <v>91</v>
      </c>
    </row>
    <row r="133" spans="1:82" ht="16" x14ac:dyDescent="0.2">
      <c r="A133" t="s">
        <v>447</v>
      </c>
      <c r="B133" t="s">
        <v>76</v>
      </c>
      <c r="C133" t="s">
        <v>77</v>
      </c>
      <c r="D133" t="s">
        <v>78</v>
      </c>
      <c r="E133" t="s">
        <v>79</v>
      </c>
      <c r="F133">
        <v>2</v>
      </c>
      <c r="G133">
        <v>150</v>
      </c>
      <c r="H133" t="str">
        <f t="shared" si="15"/>
        <v>2x150</v>
      </c>
      <c r="I133">
        <v>422</v>
      </c>
      <c r="J133" s="4">
        <f t="shared" si="16"/>
        <v>0.13525641025641025</v>
      </c>
      <c r="K133">
        <v>637</v>
      </c>
      <c r="L133" s="4">
        <f t="shared" si="17"/>
        <v>0.20416666666666669</v>
      </c>
      <c r="M133">
        <v>966</v>
      </c>
      <c r="N133" s="4">
        <f t="shared" si="18"/>
        <v>0.30961538461538463</v>
      </c>
      <c r="O133">
        <v>1928</v>
      </c>
      <c r="P133" s="4">
        <f t="shared" si="19"/>
        <v>0.61794871794871797</v>
      </c>
      <c r="Q133" s="6">
        <f t="shared" si="14"/>
        <v>2026</v>
      </c>
      <c r="R133" s="6">
        <f t="shared" si="20"/>
        <v>1</v>
      </c>
      <c r="S133">
        <v>135</v>
      </c>
      <c r="T133">
        <v>93</v>
      </c>
      <c r="U133">
        <v>190</v>
      </c>
      <c r="V133">
        <v>-27</v>
      </c>
      <c r="W133">
        <v>5</v>
      </c>
      <c r="X133">
        <v>46</v>
      </c>
      <c r="Y133" s="2" t="s">
        <v>80</v>
      </c>
      <c r="Z133">
        <v>41.845640000000003</v>
      </c>
      <c r="AA133">
        <v>12.45519</v>
      </c>
      <c r="AB133" t="s">
        <v>78</v>
      </c>
      <c r="AC133" t="s">
        <v>81</v>
      </c>
      <c r="AD133" t="s">
        <v>82</v>
      </c>
      <c r="AE133">
        <v>100705</v>
      </c>
      <c r="AF133">
        <v>0</v>
      </c>
      <c r="AG133">
        <v>0</v>
      </c>
      <c r="AH133">
        <v>74554</v>
      </c>
      <c r="AI133">
        <v>26151</v>
      </c>
      <c r="AJ133">
        <v>0</v>
      </c>
      <c r="AK133">
        <v>0</v>
      </c>
      <c r="AL133">
        <v>28817</v>
      </c>
      <c r="AM133">
        <v>98100</v>
      </c>
      <c r="AN133">
        <v>496116</v>
      </c>
      <c r="AO133">
        <v>1471161</v>
      </c>
      <c r="AP133">
        <v>2</v>
      </c>
      <c r="AQ133">
        <v>1</v>
      </c>
      <c r="AR133">
        <v>8</v>
      </c>
      <c r="AS133">
        <v>11</v>
      </c>
      <c r="AT133">
        <v>2</v>
      </c>
      <c r="AU133">
        <v>32</v>
      </c>
      <c r="AV133">
        <v>4</v>
      </c>
      <c r="AW133">
        <v>0</v>
      </c>
      <c r="AX133">
        <v>0</v>
      </c>
      <c r="AY133">
        <v>0</v>
      </c>
      <c r="AZ133">
        <v>0</v>
      </c>
      <c r="BA133">
        <v>26</v>
      </c>
      <c r="BB133">
        <v>125</v>
      </c>
      <c r="BC133">
        <v>12</v>
      </c>
      <c r="BD133">
        <v>4</v>
      </c>
      <c r="BE133">
        <v>0</v>
      </c>
      <c r="BF133">
        <v>6</v>
      </c>
      <c r="BG133">
        <v>0</v>
      </c>
      <c r="BH133">
        <v>18</v>
      </c>
      <c r="BI133">
        <v>0</v>
      </c>
      <c r="BJ133">
        <v>41.845581600000003</v>
      </c>
      <c r="BK133">
        <v>12.4555323</v>
      </c>
      <c r="BL133">
        <v>300</v>
      </c>
      <c r="BM133" t="s">
        <v>83</v>
      </c>
      <c r="BN133" t="s">
        <v>84</v>
      </c>
      <c r="BO133" t="s">
        <v>85</v>
      </c>
      <c r="BP133" t="s">
        <v>86</v>
      </c>
      <c r="BQ133" t="s">
        <v>87</v>
      </c>
      <c r="BR133" t="s">
        <v>88</v>
      </c>
      <c r="BS133">
        <v>2396992</v>
      </c>
      <c r="BT133">
        <v>0</v>
      </c>
      <c r="BU133">
        <v>0</v>
      </c>
      <c r="BV133">
        <v>1717057</v>
      </c>
      <c r="BW133">
        <v>679935</v>
      </c>
      <c r="BX133">
        <v>0</v>
      </c>
      <c r="BY133">
        <v>0</v>
      </c>
      <c r="BZ133">
        <v>1</v>
      </c>
      <c r="CA133" t="s">
        <v>89</v>
      </c>
      <c r="CB133" t="s">
        <v>90</v>
      </c>
      <c r="CC133" s="3">
        <v>46092.557106481479</v>
      </c>
      <c r="CD133" t="s">
        <v>91</v>
      </c>
    </row>
    <row r="134" spans="1:82" ht="16" x14ac:dyDescent="0.2">
      <c r="A134" t="s">
        <v>448</v>
      </c>
      <c r="B134" t="s">
        <v>93</v>
      </c>
      <c r="C134" t="s">
        <v>94</v>
      </c>
      <c r="D134" t="s">
        <v>78</v>
      </c>
      <c r="E134" t="s">
        <v>95</v>
      </c>
      <c r="F134">
        <v>2</v>
      </c>
      <c r="G134">
        <v>150</v>
      </c>
      <c r="H134" t="str">
        <f t="shared" si="15"/>
        <v>2x150</v>
      </c>
      <c r="I134">
        <v>419</v>
      </c>
      <c r="J134" s="4">
        <f t="shared" si="16"/>
        <v>0.13429487179487179</v>
      </c>
      <c r="K134">
        <v>633</v>
      </c>
      <c r="L134" s="4">
        <f t="shared" si="17"/>
        <v>0.20288461538461536</v>
      </c>
      <c r="M134">
        <v>960</v>
      </c>
      <c r="N134" s="4">
        <f t="shared" si="18"/>
        <v>0.30769230769230771</v>
      </c>
      <c r="O134">
        <v>1916</v>
      </c>
      <c r="P134" s="4">
        <f t="shared" si="19"/>
        <v>0.61410256410256403</v>
      </c>
      <c r="Q134" s="6">
        <f t="shared" si="14"/>
        <v>2026</v>
      </c>
      <c r="R134" s="6">
        <f t="shared" si="20"/>
        <v>1</v>
      </c>
      <c r="S134">
        <v>135</v>
      </c>
      <c r="T134">
        <v>92</v>
      </c>
      <c r="U134">
        <v>163</v>
      </c>
      <c r="V134">
        <v>-5</v>
      </c>
      <c r="W134">
        <v>3</v>
      </c>
      <c r="X134">
        <v>53</v>
      </c>
      <c r="Y134" s="2" t="s">
        <v>96</v>
      </c>
      <c r="Z134">
        <v>40.896721239999998</v>
      </c>
      <c r="AA134">
        <v>14.3147612</v>
      </c>
      <c r="AB134" t="s">
        <v>78</v>
      </c>
      <c r="AC134" t="s">
        <v>81</v>
      </c>
      <c r="AD134" t="s">
        <v>82</v>
      </c>
      <c r="AE134">
        <v>174151</v>
      </c>
      <c r="AF134">
        <v>73019</v>
      </c>
      <c r="AG134">
        <v>0</v>
      </c>
      <c r="AH134">
        <v>34253</v>
      </c>
      <c r="AI134">
        <v>38783</v>
      </c>
      <c r="AJ134">
        <v>28096</v>
      </c>
      <c r="AK134">
        <v>0</v>
      </c>
      <c r="AL134">
        <v>6507</v>
      </c>
      <c r="AM134">
        <v>39527</v>
      </c>
      <c r="AN134">
        <v>428090</v>
      </c>
      <c r="AO134">
        <v>1634812</v>
      </c>
      <c r="AP134">
        <v>0</v>
      </c>
      <c r="AQ134">
        <v>0</v>
      </c>
      <c r="AR134">
        <v>6</v>
      </c>
      <c r="AS134">
        <v>17</v>
      </c>
      <c r="AT134">
        <v>0</v>
      </c>
      <c r="AU134">
        <v>28</v>
      </c>
      <c r="AV134">
        <v>2</v>
      </c>
      <c r="AW134">
        <v>2</v>
      </c>
      <c r="AX134">
        <v>1</v>
      </c>
      <c r="AY134">
        <v>0</v>
      </c>
      <c r="AZ134">
        <v>2</v>
      </c>
      <c r="BA134">
        <v>9</v>
      </c>
      <c r="BB134">
        <v>25</v>
      </c>
      <c r="BC134">
        <v>3</v>
      </c>
      <c r="BD134">
        <v>2</v>
      </c>
      <c r="BE134">
        <v>0</v>
      </c>
      <c r="BF134">
        <v>5</v>
      </c>
      <c r="BG134">
        <v>0</v>
      </c>
      <c r="BH134">
        <v>13</v>
      </c>
      <c r="BI134">
        <v>4</v>
      </c>
      <c r="BJ134">
        <v>40.8967223</v>
      </c>
      <c r="BK134">
        <v>14.314826699999999</v>
      </c>
      <c r="BL134">
        <v>300</v>
      </c>
      <c r="BM134" t="s">
        <v>83</v>
      </c>
      <c r="BN134" t="s">
        <v>84</v>
      </c>
      <c r="BO134" t="s">
        <v>85</v>
      </c>
      <c r="BP134" t="s">
        <v>97</v>
      </c>
      <c r="BQ134" t="s">
        <v>98</v>
      </c>
      <c r="BR134" t="s">
        <v>99</v>
      </c>
      <c r="BS134">
        <v>3995417</v>
      </c>
      <c r="BT134">
        <v>1972656</v>
      </c>
      <c r="BU134">
        <v>0</v>
      </c>
      <c r="BV134">
        <v>685094</v>
      </c>
      <c r="BW134">
        <v>775688</v>
      </c>
      <c r="BX134">
        <v>561979</v>
      </c>
      <c r="BY134">
        <v>0</v>
      </c>
      <c r="BZ134">
        <v>1</v>
      </c>
      <c r="CA134" t="s">
        <v>100</v>
      </c>
      <c r="CB134" t="s">
        <v>101</v>
      </c>
      <c r="CC134" s="3">
        <v>46092.557106481479</v>
      </c>
      <c r="CD134" t="s">
        <v>91</v>
      </c>
    </row>
    <row r="135" spans="1:82" ht="16" x14ac:dyDescent="0.2">
      <c r="A135" t="s">
        <v>75</v>
      </c>
      <c r="B135" t="s">
        <v>76</v>
      </c>
      <c r="C135" t="s">
        <v>77</v>
      </c>
      <c r="D135" t="s">
        <v>78</v>
      </c>
      <c r="E135" t="s">
        <v>79</v>
      </c>
      <c r="F135">
        <v>4</v>
      </c>
      <c r="G135">
        <v>300</v>
      </c>
      <c r="H135" t="str">
        <f t="shared" si="15"/>
        <v>4x300</v>
      </c>
      <c r="I135">
        <v>768</v>
      </c>
      <c r="J135" s="4">
        <f t="shared" si="16"/>
        <v>0.10666666666666667</v>
      </c>
      <c r="K135">
        <v>1159</v>
      </c>
      <c r="L135" s="4">
        <f t="shared" si="17"/>
        <v>0.16097222222222221</v>
      </c>
      <c r="M135">
        <v>1758</v>
      </c>
      <c r="N135" s="4">
        <f t="shared" si="18"/>
        <v>0.24416666666666667</v>
      </c>
      <c r="O135">
        <v>3508</v>
      </c>
      <c r="P135" s="4">
        <f t="shared" si="19"/>
        <v>0.48722222222222222</v>
      </c>
      <c r="Q135" s="6">
        <f t="shared" si="14"/>
        <v>2027</v>
      </c>
      <c r="R135" s="6">
        <f t="shared" si="20"/>
        <v>2</v>
      </c>
      <c r="S135">
        <v>245</v>
      </c>
      <c r="T135">
        <v>169</v>
      </c>
      <c r="U135">
        <v>346</v>
      </c>
      <c r="V135">
        <v>-50</v>
      </c>
      <c r="W135">
        <v>8</v>
      </c>
      <c r="X135">
        <v>84</v>
      </c>
      <c r="Y135" s="2" t="s">
        <v>80</v>
      </c>
      <c r="Z135">
        <v>41.845640000000003</v>
      </c>
      <c r="AA135">
        <v>12.45519</v>
      </c>
      <c r="AB135" t="s">
        <v>78</v>
      </c>
      <c r="AC135" t="s">
        <v>81</v>
      </c>
      <c r="AD135" t="s">
        <v>82</v>
      </c>
      <c r="AE135">
        <v>100705</v>
      </c>
      <c r="AF135">
        <v>0</v>
      </c>
      <c r="AG135">
        <v>0</v>
      </c>
      <c r="AH135">
        <v>74554</v>
      </c>
      <c r="AI135">
        <v>26151</v>
      </c>
      <c r="AJ135">
        <v>0</v>
      </c>
      <c r="AK135">
        <v>0</v>
      </c>
      <c r="AL135">
        <v>28817</v>
      </c>
      <c r="AM135">
        <v>98100</v>
      </c>
      <c r="AN135">
        <v>496116</v>
      </c>
      <c r="AO135">
        <v>1471161</v>
      </c>
      <c r="AP135">
        <v>2</v>
      </c>
      <c r="AQ135">
        <v>1</v>
      </c>
      <c r="AR135">
        <v>8</v>
      </c>
      <c r="AS135">
        <v>11</v>
      </c>
      <c r="AT135">
        <v>2</v>
      </c>
      <c r="AU135">
        <v>32</v>
      </c>
      <c r="AV135">
        <v>4</v>
      </c>
      <c r="AW135">
        <v>0</v>
      </c>
      <c r="AX135">
        <v>0</v>
      </c>
      <c r="AY135">
        <v>0</v>
      </c>
      <c r="AZ135">
        <v>0</v>
      </c>
      <c r="BA135">
        <v>26</v>
      </c>
      <c r="BB135">
        <v>125</v>
      </c>
      <c r="BC135">
        <v>12</v>
      </c>
      <c r="BD135">
        <v>4</v>
      </c>
      <c r="BE135">
        <v>0</v>
      </c>
      <c r="BF135">
        <v>6</v>
      </c>
      <c r="BG135">
        <v>0</v>
      </c>
      <c r="BH135">
        <v>18</v>
      </c>
      <c r="BI135">
        <v>0</v>
      </c>
      <c r="BJ135">
        <v>41.845581600000003</v>
      </c>
      <c r="BK135">
        <v>12.4555323</v>
      </c>
      <c r="BL135">
        <v>1200</v>
      </c>
      <c r="BM135" t="s">
        <v>83</v>
      </c>
      <c r="BN135" t="s">
        <v>84</v>
      </c>
      <c r="BO135" t="s">
        <v>85</v>
      </c>
      <c r="BP135" t="s">
        <v>86</v>
      </c>
      <c r="BQ135" t="s">
        <v>87</v>
      </c>
      <c r="BR135" t="s">
        <v>88</v>
      </c>
      <c r="BS135">
        <v>2396992</v>
      </c>
      <c r="BT135">
        <v>0</v>
      </c>
      <c r="BU135">
        <v>0</v>
      </c>
      <c r="BV135">
        <v>1717057</v>
      </c>
      <c r="BW135">
        <v>679935</v>
      </c>
      <c r="BX135">
        <v>0</v>
      </c>
      <c r="BY135">
        <v>0</v>
      </c>
      <c r="BZ135">
        <v>1</v>
      </c>
      <c r="CA135" t="s">
        <v>89</v>
      </c>
      <c r="CB135" t="s">
        <v>90</v>
      </c>
      <c r="CC135" s="3">
        <v>46092.557106481479</v>
      </c>
      <c r="CD135" t="s">
        <v>91</v>
      </c>
    </row>
    <row r="136" spans="1:82" ht="16" x14ac:dyDescent="0.2">
      <c r="A136" t="s">
        <v>92</v>
      </c>
      <c r="B136" t="s">
        <v>93</v>
      </c>
      <c r="C136" t="s">
        <v>94</v>
      </c>
      <c r="D136" t="s">
        <v>78</v>
      </c>
      <c r="E136" t="s">
        <v>95</v>
      </c>
      <c r="F136">
        <v>4</v>
      </c>
      <c r="G136">
        <v>300</v>
      </c>
      <c r="H136" t="str">
        <f t="shared" si="15"/>
        <v>4x300</v>
      </c>
      <c r="I136">
        <v>763</v>
      </c>
      <c r="J136" s="4">
        <f t="shared" si="16"/>
        <v>0.10597222222222223</v>
      </c>
      <c r="K136">
        <v>1152</v>
      </c>
      <c r="L136" s="4">
        <f t="shared" si="17"/>
        <v>0.16</v>
      </c>
      <c r="M136">
        <v>1747</v>
      </c>
      <c r="N136" s="4">
        <f t="shared" si="18"/>
        <v>0.24263888888888888</v>
      </c>
      <c r="O136">
        <v>3487</v>
      </c>
      <c r="P136" s="4">
        <f t="shared" si="19"/>
        <v>0.48430555555555554</v>
      </c>
      <c r="Q136" s="6">
        <f t="shared" si="14"/>
        <v>2027</v>
      </c>
      <c r="R136" s="6">
        <f t="shared" si="20"/>
        <v>2</v>
      </c>
      <c r="S136">
        <v>245</v>
      </c>
      <c r="T136">
        <v>167</v>
      </c>
      <c r="U136">
        <v>297</v>
      </c>
      <c r="V136">
        <v>-9</v>
      </c>
      <c r="W136">
        <v>6</v>
      </c>
      <c r="X136">
        <v>96</v>
      </c>
      <c r="Y136" s="2" t="s">
        <v>96</v>
      </c>
      <c r="Z136">
        <v>40.896721239999998</v>
      </c>
      <c r="AA136">
        <v>14.3147612</v>
      </c>
      <c r="AB136" t="s">
        <v>78</v>
      </c>
      <c r="AC136" t="s">
        <v>81</v>
      </c>
      <c r="AD136" t="s">
        <v>82</v>
      </c>
      <c r="AE136">
        <v>174151</v>
      </c>
      <c r="AF136">
        <v>73019</v>
      </c>
      <c r="AG136">
        <v>0</v>
      </c>
      <c r="AH136">
        <v>34253</v>
      </c>
      <c r="AI136">
        <v>38783</v>
      </c>
      <c r="AJ136">
        <v>28096</v>
      </c>
      <c r="AK136">
        <v>0</v>
      </c>
      <c r="AL136">
        <v>6507</v>
      </c>
      <c r="AM136">
        <v>39527</v>
      </c>
      <c r="AN136">
        <v>428090</v>
      </c>
      <c r="AO136">
        <v>1634812</v>
      </c>
      <c r="AP136">
        <v>0</v>
      </c>
      <c r="AQ136">
        <v>0</v>
      </c>
      <c r="AR136">
        <v>6</v>
      </c>
      <c r="AS136">
        <v>17</v>
      </c>
      <c r="AT136">
        <v>0</v>
      </c>
      <c r="AU136">
        <v>28</v>
      </c>
      <c r="AV136">
        <v>2</v>
      </c>
      <c r="AW136">
        <v>2</v>
      </c>
      <c r="AX136">
        <v>1</v>
      </c>
      <c r="AY136">
        <v>0</v>
      </c>
      <c r="AZ136">
        <v>2</v>
      </c>
      <c r="BA136">
        <v>9</v>
      </c>
      <c r="BB136">
        <v>25</v>
      </c>
      <c r="BC136">
        <v>3</v>
      </c>
      <c r="BD136">
        <v>2</v>
      </c>
      <c r="BE136">
        <v>0</v>
      </c>
      <c r="BF136">
        <v>5</v>
      </c>
      <c r="BG136">
        <v>0</v>
      </c>
      <c r="BH136">
        <v>13</v>
      </c>
      <c r="BI136">
        <v>4</v>
      </c>
      <c r="BJ136">
        <v>40.8967223</v>
      </c>
      <c r="BK136">
        <v>14.314826699999999</v>
      </c>
      <c r="BL136">
        <v>1200</v>
      </c>
      <c r="BM136" t="s">
        <v>83</v>
      </c>
      <c r="BN136" t="s">
        <v>84</v>
      </c>
      <c r="BO136" t="s">
        <v>85</v>
      </c>
      <c r="BP136" t="s">
        <v>97</v>
      </c>
      <c r="BQ136" t="s">
        <v>98</v>
      </c>
      <c r="BR136" t="s">
        <v>99</v>
      </c>
      <c r="BS136">
        <v>3995417</v>
      </c>
      <c r="BT136">
        <v>1972656</v>
      </c>
      <c r="BU136">
        <v>0</v>
      </c>
      <c r="BV136">
        <v>685094</v>
      </c>
      <c r="BW136">
        <v>775688</v>
      </c>
      <c r="BX136">
        <v>561979</v>
      </c>
      <c r="BY136">
        <v>0</v>
      </c>
      <c r="BZ136">
        <v>1</v>
      </c>
      <c r="CA136" t="s">
        <v>100</v>
      </c>
      <c r="CB136" t="s">
        <v>101</v>
      </c>
      <c r="CC136" s="3">
        <v>46092.557106481479</v>
      </c>
      <c r="CD136" t="s">
        <v>91</v>
      </c>
    </row>
    <row r="137" spans="1:82" ht="16" x14ac:dyDescent="0.2">
      <c r="A137" t="s">
        <v>102</v>
      </c>
      <c r="B137" t="s">
        <v>103</v>
      </c>
      <c r="C137" t="s">
        <v>104</v>
      </c>
      <c r="D137" t="s">
        <v>78</v>
      </c>
      <c r="E137" t="s">
        <v>105</v>
      </c>
      <c r="F137">
        <v>4</v>
      </c>
      <c r="G137">
        <v>300</v>
      </c>
      <c r="H137" t="str">
        <f t="shared" si="15"/>
        <v>4x300</v>
      </c>
      <c r="I137">
        <v>720</v>
      </c>
      <c r="J137" s="4">
        <f t="shared" si="16"/>
        <v>9.9999999999999992E-2</v>
      </c>
      <c r="K137">
        <v>1087</v>
      </c>
      <c r="L137" s="4">
        <f t="shared" si="17"/>
        <v>0.15097222222222223</v>
      </c>
      <c r="M137">
        <v>1649</v>
      </c>
      <c r="N137" s="4">
        <f t="shared" si="18"/>
        <v>0.2290277777777778</v>
      </c>
      <c r="O137">
        <v>3291</v>
      </c>
      <c r="P137" s="4">
        <f t="shared" si="19"/>
        <v>0.45708333333333334</v>
      </c>
      <c r="Q137" s="6">
        <f t="shared" si="14"/>
        <v>2027</v>
      </c>
      <c r="R137" s="6">
        <f t="shared" si="20"/>
        <v>2</v>
      </c>
      <c r="S137">
        <v>245</v>
      </c>
      <c r="T137">
        <v>338</v>
      </c>
      <c r="U137">
        <v>-6</v>
      </c>
      <c r="V137">
        <v>-15</v>
      </c>
      <c r="W137">
        <v>88</v>
      </c>
      <c r="X137">
        <v>120</v>
      </c>
      <c r="Y137" s="2" t="s">
        <v>106</v>
      </c>
      <c r="Z137">
        <v>45.391072917237899</v>
      </c>
      <c r="AA137">
        <v>9.2583023742203796</v>
      </c>
      <c r="AB137" t="s">
        <v>78</v>
      </c>
      <c r="AC137" t="s">
        <v>81</v>
      </c>
      <c r="AD137" t="s">
        <v>82</v>
      </c>
      <c r="AE137">
        <v>253575</v>
      </c>
      <c r="AF137">
        <v>206515</v>
      </c>
      <c r="AG137">
        <v>0</v>
      </c>
      <c r="AH137">
        <v>18444</v>
      </c>
      <c r="AI137">
        <v>0</v>
      </c>
      <c r="AJ137">
        <v>27264</v>
      </c>
      <c r="AK137">
        <v>1352</v>
      </c>
      <c r="AL137">
        <v>2181</v>
      </c>
      <c r="AM137">
        <v>18962</v>
      </c>
      <c r="AN137">
        <v>105149</v>
      </c>
      <c r="AO137">
        <v>693672</v>
      </c>
      <c r="AP137">
        <v>0</v>
      </c>
      <c r="AQ137">
        <v>0</v>
      </c>
      <c r="AR137">
        <v>1</v>
      </c>
      <c r="AS137">
        <v>2</v>
      </c>
      <c r="AT137">
        <v>2</v>
      </c>
      <c r="AU137">
        <v>11</v>
      </c>
      <c r="AV137">
        <v>0</v>
      </c>
      <c r="AW137">
        <v>1</v>
      </c>
      <c r="AX137">
        <v>0</v>
      </c>
      <c r="AY137">
        <v>0</v>
      </c>
      <c r="AZ137">
        <v>1</v>
      </c>
      <c r="BA137">
        <v>18</v>
      </c>
      <c r="BB137">
        <v>32</v>
      </c>
      <c r="BC137">
        <v>9</v>
      </c>
      <c r="BD137">
        <v>2</v>
      </c>
      <c r="BE137">
        <v>16</v>
      </c>
      <c r="BF137">
        <v>4</v>
      </c>
      <c r="BG137">
        <v>16</v>
      </c>
      <c r="BH137">
        <v>4</v>
      </c>
      <c r="BI137">
        <v>16</v>
      </c>
      <c r="BJ137">
        <v>45.3910999</v>
      </c>
      <c r="BK137">
        <v>9.2583499000000007</v>
      </c>
      <c r="BL137">
        <v>1200</v>
      </c>
      <c r="BM137" t="s">
        <v>83</v>
      </c>
      <c r="BN137" t="s">
        <v>84</v>
      </c>
      <c r="BO137" t="s">
        <v>85</v>
      </c>
      <c r="BP137" t="s">
        <v>107</v>
      </c>
      <c r="BQ137" t="s">
        <v>108</v>
      </c>
      <c r="BR137" t="s">
        <v>109</v>
      </c>
      <c r="BS137">
        <v>5349455</v>
      </c>
      <c r="BT137">
        <v>4473679</v>
      </c>
      <c r="BU137">
        <v>0</v>
      </c>
      <c r="BV137">
        <v>368881</v>
      </c>
      <c r="BW137">
        <v>0</v>
      </c>
      <c r="BX137">
        <v>479842</v>
      </c>
      <c r="BY137">
        <v>27053</v>
      </c>
      <c r="BZ137">
        <v>1</v>
      </c>
      <c r="CA137" t="s">
        <v>110</v>
      </c>
      <c r="CB137" t="s">
        <v>111</v>
      </c>
      <c r="CC137" s="3">
        <v>46092.557106481479</v>
      </c>
      <c r="CD137" t="s">
        <v>91</v>
      </c>
    </row>
    <row r="138" spans="1:82" ht="16" x14ac:dyDescent="0.2">
      <c r="A138" t="s">
        <v>102</v>
      </c>
      <c r="B138" t="s">
        <v>103</v>
      </c>
      <c r="C138" t="s">
        <v>104</v>
      </c>
      <c r="D138" t="s">
        <v>78</v>
      </c>
      <c r="E138" t="s">
        <v>105</v>
      </c>
      <c r="F138">
        <v>2</v>
      </c>
      <c r="G138">
        <v>300</v>
      </c>
      <c r="H138" t="str">
        <f t="shared" si="15"/>
        <v>2x300</v>
      </c>
      <c r="I138">
        <v>459</v>
      </c>
      <c r="J138" s="4">
        <f t="shared" si="16"/>
        <v>0.1275</v>
      </c>
      <c r="K138">
        <v>693</v>
      </c>
      <c r="L138" s="4">
        <f t="shared" si="17"/>
        <v>0.1925</v>
      </c>
      <c r="M138">
        <v>1051</v>
      </c>
      <c r="N138" s="4">
        <f t="shared" si="18"/>
        <v>0.29194444444444445</v>
      </c>
      <c r="O138">
        <v>2097</v>
      </c>
      <c r="P138" s="4">
        <f t="shared" si="19"/>
        <v>0.58250000000000002</v>
      </c>
      <c r="Q138" s="6">
        <f t="shared" si="14"/>
        <v>2027</v>
      </c>
      <c r="R138" s="6">
        <f t="shared" si="20"/>
        <v>2</v>
      </c>
      <c r="S138">
        <v>156</v>
      </c>
      <c r="T138">
        <v>216</v>
      </c>
      <c r="U138">
        <v>-4</v>
      </c>
      <c r="V138">
        <v>-9</v>
      </c>
      <c r="W138">
        <v>56</v>
      </c>
      <c r="X138">
        <v>76</v>
      </c>
      <c r="Y138" s="2" t="s">
        <v>106</v>
      </c>
      <c r="Z138">
        <v>45.391072917237899</v>
      </c>
      <c r="AA138">
        <v>9.2583023742203796</v>
      </c>
      <c r="AB138" t="s">
        <v>78</v>
      </c>
      <c r="AC138" t="s">
        <v>81</v>
      </c>
      <c r="AD138" t="s">
        <v>82</v>
      </c>
      <c r="AE138">
        <v>253575</v>
      </c>
      <c r="AF138">
        <v>206515</v>
      </c>
      <c r="AG138">
        <v>0</v>
      </c>
      <c r="AH138">
        <v>18444</v>
      </c>
      <c r="AI138">
        <v>0</v>
      </c>
      <c r="AJ138">
        <v>27264</v>
      </c>
      <c r="AK138">
        <v>1352</v>
      </c>
      <c r="AL138">
        <v>2181</v>
      </c>
      <c r="AM138">
        <v>18962</v>
      </c>
      <c r="AN138">
        <v>105149</v>
      </c>
      <c r="AO138">
        <v>693672</v>
      </c>
      <c r="AP138">
        <v>0</v>
      </c>
      <c r="AQ138">
        <v>0</v>
      </c>
      <c r="AR138">
        <v>1</v>
      </c>
      <c r="AS138">
        <v>2</v>
      </c>
      <c r="AT138">
        <v>2</v>
      </c>
      <c r="AU138">
        <v>11</v>
      </c>
      <c r="AV138">
        <v>0</v>
      </c>
      <c r="AW138">
        <v>1</v>
      </c>
      <c r="AX138">
        <v>0</v>
      </c>
      <c r="AY138">
        <v>0</v>
      </c>
      <c r="AZ138">
        <v>1</v>
      </c>
      <c r="BA138">
        <v>18</v>
      </c>
      <c r="BB138">
        <v>32</v>
      </c>
      <c r="BC138">
        <v>9</v>
      </c>
      <c r="BD138">
        <v>2</v>
      </c>
      <c r="BE138">
        <v>16</v>
      </c>
      <c r="BF138">
        <v>4</v>
      </c>
      <c r="BG138">
        <v>16</v>
      </c>
      <c r="BH138">
        <v>4</v>
      </c>
      <c r="BI138">
        <v>16</v>
      </c>
      <c r="BJ138">
        <v>45.3910999</v>
      </c>
      <c r="BK138">
        <v>9.2583499000000007</v>
      </c>
      <c r="BL138">
        <v>600</v>
      </c>
      <c r="BM138" t="s">
        <v>83</v>
      </c>
      <c r="BN138" t="s">
        <v>84</v>
      </c>
      <c r="BO138" t="s">
        <v>85</v>
      </c>
      <c r="BP138" t="s">
        <v>107</v>
      </c>
      <c r="BQ138" t="s">
        <v>108</v>
      </c>
      <c r="BR138" t="s">
        <v>109</v>
      </c>
      <c r="BS138">
        <v>5349455</v>
      </c>
      <c r="BT138">
        <v>4473679</v>
      </c>
      <c r="BU138">
        <v>0</v>
      </c>
      <c r="BV138">
        <v>368881</v>
      </c>
      <c r="BW138">
        <v>0</v>
      </c>
      <c r="BX138">
        <v>479842</v>
      </c>
      <c r="BY138">
        <v>27053</v>
      </c>
      <c r="BZ138">
        <v>1</v>
      </c>
      <c r="CA138" t="s">
        <v>110</v>
      </c>
      <c r="CB138" t="s">
        <v>111</v>
      </c>
      <c r="CC138" s="3">
        <v>46092.557106481479</v>
      </c>
      <c r="CD138" t="s">
        <v>91</v>
      </c>
    </row>
    <row r="139" spans="1:82" ht="16" x14ac:dyDescent="0.2">
      <c r="A139" t="s">
        <v>112</v>
      </c>
      <c r="B139" t="s">
        <v>113</v>
      </c>
      <c r="C139" t="s">
        <v>114</v>
      </c>
      <c r="D139" t="s">
        <v>78</v>
      </c>
      <c r="E139" t="s">
        <v>115</v>
      </c>
      <c r="F139">
        <v>2</v>
      </c>
      <c r="G139">
        <v>300</v>
      </c>
      <c r="H139" t="str">
        <f t="shared" si="15"/>
        <v>2x300</v>
      </c>
      <c r="I139">
        <v>424</v>
      </c>
      <c r="J139" s="4">
        <f t="shared" si="16"/>
        <v>0.11777777777777777</v>
      </c>
      <c r="K139">
        <v>640</v>
      </c>
      <c r="L139" s="4">
        <f t="shared" si="17"/>
        <v>0.17777777777777778</v>
      </c>
      <c r="M139">
        <v>971</v>
      </c>
      <c r="N139" s="4">
        <f t="shared" si="18"/>
        <v>0.26972222222222225</v>
      </c>
      <c r="O139">
        <v>1937</v>
      </c>
      <c r="P139" s="4">
        <f t="shared" si="19"/>
        <v>0.53805555555555562</v>
      </c>
      <c r="Q139" s="6">
        <f t="shared" si="14"/>
        <v>2027</v>
      </c>
      <c r="R139" s="6">
        <f t="shared" si="20"/>
        <v>2</v>
      </c>
      <c r="S139">
        <v>156</v>
      </c>
      <c r="T139">
        <v>41</v>
      </c>
      <c r="U139">
        <v>218</v>
      </c>
      <c r="V139">
        <v>11</v>
      </c>
      <c r="W139">
        <v>-30</v>
      </c>
      <c r="X139">
        <v>45</v>
      </c>
      <c r="Y139" s="2" t="s">
        <v>116</v>
      </c>
      <c r="Z139">
        <v>41.928870099999997</v>
      </c>
      <c r="AA139">
        <v>12.4264882</v>
      </c>
      <c r="AB139" t="s">
        <v>78</v>
      </c>
      <c r="AC139" t="s">
        <v>81</v>
      </c>
      <c r="AD139" t="s">
        <v>82</v>
      </c>
      <c r="AE139">
        <v>71743</v>
      </c>
      <c r="AF139">
        <v>0</v>
      </c>
      <c r="AG139">
        <v>0</v>
      </c>
      <c r="AH139">
        <v>0</v>
      </c>
      <c r="AI139">
        <v>11849</v>
      </c>
      <c r="AJ139">
        <v>43407</v>
      </c>
      <c r="AK139">
        <v>16487</v>
      </c>
      <c r="AL139">
        <v>28995</v>
      </c>
      <c r="AM139">
        <v>101869</v>
      </c>
      <c r="AN139">
        <v>455657</v>
      </c>
      <c r="AO139">
        <v>1386162</v>
      </c>
      <c r="AP139">
        <v>1</v>
      </c>
      <c r="AQ139">
        <v>0</v>
      </c>
      <c r="AR139">
        <v>11</v>
      </c>
      <c r="AS139">
        <v>7</v>
      </c>
      <c r="AT139">
        <v>2</v>
      </c>
      <c r="AU139">
        <v>21</v>
      </c>
      <c r="AV139">
        <v>12</v>
      </c>
      <c r="AW139">
        <v>0</v>
      </c>
      <c r="AX139">
        <v>4</v>
      </c>
      <c r="AY139">
        <v>1</v>
      </c>
      <c r="AZ139">
        <v>1</v>
      </c>
      <c r="BA139">
        <v>6</v>
      </c>
      <c r="BB139">
        <v>51</v>
      </c>
      <c r="BC139">
        <v>6</v>
      </c>
      <c r="BD139">
        <v>0</v>
      </c>
      <c r="BE139">
        <v>0</v>
      </c>
      <c r="BF139">
        <v>0</v>
      </c>
      <c r="BG139">
        <v>0</v>
      </c>
      <c r="BH139">
        <v>6</v>
      </c>
      <c r="BI139">
        <v>0</v>
      </c>
      <c r="BJ139">
        <v>41.9288715</v>
      </c>
      <c r="BK139">
        <v>12.426523100000001</v>
      </c>
      <c r="BL139">
        <v>600</v>
      </c>
      <c r="BM139" t="s">
        <v>83</v>
      </c>
      <c r="BN139" t="s">
        <v>84</v>
      </c>
      <c r="BO139" t="s">
        <v>85</v>
      </c>
      <c r="BP139" t="s">
        <v>86</v>
      </c>
      <c r="BQ139" t="s">
        <v>87</v>
      </c>
      <c r="BR139" t="s">
        <v>88</v>
      </c>
      <c r="BS139">
        <v>1434968</v>
      </c>
      <c r="BT139">
        <v>0</v>
      </c>
      <c r="BU139">
        <v>0</v>
      </c>
      <c r="BV139">
        <v>0</v>
      </c>
      <c r="BW139">
        <v>236994</v>
      </c>
      <c r="BX139">
        <v>868208</v>
      </c>
      <c r="BY139">
        <v>329766</v>
      </c>
      <c r="BZ139">
        <v>1</v>
      </c>
      <c r="CA139" t="s">
        <v>117</v>
      </c>
      <c r="CB139" t="s">
        <v>118</v>
      </c>
      <c r="CC139" s="3">
        <v>46092.557106481479</v>
      </c>
      <c r="CD139" t="s">
        <v>91</v>
      </c>
    </row>
    <row r="140" spans="1:82" ht="16" x14ac:dyDescent="0.2">
      <c r="A140" t="s">
        <v>119</v>
      </c>
      <c r="B140" t="s">
        <v>120</v>
      </c>
      <c r="C140" t="s">
        <v>121</v>
      </c>
      <c r="D140" t="s">
        <v>78</v>
      </c>
      <c r="E140" t="s">
        <v>122</v>
      </c>
      <c r="F140">
        <v>2</v>
      </c>
      <c r="G140">
        <v>300</v>
      </c>
      <c r="H140" t="str">
        <f t="shared" si="15"/>
        <v>2x300</v>
      </c>
      <c r="I140">
        <v>417</v>
      </c>
      <c r="J140" s="4">
        <f t="shared" si="16"/>
        <v>0.11583333333333333</v>
      </c>
      <c r="K140">
        <v>629</v>
      </c>
      <c r="L140" s="4">
        <f t="shared" si="17"/>
        <v>0.17472222222222222</v>
      </c>
      <c r="M140">
        <v>955</v>
      </c>
      <c r="N140" s="4">
        <f t="shared" si="18"/>
        <v>0.26527777777777778</v>
      </c>
      <c r="O140">
        <v>1905</v>
      </c>
      <c r="P140" s="4">
        <f t="shared" si="19"/>
        <v>0.52916666666666667</v>
      </c>
      <c r="Q140" s="6">
        <f t="shared" si="14"/>
        <v>2027</v>
      </c>
      <c r="R140" s="6">
        <f t="shared" si="20"/>
        <v>2</v>
      </c>
      <c r="S140">
        <v>156</v>
      </c>
      <c r="T140">
        <v>224</v>
      </c>
      <c r="U140">
        <v>0</v>
      </c>
      <c r="V140">
        <v>-3</v>
      </c>
      <c r="W140">
        <v>-11</v>
      </c>
      <c r="X140">
        <v>90</v>
      </c>
      <c r="Y140" s="2" t="s">
        <v>123</v>
      </c>
      <c r="Z140">
        <v>45.600717259890203</v>
      </c>
      <c r="AA140">
        <v>8.9451213134946101</v>
      </c>
      <c r="AB140" t="s">
        <v>78</v>
      </c>
      <c r="AC140" t="s">
        <v>81</v>
      </c>
      <c r="AD140" t="s">
        <v>82</v>
      </c>
      <c r="AE140">
        <v>252942</v>
      </c>
      <c r="AF140">
        <v>157355</v>
      </c>
      <c r="AG140">
        <v>0</v>
      </c>
      <c r="AH140">
        <v>57281</v>
      </c>
      <c r="AI140">
        <v>20959</v>
      </c>
      <c r="AJ140">
        <v>11524</v>
      </c>
      <c r="AK140">
        <v>5823</v>
      </c>
      <c r="AL140">
        <v>8622</v>
      </c>
      <c r="AM140">
        <v>36627</v>
      </c>
      <c r="AN140">
        <v>161039</v>
      </c>
      <c r="AO140">
        <v>539952</v>
      </c>
      <c r="AP140">
        <v>1</v>
      </c>
      <c r="AQ140">
        <v>0</v>
      </c>
      <c r="AR140">
        <v>8</v>
      </c>
      <c r="AS140">
        <v>3</v>
      </c>
      <c r="AT140">
        <v>1</v>
      </c>
      <c r="AU140">
        <v>29</v>
      </c>
      <c r="AV140">
        <v>2</v>
      </c>
      <c r="AW140">
        <v>2</v>
      </c>
      <c r="AX140">
        <v>2</v>
      </c>
      <c r="AY140">
        <v>0</v>
      </c>
      <c r="AZ140">
        <v>0</v>
      </c>
      <c r="BA140">
        <v>1</v>
      </c>
      <c r="BB140">
        <v>9</v>
      </c>
      <c r="BC140">
        <v>1</v>
      </c>
      <c r="BD140">
        <v>4</v>
      </c>
      <c r="BE140">
        <v>0</v>
      </c>
      <c r="BF140">
        <v>4</v>
      </c>
      <c r="BG140">
        <v>0</v>
      </c>
      <c r="BH140">
        <v>13</v>
      </c>
      <c r="BI140">
        <v>0</v>
      </c>
      <c r="BJ140">
        <v>45.600919900000001</v>
      </c>
      <c r="BK140">
        <v>8.9449299</v>
      </c>
      <c r="BL140">
        <v>600</v>
      </c>
      <c r="BM140" t="s">
        <v>83</v>
      </c>
      <c r="BN140" t="s">
        <v>84</v>
      </c>
      <c r="BO140" t="s">
        <v>85</v>
      </c>
      <c r="BP140" t="s">
        <v>107</v>
      </c>
      <c r="BQ140" t="s">
        <v>108</v>
      </c>
      <c r="BR140" t="s">
        <v>109</v>
      </c>
      <c r="BS140">
        <v>6789902</v>
      </c>
      <c r="BT140">
        <v>4878027</v>
      </c>
      <c r="BU140">
        <v>0</v>
      </c>
      <c r="BV140">
        <v>1145646</v>
      </c>
      <c r="BW140">
        <v>419196</v>
      </c>
      <c r="BX140">
        <v>230560</v>
      </c>
      <c r="BY140">
        <v>116473</v>
      </c>
      <c r="BZ140">
        <v>1</v>
      </c>
      <c r="CA140" t="s">
        <v>124</v>
      </c>
      <c r="CB140" t="s">
        <v>125</v>
      </c>
      <c r="CC140" s="3">
        <v>46092.557106481479</v>
      </c>
      <c r="CD140" t="s">
        <v>91</v>
      </c>
    </row>
    <row r="141" spans="1:82" ht="16" x14ac:dyDescent="0.2">
      <c r="A141" t="s">
        <v>126</v>
      </c>
      <c r="B141" t="s">
        <v>127</v>
      </c>
      <c r="C141" t="s">
        <v>128</v>
      </c>
      <c r="D141" t="s">
        <v>78</v>
      </c>
      <c r="E141" t="s">
        <v>129</v>
      </c>
      <c r="F141">
        <v>2</v>
      </c>
      <c r="G141">
        <v>300</v>
      </c>
      <c r="H141" t="str">
        <f t="shared" si="15"/>
        <v>2x300</v>
      </c>
      <c r="I141">
        <v>415</v>
      </c>
      <c r="J141" s="4">
        <f t="shared" si="16"/>
        <v>0.11527777777777777</v>
      </c>
      <c r="K141">
        <v>627</v>
      </c>
      <c r="L141" s="4">
        <f t="shared" si="17"/>
        <v>0.17416666666666666</v>
      </c>
      <c r="M141">
        <v>950</v>
      </c>
      <c r="N141" s="4">
        <f t="shared" si="18"/>
        <v>0.2638888888888889</v>
      </c>
      <c r="O141">
        <v>1897</v>
      </c>
      <c r="P141" s="4">
        <f t="shared" si="19"/>
        <v>0.52694444444444444</v>
      </c>
      <c r="Q141" s="6">
        <f t="shared" si="14"/>
        <v>2027</v>
      </c>
      <c r="R141" s="6">
        <f t="shared" si="20"/>
        <v>2</v>
      </c>
      <c r="S141">
        <v>156</v>
      </c>
      <c r="T141">
        <v>42</v>
      </c>
      <c r="U141">
        <v>199</v>
      </c>
      <c r="V141">
        <v>-13</v>
      </c>
      <c r="W141">
        <v>2</v>
      </c>
      <c r="X141">
        <v>44</v>
      </c>
      <c r="Y141" s="2" t="s">
        <v>130</v>
      </c>
      <c r="Z141">
        <v>41.894616236880303</v>
      </c>
      <c r="AA141">
        <v>12.5923887897992</v>
      </c>
      <c r="AB141" t="s">
        <v>78</v>
      </c>
      <c r="AC141" t="s">
        <v>81</v>
      </c>
      <c r="AD141" t="s">
        <v>82</v>
      </c>
      <c r="AE141">
        <v>84466</v>
      </c>
      <c r="AF141">
        <v>0</v>
      </c>
      <c r="AG141">
        <v>0</v>
      </c>
      <c r="AH141">
        <v>0</v>
      </c>
      <c r="AI141">
        <v>0</v>
      </c>
      <c r="AJ141">
        <v>70217</v>
      </c>
      <c r="AK141">
        <v>14249</v>
      </c>
      <c r="AL141">
        <v>13480</v>
      </c>
      <c r="AM141">
        <v>57905</v>
      </c>
      <c r="AN141">
        <v>533259</v>
      </c>
      <c r="AO141">
        <v>1504552</v>
      </c>
      <c r="AP141">
        <v>0</v>
      </c>
      <c r="AQ141">
        <v>0</v>
      </c>
      <c r="AR141">
        <v>5</v>
      </c>
      <c r="AS141">
        <v>15</v>
      </c>
      <c r="AT141">
        <v>3</v>
      </c>
      <c r="AU141">
        <v>35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5</v>
      </c>
      <c r="BB141">
        <v>64</v>
      </c>
      <c r="BC141">
        <v>3</v>
      </c>
      <c r="BD141">
        <v>2</v>
      </c>
      <c r="BE141">
        <v>0</v>
      </c>
      <c r="BF141">
        <v>2</v>
      </c>
      <c r="BG141">
        <v>0</v>
      </c>
      <c r="BH141">
        <v>10</v>
      </c>
      <c r="BI141">
        <v>2</v>
      </c>
      <c r="BJ141">
        <v>41.894601000000002</v>
      </c>
      <c r="BK141">
        <v>12.5922201</v>
      </c>
      <c r="BL141">
        <v>600</v>
      </c>
      <c r="BM141" t="s">
        <v>83</v>
      </c>
      <c r="BN141" t="s">
        <v>84</v>
      </c>
      <c r="BO141" t="s">
        <v>85</v>
      </c>
      <c r="BP141" t="s">
        <v>86</v>
      </c>
      <c r="BQ141" t="s">
        <v>87</v>
      </c>
      <c r="BR141" t="s">
        <v>88</v>
      </c>
      <c r="BS141">
        <v>1689420</v>
      </c>
      <c r="BT141">
        <v>0</v>
      </c>
      <c r="BU141">
        <v>0</v>
      </c>
      <c r="BV141">
        <v>0</v>
      </c>
      <c r="BW141">
        <v>0</v>
      </c>
      <c r="BX141">
        <v>1404423</v>
      </c>
      <c r="BY141">
        <v>284997</v>
      </c>
      <c r="BZ141">
        <v>1</v>
      </c>
      <c r="CA141" t="s">
        <v>131</v>
      </c>
      <c r="CB141" t="s">
        <v>132</v>
      </c>
      <c r="CC141" s="3">
        <v>46092.557106481479</v>
      </c>
      <c r="CD141" t="s">
        <v>91</v>
      </c>
    </row>
    <row r="142" spans="1:82" ht="16" x14ac:dyDescent="0.2">
      <c r="A142" t="s">
        <v>133</v>
      </c>
      <c r="B142" t="s">
        <v>134</v>
      </c>
      <c r="C142" t="s">
        <v>135</v>
      </c>
      <c r="D142" t="s">
        <v>78</v>
      </c>
      <c r="E142" t="s">
        <v>136</v>
      </c>
      <c r="F142">
        <v>2</v>
      </c>
      <c r="G142">
        <v>300</v>
      </c>
      <c r="H142" t="str">
        <f t="shared" si="15"/>
        <v>2x300</v>
      </c>
      <c r="I142">
        <v>413</v>
      </c>
      <c r="J142" s="4">
        <f t="shared" si="16"/>
        <v>0.11472222222222223</v>
      </c>
      <c r="K142">
        <v>624</v>
      </c>
      <c r="L142" s="4">
        <f t="shared" si="17"/>
        <v>0.17333333333333334</v>
      </c>
      <c r="M142">
        <v>946</v>
      </c>
      <c r="N142" s="4">
        <f t="shared" si="18"/>
        <v>0.26277777777777778</v>
      </c>
      <c r="O142">
        <v>1889</v>
      </c>
      <c r="P142" s="4">
        <f t="shared" si="19"/>
        <v>0.5247222222222222</v>
      </c>
      <c r="Q142" s="6">
        <f t="shared" si="14"/>
        <v>2027</v>
      </c>
      <c r="R142" s="6">
        <f t="shared" si="20"/>
        <v>2</v>
      </c>
      <c r="S142">
        <v>156</v>
      </c>
      <c r="T142">
        <v>189</v>
      </c>
      <c r="U142">
        <v>13</v>
      </c>
      <c r="V142">
        <v>-4</v>
      </c>
      <c r="W142">
        <v>10</v>
      </c>
      <c r="X142">
        <v>82</v>
      </c>
      <c r="Y142" s="2" t="s">
        <v>137</v>
      </c>
      <c r="Z142">
        <v>41.803817938277803</v>
      </c>
      <c r="AA142">
        <v>12.5360536202419</v>
      </c>
      <c r="AB142" t="s">
        <v>78</v>
      </c>
      <c r="AC142" t="s">
        <v>81</v>
      </c>
      <c r="AD142" t="s">
        <v>82</v>
      </c>
      <c r="AE142">
        <v>156678</v>
      </c>
      <c r="AF142">
        <v>127552</v>
      </c>
      <c r="AG142">
        <v>0</v>
      </c>
      <c r="AH142">
        <v>0</v>
      </c>
      <c r="AI142">
        <v>0</v>
      </c>
      <c r="AJ142">
        <v>29126</v>
      </c>
      <c r="AK142">
        <v>0</v>
      </c>
      <c r="AL142">
        <v>1206</v>
      </c>
      <c r="AM142">
        <v>5406</v>
      </c>
      <c r="AN142">
        <v>104329</v>
      </c>
      <c r="AO142">
        <v>1076847</v>
      </c>
      <c r="AP142">
        <v>0</v>
      </c>
      <c r="AQ142">
        <v>0</v>
      </c>
      <c r="AR142">
        <v>2</v>
      </c>
      <c r="AS142">
        <v>3</v>
      </c>
      <c r="AT142">
        <v>1</v>
      </c>
      <c r="AU142">
        <v>9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1</v>
      </c>
      <c r="BC142">
        <v>1</v>
      </c>
      <c r="BD142">
        <v>2</v>
      </c>
      <c r="BE142">
        <v>0</v>
      </c>
      <c r="BF142">
        <v>2</v>
      </c>
      <c r="BG142">
        <v>0</v>
      </c>
      <c r="BH142">
        <v>2</v>
      </c>
      <c r="BI142">
        <v>0</v>
      </c>
      <c r="BJ142">
        <v>41.803727899999998</v>
      </c>
      <c r="BK142">
        <v>12.535937799999999</v>
      </c>
      <c r="BL142">
        <v>600</v>
      </c>
      <c r="BM142" t="s">
        <v>83</v>
      </c>
      <c r="BN142" t="s">
        <v>84</v>
      </c>
      <c r="BO142" t="s">
        <v>85</v>
      </c>
      <c r="BP142" t="s">
        <v>86</v>
      </c>
      <c r="BQ142" t="s">
        <v>87</v>
      </c>
      <c r="BR142" t="s">
        <v>88</v>
      </c>
      <c r="BS142">
        <v>4470262</v>
      </c>
      <c r="BT142">
        <v>3887697</v>
      </c>
      <c r="BU142">
        <v>0</v>
      </c>
      <c r="BV142">
        <v>0</v>
      </c>
      <c r="BW142">
        <v>0</v>
      </c>
      <c r="BX142">
        <v>582565</v>
      </c>
      <c r="BY142">
        <v>0</v>
      </c>
      <c r="BZ142">
        <v>1</v>
      </c>
      <c r="CA142" t="s">
        <v>138</v>
      </c>
      <c r="CB142" t="s">
        <v>139</v>
      </c>
      <c r="CC142" s="3">
        <v>46092.557106481479</v>
      </c>
      <c r="CD142" t="s">
        <v>91</v>
      </c>
    </row>
    <row r="143" spans="1:82" ht="16" x14ac:dyDescent="0.2">
      <c r="A143" t="s">
        <v>140</v>
      </c>
      <c r="B143" t="s">
        <v>141</v>
      </c>
      <c r="C143" t="s">
        <v>142</v>
      </c>
      <c r="D143" t="s">
        <v>78</v>
      </c>
      <c r="E143" t="s">
        <v>143</v>
      </c>
      <c r="F143">
        <v>2</v>
      </c>
      <c r="G143">
        <v>300</v>
      </c>
      <c r="H143" t="str">
        <f t="shared" si="15"/>
        <v>2x300</v>
      </c>
      <c r="I143">
        <v>413</v>
      </c>
      <c r="J143" s="4">
        <f t="shared" si="16"/>
        <v>0.11472222222222223</v>
      </c>
      <c r="K143">
        <v>624</v>
      </c>
      <c r="L143" s="4">
        <f t="shared" si="17"/>
        <v>0.17333333333333334</v>
      </c>
      <c r="M143">
        <v>946</v>
      </c>
      <c r="N143" s="4">
        <f t="shared" si="18"/>
        <v>0.26277777777777778</v>
      </c>
      <c r="O143">
        <v>1887</v>
      </c>
      <c r="P143" s="4">
        <f t="shared" si="19"/>
        <v>0.52416666666666667</v>
      </c>
      <c r="Q143" s="6">
        <f t="shared" si="14"/>
        <v>2027</v>
      </c>
      <c r="R143" s="6">
        <f t="shared" si="20"/>
        <v>2</v>
      </c>
      <c r="S143">
        <v>156</v>
      </c>
      <c r="T143">
        <v>250</v>
      </c>
      <c r="U143">
        <v>1</v>
      </c>
      <c r="V143">
        <v>-10</v>
      </c>
      <c r="W143">
        <v>-30</v>
      </c>
      <c r="X143">
        <v>81</v>
      </c>
      <c r="Y143" s="2" t="s">
        <v>144</v>
      </c>
      <c r="Z143">
        <v>45.568136038612302</v>
      </c>
      <c r="AA143">
        <v>9.3606754183960295</v>
      </c>
      <c r="AB143" t="s">
        <v>78</v>
      </c>
      <c r="AC143" t="s">
        <v>81</v>
      </c>
      <c r="AD143" t="s">
        <v>82</v>
      </c>
      <c r="AE143">
        <v>327443</v>
      </c>
      <c r="AF143">
        <v>244059</v>
      </c>
      <c r="AG143">
        <v>0</v>
      </c>
      <c r="AH143">
        <v>46114</v>
      </c>
      <c r="AI143">
        <v>20734</v>
      </c>
      <c r="AJ143">
        <v>14126</v>
      </c>
      <c r="AK143">
        <v>2410</v>
      </c>
      <c r="AL143">
        <v>4975</v>
      </c>
      <c r="AM143">
        <v>22296</v>
      </c>
      <c r="AN143">
        <v>135209</v>
      </c>
      <c r="AO143">
        <v>665201</v>
      </c>
      <c r="AP143">
        <v>1</v>
      </c>
      <c r="AQ143">
        <v>2</v>
      </c>
      <c r="AR143">
        <v>4</v>
      </c>
      <c r="AS143">
        <v>2</v>
      </c>
      <c r="AT143">
        <v>0</v>
      </c>
      <c r="AU143">
        <v>15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11</v>
      </c>
      <c r="BB143">
        <v>34</v>
      </c>
      <c r="BC143">
        <v>2</v>
      </c>
      <c r="BD143">
        <v>5</v>
      </c>
      <c r="BE143">
        <v>4</v>
      </c>
      <c r="BF143">
        <v>7</v>
      </c>
      <c r="BG143">
        <v>4</v>
      </c>
      <c r="BH143">
        <v>13</v>
      </c>
      <c r="BI143">
        <v>14</v>
      </c>
      <c r="BJ143">
        <v>45.568189400000001</v>
      </c>
      <c r="BK143">
        <v>9.3606765000000003</v>
      </c>
      <c r="BL143">
        <v>600</v>
      </c>
      <c r="BM143" t="s">
        <v>83</v>
      </c>
      <c r="BN143" t="s">
        <v>84</v>
      </c>
      <c r="BO143" t="s">
        <v>85</v>
      </c>
      <c r="BP143" t="s">
        <v>107</v>
      </c>
      <c r="BQ143" t="s">
        <v>108</v>
      </c>
      <c r="BR143" t="s">
        <v>145</v>
      </c>
      <c r="BS143">
        <v>8704894</v>
      </c>
      <c r="BT143">
        <v>7037009</v>
      </c>
      <c r="BU143">
        <v>0</v>
      </c>
      <c r="BV143">
        <v>922319</v>
      </c>
      <c r="BW143">
        <v>414700</v>
      </c>
      <c r="BX143">
        <v>282618</v>
      </c>
      <c r="BY143">
        <v>48248</v>
      </c>
      <c r="BZ143">
        <v>1</v>
      </c>
      <c r="CA143" t="s">
        <v>146</v>
      </c>
      <c r="CB143" t="s">
        <v>147</v>
      </c>
      <c r="CC143" s="3">
        <v>46092.557106481479</v>
      </c>
      <c r="CD143" t="s">
        <v>91</v>
      </c>
    </row>
    <row r="144" spans="1:82" ht="16" x14ac:dyDescent="0.2">
      <c r="A144" t="s">
        <v>148</v>
      </c>
      <c r="B144" t="s">
        <v>149</v>
      </c>
      <c r="C144" t="s">
        <v>150</v>
      </c>
      <c r="D144" t="s">
        <v>78</v>
      </c>
      <c r="E144" t="s">
        <v>151</v>
      </c>
      <c r="F144">
        <v>2</v>
      </c>
      <c r="G144">
        <v>300</v>
      </c>
      <c r="H144" t="str">
        <f t="shared" si="15"/>
        <v>2x300</v>
      </c>
      <c r="I144">
        <v>409</v>
      </c>
      <c r="J144" s="4">
        <f t="shared" si="16"/>
        <v>0.11361111111111111</v>
      </c>
      <c r="K144">
        <v>618</v>
      </c>
      <c r="L144" s="4">
        <f t="shared" si="17"/>
        <v>0.17166666666666666</v>
      </c>
      <c r="M144">
        <v>937</v>
      </c>
      <c r="N144" s="4">
        <f t="shared" si="18"/>
        <v>0.26027777777777777</v>
      </c>
      <c r="O144">
        <v>1869</v>
      </c>
      <c r="P144" s="4">
        <f t="shared" si="19"/>
        <v>0.51916666666666667</v>
      </c>
      <c r="Q144" s="6">
        <f t="shared" si="14"/>
        <v>2027</v>
      </c>
      <c r="R144" s="6">
        <f t="shared" si="20"/>
        <v>2</v>
      </c>
      <c r="S144">
        <v>156</v>
      </c>
      <c r="T144">
        <v>37</v>
      </c>
      <c r="U144">
        <v>224</v>
      </c>
      <c r="V144">
        <v>-44</v>
      </c>
      <c r="W144">
        <v>8</v>
      </c>
      <c r="X144">
        <v>43</v>
      </c>
      <c r="Y144" s="2" t="s">
        <v>152</v>
      </c>
      <c r="Z144">
        <v>41.850650000000002</v>
      </c>
      <c r="AA144">
        <v>12.57145</v>
      </c>
      <c r="AB144" t="s">
        <v>78</v>
      </c>
      <c r="AC144" t="s">
        <v>81</v>
      </c>
      <c r="AD144" t="s">
        <v>82</v>
      </c>
      <c r="AE144">
        <v>69194</v>
      </c>
      <c r="AF144">
        <v>0</v>
      </c>
      <c r="AG144">
        <v>0</v>
      </c>
      <c r="AH144">
        <v>39633</v>
      </c>
      <c r="AI144">
        <v>0</v>
      </c>
      <c r="AJ144">
        <v>23230</v>
      </c>
      <c r="AK144">
        <v>6331</v>
      </c>
      <c r="AL144">
        <v>25809</v>
      </c>
      <c r="AM144">
        <v>105921</v>
      </c>
      <c r="AN144">
        <v>470428</v>
      </c>
      <c r="AO144">
        <v>1507756</v>
      </c>
      <c r="AP144">
        <v>1</v>
      </c>
      <c r="AQ144">
        <v>0</v>
      </c>
      <c r="AR144">
        <v>1</v>
      </c>
      <c r="AS144">
        <v>7</v>
      </c>
      <c r="AT144">
        <v>0</v>
      </c>
      <c r="AU144">
        <v>27</v>
      </c>
      <c r="AV144">
        <v>3</v>
      </c>
      <c r="AW144">
        <v>1</v>
      </c>
      <c r="AX144">
        <v>0</v>
      </c>
      <c r="AY144">
        <v>2</v>
      </c>
      <c r="AZ144">
        <v>2</v>
      </c>
      <c r="BA144">
        <v>33</v>
      </c>
      <c r="BB144">
        <v>89</v>
      </c>
      <c r="BC144">
        <v>17</v>
      </c>
      <c r="BD144">
        <v>2</v>
      </c>
      <c r="BE144">
        <v>0</v>
      </c>
      <c r="BF144">
        <v>6</v>
      </c>
      <c r="BG144">
        <v>0</v>
      </c>
      <c r="BH144">
        <v>22</v>
      </c>
      <c r="BI144">
        <v>0</v>
      </c>
      <c r="BJ144">
        <v>41.8505155</v>
      </c>
      <c r="BK144">
        <v>12.5713249</v>
      </c>
      <c r="BL144">
        <v>600</v>
      </c>
      <c r="BM144" t="s">
        <v>83</v>
      </c>
      <c r="BN144" t="s">
        <v>84</v>
      </c>
      <c r="BO144" t="s">
        <v>85</v>
      </c>
      <c r="BP144" t="s">
        <v>86</v>
      </c>
      <c r="BQ144" t="s">
        <v>87</v>
      </c>
      <c r="BR144" t="s">
        <v>88</v>
      </c>
      <c r="BS144">
        <v>1479137</v>
      </c>
      <c r="BT144">
        <v>0</v>
      </c>
      <c r="BU144">
        <v>0</v>
      </c>
      <c r="BV144">
        <v>940852</v>
      </c>
      <c r="BW144">
        <v>0</v>
      </c>
      <c r="BX144">
        <v>464612</v>
      </c>
      <c r="BY144">
        <v>73673</v>
      </c>
      <c r="BZ144">
        <v>1</v>
      </c>
      <c r="CA144" t="s">
        <v>153</v>
      </c>
      <c r="CB144" t="s">
        <v>154</v>
      </c>
      <c r="CC144" s="3">
        <v>46092.557106481479</v>
      </c>
      <c r="CD144" t="s">
        <v>91</v>
      </c>
    </row>
    <row r="145" spans="1:82" ht="16" x14ac:dyDescent="0.2">
      <c r="A145" t="s">
        <v>506</v>
      </c>
      <c r="B145" t="s">
        <v>103</v>
      </c>
      <c r="C145" t="s">
        <v>104</v>
      </c>
      <c r="D145" t="s">
        <v>78</v>
      </c>
      <c r="E145" t="s">
        <v>105</v>
      </c>
      <c r="F145">
        <v>2</v>
      </c>
      <c r="G145">
        <v>150</v>
      </c>
      <c r="H145" t="str">
        <f t="shared" si="15"/>
        <v>2x150</v>
      </c>
      <c r="I145">
        <v>396</v>
      </c>
      <c r="J145" s="4">
        <f t="shared" si="16"/>
        <v>0.12692307692307692</v>
      </c>
      <c r="K145">
        <v>597</v>
      </c>
      <c r="L145" s="4">
        <f t="shared" si="17"/>
        <v>0.19134615384615383</v>
      </c>
      <c r="M145">
        <v>906</v>
      </c>
      <c r="N145" s="4">
        <f t="shared" si="18"/>
        <v>0.29038461538461541</v>
      </c>
      <c r="O145">
        <v>1808</v>
      </c>
      <c r="P145" s="4">
        <f t="shared" si="19"/>
        <v>0.57948717948717954</v>
      </c>
      <c r="Q145" s="6">
        <f t="shared" si="14"/>
        <v>2027</v>
      </c>
      <c r="R145" s="6">
        <f t="shared" si="20"/>
        <v>2</v>
      </c>
      <c r="S145">
        <v>135</v>
      </c>
      <c r="T145">
        <v>186</v>
      </c>
      <c r="U145">
        <v>-3</v>
      </c>
      <c r="V145">
        <v>-8</v>
      </c>
      <c r="W145">
        <v>48</v>
      </c>
      <c r="X145">
        <v>66</v>
      </c>
      <c r="Y145" s="2" t="s">
        <v>106</v>
      </c>
      <c r="Z145">
        <v>45.391072917237899</v>
      </c>
      <c r="AA145">
        <v>9.2583023742203796</v>
      </c>
      <c r="AB145" t="s">
        <v>78</v>
      </c>
      <c r="AC145" t="s">
        <v>81</v>
      </c>
      <c r="AD145" t="s">
        <v>82</v>
      </c>
      <c r="AE145">
        <v>253575</v>
      </c>
      <c r="AF145">
        <v>206515</v>
      </c>
      <c r="AG145">
        <v>0</v>
      </c>
      <c r="AH145">
        <v>18444</v>
      </c>
      <c r="AI145">
        <v>0</v>
      </c>
      <c r="AJ145">
        <v>27264</v>
      </c>
      <c r="AK145">
        <v>1352</v>
      </c>
      <c r="AL145">
        <v>2181</v>
      </c>
      <c r="AM145">
        <v>18962</v>
      </c>
      <c r="AN145">
        <v>105149</v>
      </c>
      <c r="AO145">
        <v>693672</v>
      </c>
      <c r="AP145">
        <v>0</v>
      </c>
      <c r="AQ145">
        <v>0</v>
      </c>
      <c r="AR145">
        <v>1</v>
      </c>
      <c r="AS145">
        <v>2</v>
      </c>
      <c r="AT145">
        <v>2</v>
      </c>
      <c r="AU145">
        <v>11</v>
      </c>
      <c r="AV145">
        <v>0</v>
      </c>
      <c r="AW145">
        <v>1</v>
      </c>
      <c r="AX145">
        <v>0</v>
      </c>
      <c r="AY145">
        <v>0</v>
      </c>
      <c r="AZ145">
        <v>1</v>
      </c>
      <c r="BA145">
        <v>18</v>
      </c>
      <c r="BB145">
        <v>32</v>
      </c>
      <c r="BC145">
        <v>9</v>
      </c>
      <c r="BD145">
        <v>2</v>
      </c>
      <c r="BE145">
        <v>16</v>
      </c>
      <c r="BF145">
        <v>4</v>
      </c>
      <c r="BG145">
        <v>16</v>
      </c>
      <c r="BH145">
        <v>4</v>
      </c>
      <c r="BI145">
        <v>16</v>
      </c>
      <c r="BJ145">
        <v>45.3910999</v>
      </c>
      <c r="BK145">
        <v>9.2583499000000007</v>
      </c>
      <c r="BL145">
        <v>300</v>
      </c>
      <c r="BM145" t="s">
        <v>83</v>
      </c>
      <c r="BN145" t="s">
        <v>84</v>
      </c>
      <c r="BO145" t="s">
        <v>85</v>
      </c>
      <c r="BP145" t="s">
        <v>107</v>
      </c>
      <c r="BQ145" t="s">
        <v>108</v>
      </c>
      <c r="BR145" t="s">
        <v>109</v>
      </c>
      <c r="BS145">
        <v>5349455</v>
      </c>
      <c r="BT145">
        <v>4473679</v>
      </c>
      <c r="BU145">
        <v>0</v>
      </c>
      <c r="BV145">
        <v>368881</v>
      </c>
      <c r="BW145">
        <v>0</v>
      </c>
      <c r="BX145">
        <v>479842</v>
      </c>
      <c r="BY145">
        <v>27053</v>
      </c>
      <c r="BZ145">
        <v>1</v>
      </c>
      <c r="CA145" t="s">
        <v>110</v>
      </c>
      <c r="CB145" t="s">
        <v>111</v>
      </c>
      <c r="CC145" s="3">
        <v>46092.557106481479</v>
      </c>
      <c r="CD145" t="s">
        <v>91</v>
      </c>
    </row>
    <row r="146" spans="1:82" ht="16" x14ac:dyDescent="0.2">
      <c r="A146" t="s">
        <v>155</v>
      </c>
      <c r="B146" t="s">
        <v>156</v>
      </c>
      <c r="C146" t="s">
        <v>157</v>
      </c>
      <c r="D146" t="s">
        <v>78</v>
      </c>
      <c r="E146" t="s">
        <v>158</v>
      </c>
      <c r="F146">
        <v>2</v>
      </c>
      <c r="G146">
        <v>300</v>
      </c>
      <c r="H146" t="str">
        <f t="shared" si="15"/>
        <v>2x300</v>
      </c>
      <c r="I146">
        <v>383</v>
      </c>
      <c r="J146" s="4">
        <f t="shared" si="16"/>
        <v>0.10638888888888888</v>
      </c>
      <c r="K146">
        <v>579</v>
      </c>
      <c r="L146" s="4">
        <f t="shared" si="17"/>
        <v>0.16083333333333333</v>
      </c>
      <c r="M146">
        <v>878</v>
      </c>
      <c r="N146" s="4">
        <f t="shared" si="18"/>
        <v>0.24388888888888891</v>
      </c>
      <c r="O146">
        <v>1752</v>
      </c>
      <c r="P146" s="4">
        <f t="shared" si="19"/>
        <v>0.48666666666666664</v>
      </c>
      <c r="Q146" s="6">
        <f t="shared" si="14"/>
        <v>2027</v>
      </c>
      <c r="R146" s="6">
        <f t="shared" si="20"/>
        <v>2</v>
      </c>
      <c r="S146">
        <v>156</v>
      </c>
      <c r="T146">
        <v>138</v>
      </c>
      <c r="U146">
        <v>-13</v>
      </c>
      <c r="V146">
        <v>25</v>
      </c>
      <c r="W146">
        <v>39</v>
      </c>
      <c r="X146">
        <v>64</v>
      </c>
      <c r="Y146" s="2" t="s">
        <v>159</v>
      </c>
      <c r="Z146">
        <v>45.4338540483541</v>
      </c>
      <c r="AA146">
        <v>10.7103439220878</v>
      </c>
      <c r="AB146" t="s">
        <v>78</v>
      </c>
      <c r="AC146" t="s">
        <v>81</v>
      </c>
      <c r="AD146" t="s">
        <v>82</v>
      </c>
      <c r="AE146">
        <v>105937</v>
      </c>
      <c r="AF146">
        <v>0</v>
      </c>
      <c r="AG146">
        <v>0</v>
      </c>
      <c r="AH146">
        <v>61446</v>
      </c>
      <c r="AI146">
        <v>41034</v>
      </c>
      <c r="AJ146">
        <v>3457</v>
      </c>
      <c r="AK146">
        <v>0</v>
      </c>
      <c r="AL146">
        <v>1396</v>
      </c>
      <c r="AM146">
        <v>6623</v>
      </c>
      <c r="AN146">
        <v>27804</v>
      </c>
      <c r="AO146">
        <v>76802</v>
      </c>
      <c r="AP146">
        <v>0</v>
      </c>
      <c r="AQ146">
        <v>0</v>
      </c>
      <c r="AR146">
        <v>3</v>
      </c>
      <c r="AS146">
        <v>12</v>
      </c>
      <c r="AT146">
        <v>0</v>
      </c>
      <c r="AU146">
        <v>6</v>
      </c>
      <c r="AV146">
        <v>5</v>
      </c>
      <c r="AW146">
        <v>2</v>
      </c>
      <c r="AX146">
        <v>0</v>
      </c>
      <c r="AY146">
        <v>0</v>
      </c>
      <c r="AZ146">
        <v>0</v>
      </c>
      <c r="BA146">
        <v>5</v>
      </c>
      <c r="BB146">
        <v>12</v>
      </c>
      <c r="BC146">
        <v>1</v>
      </c>
      <c r="BD146">
        <v>0</v>
      </c>
      <c r="BE146">
        <v>16</v>
      </c>
      <c r="BF146">
        <v>4</v>
      </c>
      <c r="BG146">
        <v>16</v>
      </c>
      <c r="BH146">
        <v>4</v>
      </c>
      <c r="BI146">
        <v>16</v>
      </c>
      <c r="BJ146">
        <v>45.433860000000003</v>
      </c>
      <c r="BK146">
        <v>10.710333500000001</v>
      </c>
      <c r="BL146">
        <v>600</v>
      </c>
      <c r="BM146" t="s">
        <v>83</v>
      </c>
      <c r="BN146" t="s">
        <v>84</v>
      </c>
      <c r="BO146" t="s">
        <v>85</v>
      </c>
      <c r="BP146" t="s">
        <v>160</v>
      </c>
      <c r="BQ146" t="s">
        <v>161</v>
      </c>
      <c r="BR146" t="s">
        <v>162</v>
      </c>
      <c r="BS146">
        <v>2253749</v>
      </c>
      <c r="BT146">
        <v>0</v>
      </c>
      <c r="BU146">
        <v>0</v>
      </c>
      <c r="BV146">
        <v>1363843</v>
      </c>
      <c r="BW146">
        <v>820723</v>
      </c>
      <c r="BX146">
        <v>69183</v>
      </c>
      <c r="BY146">
        <v>0</v>
      </c>
      <c r="BZ146">
        <v>1</v>
      </c>
      <c r="CA146" t="s">
        <v>163</v>
      </c>
      <c r="CB146" t="s">
        <v>164</v>
      </c>
      <c r="CC146" s="3">
        <v>46092.557106481479</v>
      </c>
      <c r="CD146" t="s">
        <v>91</v>
      </c>
    </row>
    <row r="147" spans="1:82" ht="16" x14ac:dyDescent="0.2">
      <c r="A147" t="s">
        <v>609</v>
      </c>
      <c r="B147" t="s">
        <v>113</v>
      </c>
      <c r="C147" t="s">
        <v>114</v>
      </c>
      <c r="D147" t="s">
        <v>78</v>
      </c>
      <c r="E147" t="s">
        <v>115</v>
      </c>
      <c r="F147">
        <v>2</v>
      </c>
      <c r="G147">
        <v>150</v>
      </c>
      <c r="H147" t="str">
        <f t="shared" si="15"/>
        <v>2x150</v>
      </c>
      <c r="I147">
        <v>365</v>
      </c>
      <c r="J147" s="4">
        <f t="shared" si="16"/>
        <v>0.11698717948717947</v>
      </c>
      <c r="K147">
        <v>552</v>
      </c>
      <c r="L147" s="4">
        <f t="shared" si="17"/>
        <v>0.17692307692307693</v>
      </c>
      <c r="M147">
        <v>837</v>
      </c>
      <c r="N147" s="4">
        <f t="shared" si="18"/>
        <v>0.26826923076923076</v>
      </c>
      <c r="O147">
        <v>1670</v>
      </c>
      <c r="P147" s="4">
        <f t="shared" si="19"/>
        <v>0.53525641025641024</v>
      </c>
      <c r="Q147" s="6">
        <f t="shared" si="14"/>
        <v>2027</v>
      </c>
      <c r="R147" s="6">
        <f t="shared" si="20"/>
        <v>2</v>
      </c>
      <c r="S147">
        <v>135</v>
      </c>
      <c r="T147">
        <v>36</v>
      </c>
      <c r="U147">
        <v>188</v>
      </c>
      <c r="V147">
        <v>9</v>
      </c>
      <c r="W147">
        <v>-26</v>
      </c>
      <c r="X147">
        <v>39</v>
      </c>
      <c r="Y147" s="2" t="s">
        <v>116</v>
      </c>
      <c r="Z147">
        <v>41.928870099999997</v>
      </c>
      <c r="AA147">
        <v>12.4264882</v>
      </c>
      <c r="AB147" t="s">
        <v>78</v>
      </c>
      <c r="AC147" t="s">
        <v>81</v>
      </c>
      <c r="AD147" t="s">
        <v>82</v>
      </c>
      <c r="AE147">
        <v>71743</v>
      </c>
      <c r="AF147">
        <v>0</v>
      </c>
      <c r="AG147">
        <v>0</v>
      </c>
      <c r="AH147">
        <v>0</v>
      </c>
      <c r="AI147">
        <v>11849</v>
      </c>
      <c r="AJ147">
        <v>43407</v>
      </c>
      <c r="AK147">
        <v>16487</v>
      </c>
      <c r="AL147">
        <v>28995</v>
      </c>
      <c r="AM147">
        <v>101869</v>
      </c>
      <c r="AN147">
        <v>455657</v>
      </c>
      <c r="AO147">
        <v>1386162</v>
      </c>
      <c r="AP147">
        <v>1</v>
      </c>
      <c r="AQ147">
        <v>0</v>
      </c>
      <c r="AR147">
        <v>11</v>
      </c>
      <c r="AS147">
        <v>7</v>
      </c>
      <c r="AT147">
        <v>2</v>
      </c>
      <c r="AU147">
        <v>21</v>
      </c>
      <c r="AV147">
        <v>12</v>
      </c>
      <c r="AW147">
        <v>0</v>
      </c>
      <c r="AX147">
        <v>4</v>
      </c>
      <c r="AY147">
        <v>1</v>
      </c>
      <c r="AZ147">
        <v>1</v>
      </c>
      <c r="BA147">
        <v>6</v>
      </c>
      <c r="BB147">
        <v>51</v>
      </c>
      <c r="BC147">
        <v>6</v>
      </c>
      <c r="BD147">
        <v>0</v>
      </c>
      <c r="BE147">
        <v>0</v>
      </c>
      <c r="BF147">
        <v>0</v>
      </c>
      <c r="BG147">
        <v>0</v>
      </c>
      <c r="BH147">
        <v>6</v>
      </c>
      <c r="BI147">
        <v>0</v>
      </c>
      <c r="BJ147">
        <v>41.9288715</v>
      </c>
      <c r="BK147">
        <v>12.426523100000001</v>
      </c>
      <c r="BL147">
        <v>300</v>
      </c>
      <c r="BM147" t="s">
        <v>83</v>
      </c>
      <c r="BN147" t="s">
        <v>84</v>
      </c>
      <c r="BO147" t="s">
        <v>85</v>
      </c>
      <c r="BP147" t="s">
        <v>86</v>
      </c>
      <c r="BQ147" t="s">
        <v>87</v>
      </c>
      <c r="BR147" t="s">
        <v>88</v>
      </c>
      <c r="BS147">
        <v>1434968</v>
      </c>
      <c r="BT147">
        <v>0</v>
      </c>
      <c r="BU147">
        <v>0</v>
      </c>
      <c r="BV147">
        <v>0</v>
      </c>
      <c r="BW147">
        <v>236994</v>
      </c>
      <c r="BX147">
        <v>868208</v>
      </c>
      <c r="BY147">
        <v>329766</v>
      </c>
      <c r="BZ147">
        <v>1</v>
      </c>
      <c r="CA147" t="s">
        <v>117</v>
      </c>
      <c r="CB147" t="s">
        <v>118</v>
      </c>
      <c r="CC147" s="3">
        <v>46092.557106481479</v>
      </c>
      <c r="CD147" t="s">
        <v>91</v>
      </c>
    </row>
    <row r="148" spans="1:82" ht="16" x14ac:dyDescent="0.2">
      <c r="A148" t="s">
        <v>618</v>
      </c>
      <c r="B148" t="s">
        <v>120</v>
      </c>
      <c r="C148" t="s">
        <v>121</v>
      </c>
      <c r="D148" t="s">
        <v>78</v>
      </c>
      <c r="E148" t="s">
        <v>122</v>
      </c>
      <c r="F148">
        <v>2</v>
      </c>
      <c r="G148">
        <v>150</v>
      </c>
      <c r="H148" t="str">
        <f t="shared" si="15"/>
        <v>2x150</v>
      </c>
      <c r="I148">
        <v>359</v>
      </c>
      <c r="J148" s="4">
        <f t="shared" si="16"/>
        <v>0.11506410256410256</v>
      </c>
      <c r="K148">
        <v>543</v>
      </c>
      <c r="L148" s="4">
        <f t="shared" si="17"/>
        <v>0.17403846153846156</v>
      </c>
      <c r="M148">
        <v>823</v>
      </c>
      <c r="N148" s="4">
        <f t="shared" si="18"/>
        <v>0.26378205128205129</v>
      </c>
      <c r="O148">
        <v>1642</v>
      </c>
      <c r="P148" s="4">
        <f t="shared" si="19"/>
        <v>0.5262820512820513</v>
      </c>
      <c r="Q148" s="6">
        <f t="shared" si="14"/>
        <v>2027</v>
      </c>
      <c r="R148" s="6">
        <f t="shared" si="20"/>
        <v>2</v>
      </c>
      <c r="S148">
        <v>135</v>
      </c>
      <c r="T148">
        <v>193</v>
      </c>
      <c r="U148">
        <v>0</v>
      </c>
      <c r="V148">
        <v>-2</v>
      </c>
      <c r="W148">
        <v>-10</v>
      </c>
      <c r="X148">
        <v>78</v>
      </c>
      <c r="Y148" s="2" t="s">
        <v>123</v>
      </c>
      <c r="Z148">
        <v>45.600717259890203</v>
      </c>
      <c r="AA148">
        <v>8.9451213134946101</v>
      </c>
      <c r="AB148" t="s">
        <v>78</v>
      </c>
      <c r="AC148" t="s">
        <v>81</v>
      </c>
      <c r="AD148" t="s">
        <v>82</v>
      </c>
      <c r="AE148">
        <v>252942</v>
      </c>
      <c r="AF148">
        <v>157355</v>
      </c>
      <c r="AG148">
        <v>0</v>
      </c>
      <c r="AH148">
        <v>57281</v>
      </c>
      <c r="AI148">
        <v>20959</v>
      </c>
      <c r="AJ148">
        <v>11524</v>
      </c>
      <c r="AK148">
        <v>5823</v>
      </c>
      <c r="AL148">
        <v>8622</v>
      </c>
      <c r="AM148">
        <v>36627</v>
      </c>
      <c r="AN148">
        <v>161039</v>
      </c>
      <c r="AO148">
        <v>539952</v>
      </c>
      <c r="AP148">
        <v>1</v>
      </c>
      <c r="AQ148">
        <v>0</v>
      </c>
      <c r="AR148">
        <v>8</v>
      </c>
      <c r="AS148">
        <v>3</v>
      </c>
      <c r="AT148">
        <v>1</v>
      </c>
      <c r="AU148">
        <v>29</v>
      </c>
      <c r="AV148">
        <v>2</v>
      </c>
      <c r="AW148">
        <v>2</v>
      </c>
      <c r="AX148">
        <v>2</v>
      </c>
      <c r="AY148">
        <v>0</v>
      </c>
      <c r="AZ148">
        <v>0</v>
      </c>
      <c r="BA148">
        <v>1</v>
      </c>
      <c r="BB148">
        <v>9</v>
      </c>
      <c r="BC148">
        <v>1</v>
      </c>
      <c r="BD148">
        <v>4</v>
      </c>
      <c r="BE148">
        <v>0</v>
      </c>
      <c r="BF148">
        <v>4</v>
      </c>
      <c r="BG148">
        <v>0</v>
      </c>
      <c r="BH148">
        <v>13</v>
      </c>
      <c r="BI148">
        <v>0</v>
      </c>
      <c r="BJ148">
        <v>45.600919900000001</v>
      </c>
      <c r="BK148">
        <v>8.9449299</v>
      </c>
      <c r="BL148">
        <v>300</v>
      </c>
      <c r="BM148" t="s">
        <v>83</v>
      </c>
      <c r="BN148" t="s">
        <v>84</v>
      </c>
      <c r="BO148" t="s">
        <v>85</v>
      </c>
      <c r="BP148" t="s">
        <v>107</v>
      </c>
      <c r="BQ148" t="s">
        <v>108</v>
      </c>
      <c r="BR148" t="s">
        <v>109</v>
      </c>
      <c r="BS148">
        <v>6789902</v>
      </c>
      <c r="BT148">
        <v>4878027</v>
      </c>
      <c r="BU148">
        <v>0</v>
      </c>
      <c r="BV148">
        <v>1145646</v>
      </c>
      <c r="BW148">
        <v>419196</v>
      </c>
      <c r="BX148">
        <v>230560</v>
      </c>
      <c r="BY148">
        <v>116473</v>
      </c>
      <c r="BZ148">
        <v>1</v>
      </c>
      <c r="CA148" t="s">
        <v>124</v>
      </c>
      <c r="CB148" t="s">
        <v>125</v>
      </c>
      <c r="CC148" s="3">
        <v>46092.557106481479</v>
      </c>
      <c r="CD148" t="s">
        <v>91</v>
      </c>
    </row>
    <row r="149" spans="1:82" ht="16" x14ac:dyDescent="0.2">
      <c r="A149" t="s">
        <v>626</v>
      </c>
      <c r="B149" t="s">
        <v>127</v>
      </c>
      <c r="C149" t="s">
        <v>128</v>
      </c>
      <c r="D149" t="s">
        <v>78</v>
      </c>
      <c r="E149" t="s">
        <v>129</v>
      </c>
      <c r="F149">
        <v>2</v>
      </c>
      <c r="G149">
        <v>150</v>
      </c>
      <c r="H149" t="str">
        <f t="shared" si="15"/>
        <v>2x150</v>
      </c>
      <c r="I149">
        <v>358</v>
      </c>
      <c r="J149" s="4">
        <f t="shared" si="16"/>
        <v>0.11474358974358974</v>
      </c>
      <c r="K149">
        <v>540</v>
      </c>
      <c r="L149" s="4">
        <f t="shared" si="17"/>
        <v>0.1730769230769231</v>
      </c>
      <c r="M149">
        <v>819</v>
      </c>
      <c r="N149" s="4">
        <f t="shared" si="18"/>
        <v>0.26250000000000001</v>
      </c>
      <c r="O149">
        <v>1635</v>
      </c>
      <c r="P149" s="4">
        <f t="shared" si="19"/>
        <v>0.52403846153846156</v>
      </c>
      <c r="Q149" s="6">
        <f t="shared" si="14"/>
        <v>2027</v>
      </c>
      <c r="R149" s="6">
        <f t="shared" si="20"/>
        <v>2</v>
      </c>
      <c r="S149">
        <v>135</v>
      </c>
      <c r="T149">
        <v>36</v>
      </c>
      <c r="U149">
        <v>172</v>
      </c>
      <c r="V149">
        <v>-11</v>
      </c>
      <c r="W149">
        <v>2</v>
      </c>
      <c r="X149">
        <v>38</v>
      </c>
      <c r="Y149" s="2" t="s">
        <v>130</v>
      </c>
      <c r="Z149">
        <v>41.894616236880303</v>
      </c>
      <c r="AA149">
        <v>12.5923887897992</v>
      </c>
      <c r="AB149" t="s">
        <v>78</v>
      </c>
      <c r="AC149" t="s">
        <v>81</v>
      </c>
      <c r="AD149" t="s">
        <v>82</v>
      </c>
      <c r="AE149">
        <v>84466</v>
      </c>
      <c r="AF149">
        <v>0</v>
      </c>
      <c r="AG149">
        <v>0</v>
      </c>
      <c r="AH149">
        <v>0</v>
      </c>
      <c r="AI149">
        <v>0</v>
      </c>
      <c r="AJ149">
        <v>70217</v>
      </c>
      <c r="AK149">
        <v>14249</v>
      </c>
      <c r="AL149">
        <v>13480</v>
      </c>
      <c r="AM149">
        <v>57905</v>
      </c>
      <c r="AN149">
        <v>533259</v>
      </c>
      <c r="AO149">
        <v>1504552</v>
      </c>
      <c r="AP149">
        <v>0</v>
      </c>
      <c r="AQ149">
        <v>0</v>
      </c>
      <c r="AR149">
        <v>5</v>
      </c>
      <c r="AS149">
        <v>15</v>
      </c>
      <c r="AT149">
        <v>3</v>
      </c>
      <c r="AU149">
        <v>35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5</v>
      </c>
      <c r="BB149">
        <v>64</v>
      </c>
      <c r="BC149">
        <v>3</v>
      </c>
      <c r="BD149">
        <v>2</v>
      </c>
      <c r="BE149">
        <v>0</v>
      </c>
      <c r="BF149">
        <v>2</v>
      </c>
      <c r="BG149">
        <v>0</v>
      </c>
      <c r="BH149">
        <v>10</v>
      </c>
      <c r="BI149">
        <v>2</v>
      </c>
      <c r="BJ149">
        <v>41.894601000000002</v>
      </c>
      <c r="BK149">
        <v>12.5922201</v>
      </c>
      <c r="BL149">
        <v>300</v>
      </c>
      <c r="BM149" t="s">
        <v>83</v>
      </c>
      <c r="BN149" t="s">
        <v>84</v>
      </c>
      <c r="BO149" t="s">
        <v>85</v>
      </c>
      <c r="BP149" t="s">
        <v>86</v>
      </c>
      <c r="BQ149" t="s">
        <v>87</v>
      </c>
      <c r="BR149" t="s">
        <v>88</v>
      </c>
      <c r="BS149">
        <v>1689420</v>
      </c>
      <c r="BT149">
        <v>0</v>
      </c>
      <c r="BU149">
        <v>0</v>
      </c>
      <c r="BV149">
        <v>0</v>
      </c>
      <c r="BW149">
        <v>0</v>
      </c>
      <c r="BX149">
        <v>1404423</v>
      </c>
      <c r="BY149">
        <v>284997</v>
      </c>
      <c r="BZ149">
        <v>1</v>
      </c>
      <c r="CA149" t="s">
        <v>131</v>
      </c>
      <c r="CB149" t="s">
        <v>132</v>
      </c>
      <c r="CC149" s="3">
        <v>46092.557106481479</v>
      </c>
      <c r="CD149" t="s">
        <v>91</v>
      </c>
    </row>
    <row r="150" spans="1:82" ht="16" x14ac:dyDescent="0.2">
      <c r="A150" t="s">
        <v>627</v>
      </c>
      <c r="B150" t="s">
        <v>134</v>
      </c>
      <c r="C150" t="s">
        <v>135</v>
      </c>
      <c r="D150" t="s">
        <v>78</v>
      </c>
      <c r="E150" t="s">
        <v>136</v>
      </c>
      <c r="F150">
        <v>2</v>
      </c>
      <c r="G150">
        <v>150</v>
      </c>
      <c r="H150" t="str">
        <f t="shared" si="15"/>
        <v>2x150</v>
      </c>
      <c r="I150">
        <v>356</v>
      </c>
      <c r="J150" s="4">
        <f t="shared" si="16"/>
        <v>0.1141025641025641</v>
      </c>
      <c r="K150">
        <v>538</v>
      </c>
      <c r="L150" s="4">
        <f t="shared" si="17"/>
        <v>0.17243589743589746</v>
      </c>
      <c r="M150">
        <v>816</v>
      </c>
      <c r="N150" s="4">
        <f t="shared" si="18"/>
        <v>0.26153846153846155</v>
      </c>
      <c r="O150">
        <v>1628</v>
      </c>
      <c r="P150" s="4">
        <f t="shared" si="19"/>
        <v>0.52179487179487183</v>
      </c>
      <c r="Q150" s="6">
        <f t="shared" si="14"/>
        <v>2027</v>
      </c>
      <c r="R150" s="6">
        <f t="shared" si="20"/>
        <v>2</v>
      </c>
      <c r="S150">
        <v>135</v>
      </c>
      <c r="T150">
        <v>163</v>
      </c>
      <c r="U150">
        <v>11</v>
      </c>
      <c r="V150">
        <v>-3</v>
      </c>
      <c r="W150">
        <v>8</v>
      </c>
      <c r="X150">
        <v>71</v>
      </c>
      <c r="Y150" s="2" t="s">
        <v>137</v>
      </c>
      <c r="Z150">
        <v>41.803817938277803</v>
      </c>
      <c r="AA150">
        <v>12.5360536202419</v>
      </c>
      <c r="AB150" t="s">
        <v>78</v>
      </c>
      <c r="AC150" t="s">
        <v>81</v>
      </c>
      <c r="AD150" t="s">
        <v>82</v>
      </c>
      <c r="AE150">
        <v>156678</v>
      </c>
      <c r="AF150">
        <v>127552</v>
      </c>
      <c r="AG150">
        <v>0</v>
      </c>
      <c r="AH150">
        <v>0</v>
      </c>
      <c r="AI150">
        <v>0</v>
      </c>
      <c r="AJ150">
        <v>29126</v>
      </c>
      <c r="AK150">
        <v>0</v>
      </c>
      <c r="AL150">
        <v>1206</v>
      </c>
      <c r="AM150">
        <v>5406</v>
      </c>
      <c r="AN150">
        <v>104329</v>
      </c>
      <c r="AO150">
        <v>1076847</v>
      </c>
      <c r="AP150">
        <v>0</v>
      </c>
      <c r="AQ150">
        <v>0</v>
      </c>
      <c r="AR150">
        <v>2</v>
      </c>
      <c r="AS150">
        <v>3</v>
      </c>
      <c r="AT150">
        <v>1</v>
      </c>
      <c r="AU150">
        <v>9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1</v>
      </c>
      <c r="BD150">
        <v>2</v>
      </c>
      <c r="BE150">
        <v>0</v>
      </c>
      <c r="BF150">
        <v>2</v>
      </c>
      <c r="BG150">
        <v>0</v>
      </c>
      <c r="BH150">
        <v>2</v>
      </c>
      <c r="BI150">
        <v>0</v>
      </c>
      <c r="BJ150">
        <v>41.803727899999998</v>
      </c>
      <c r="BK150">
        <v>12.535937799999999</v>
      </c>
      <c r="BL150">
        <v>300</v>
      </c>
      <c r="BM150" t="s">
        <v>83</v>
      </c>
      <c r="BN150" t="s">
        <v>84</v>
      </c>
      <c r="BO150" t="s">
        <v>85</v>
      </c>
      <c r="BP150" t="s">
        <v>86</v>
      </c>
      <c r="BQ150" t="s">
        <v>87</v>
      </c>
      <c r="BR150" t="s">
        <v>88</v>
      </c>
      <c r="BS150">
        <v>4470262</v>
      </c>
      <c r="BT150">
        <v>3887697</v>
      </c>
      <c r="BU150">
        <v>0</v>
      </c>
      <c r="BV150">
        <v>0</v>
      </c>
      <c r="BW150">
        <v>0</v>
      </c>
      <c r="BX150">
        <v>582565</v>
      </c>
      <c r="BY150">
        <v>0</v>
      </c>
      <c r="BZ150">
        <v>1</v>
      </c>
      <c r="CA150" t="s">
        <v>138</v>
      </c>
      <c r="CB150" t="s">
        <v>139</v>
      </c>
      <c r="CC150" s="3">
        <v>46092.557106481479</v>
      </c>
      <c r="CD150" t="s">
        <v>91</v>
      </c>
    </row>
    <row r="151" spans="1:82" ht="16" x14ac:dyDescent="0.2">
      <c r="A151" t="s">
        <v>628</v>
      </c>
      <c r="B151" t="s">
        <v>141</v>
      </c>
      <c r="C151" t="s">
        <v>142</v>
      </c>
      <c r="D151" t="s">
        <v>78</v>
      </c>
      <c r="E151" t="s">
        <v>143</v>
      </c>
      <c r="F151">
        <v>2</v>
      </c>
      <c r="G151">
        <v>150</v>
      </c>
      <c r="H151" t="str">
        <f t="shared" si="15"/>
        <v>2x150</v>
      </c>
      <c r="I151">
        <v>356</v>
      </c>
      <c r="J151" s="4">
        <f t="shared" si="16"/>
        <v>0.1141025641025641</v>
      </c>
      <c r="K151">
        <v>538</v>
      </c>
      <c r="L151" s="4">
        <f t="shared" si="17"/>
        <v>0.17243589743589746</v>
      </c>
      <c r="M151">
        <v>815</v>
      </c>
      <c r="N151" s="4">
        <f t="shared" si="18"/>
        <v>0.26121794871794873</v>
      </c>
      <c r="O151">
        <v>1627</v>
      </c>
      <c r="P151" s="4">
        <f t="shared" si="19"/>
        <v>0.52147435897435901</v>
      </c>
      <c r="Q151" s="6">
        <f t="shared" si="14"/>
        <v>2027</v>
      </c>
      <c r="R151" s="6">
        <f t="shared" si="20"/>
        <v>2</v>
      </c>
      <c r="S151">
        <v>135</v>
      </c>
      <c r="T151">
        <v>215</v>
      </c>
      <c r="U151">
        <v>1</v>
      </c>
      <c r="V151">
        <v>-9</v>
      </c>
      <c r="W151">
        <v>-26</v>
      </c>
      <c r="X151">
        <v>70</v>
      </c>
      <c r="Y151" s="2" t="s">
        <v>144</v>
      </c>
      <c r="Z151">
        <v>45.568136038612302</v>
      </c>
      <c r="AA151">
        <v>9.3606754183960295</v>
      </c>
      <c r="AB151" t="s">
        <v>78</v>
      </c>
      <c r="AC151" t="s">
        <v>81</v>
      </c>
      <c r="AD151" t="s">
        <v>82</v>
      </c>
      <c r="AE151">
        <v>327443</v>
      </c>
      <c r="AF151">
        <v>244059</v>
      </c>
      <c r="AG151">
        <v>0</v>
      </c>
      <c r="AH151">
        <v>46114</v>
      </c>
      <c r="AI151">
        <v>20734</v>
      </c>
      <c r="AJ151">
        <v>14126</v>
      </c>
      <c r="AK151">
        <v>2410</v>
      </c>
      <c r="AL151">
        <v>4975</v>
      </c>
      <c r="AM151">
        <v>22296</v>
      </c>
      <c r="AN151">
        <v>135209</v>
      </c>
      <c r="AO151">
        <v>665201</v>
      </c>
      <c r="AP151">
        <v>1</v>
      </c>
      <c r="AQ151">
        <v>2</v>
      </c>
      <c r="AR151">
        <v>4</v>
      </c>
      <c r="AS151">
        <v>2</v>
      </c>
      <c r="AT151">
        <v>0</v>
      </c>
      <c r="AU151">
        <v>15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11</v>
      </c>
      <c r="BB151">
        <v>34</v>
      </c>
      <c r="BC151">
        <v>2</v>
      </c>
      <c r="BD151">
        <v>5</v>
      </c>
      <c r="BE151">
        <v>4</v>
      </c>
      <c r="BF151">
        <v>7</v>
      </c>
      <c r="BG151">
        <v>4</v>
      </c>
      <c r="BH151">
        <v>13</v>
      </c>
      <c r="BI151">
        <v>14</v>
      </c>
      <c r="BJ151">
        <v>45.568189400000001</v>
      </c>
      <c r="BK151">
        <v>9.3606765000000003</v>
      </c>
      <c r="BL151">
        <v>300</v>
      </c>
      <c r="BM151" t="s">
        <v>83</v>
      </c>
      <c r="BN151" t="s">
        <v>84</v>
      </c>
      <c r="BO151" t="s">
        <v>85</v>
      </c>
      <c r="BP151" t="s">
        <v>107</v>
      </c>
      <c r="BQ151" t="s">
        <v>108</v>
      </c>
      <c r="BR151" t="s">
        <v>145</v>
      </c>
      <c r="BS151">
        <v>8704894</v>
      </c>
      <c r="BT151">
        <v>7037009</v>
      </c>
      <c r="BU151">
        <v>0</v>
      </c>
      <c r="BV151">
        <v>922319</v>
      </c>
      <c r="BW151">
        <v>414700</v>
      </c>
      <c r="BX151">
        <v>282618</v>
      </c>
      <c r="BY151">
        <v>48248</v>
      </c>
      <c r="BZ151">
        <v>1</v>
      </c>
      <c r="CA151" t="s">
        <v>146</v>
      </c>
      <c r="CB151" t="s">
        <v>147</v>
      </c>
      <c r="CC151" s="3">
        <v>46092.557106481479</v>
      </c>
      <c r="CD151" t="s">
        <v>91</v>
      </c>
    </row>
    <row r="152" spans="1:82" ht="16" x14ac:dyDescent="0.2">
      <c r="A152" t="s">
        <v>165</v>
      </c>
      <c r="B152" t="s">
        <v>166</v>
      </c>
      <c r="C152" t="s">
        <v>167</v>
      </c>
      <c r="D152" t="s">
        <v>78</v>
      </c>
      <c r="E152" t="s">
        <v>168</v>
      </c>
      <c r="F152">
        <v>2</v>
      </c>
      <c r="G152">
        <v>300</v>
      </c>
      <c r="H152" t="str">
        <f t="shared" si="15"/>
        <v>2x300</v>
      </c>
      <c r="I152">
        <v>355</v>
      </c>
      <c r="J152" s="4">
        <f t="shared" si="16"/>
        <v>9.8611111111111108E-2</v>
      </c>
      <c r="K152">
        <v>536</v>
      </c>
      <c r="L152" s="4">
        <f t="shared" si="17"/>
        <v>0.14888888888888888</v>
      </c>
      <c r="M152">
        <v>812</v>
      </c>
      <c r="N152" s="4">
        <f t="shared" si="18"/>
        <v>0.22555555555555554</v>
      </c>
      <c r="O152">
        <v>1621</v>
      </c>
      <c r="P152" s="4">
        <f t="shared" si="19"/>
        <v>0.45027777777777778</v>
      </c>
      <c r="Q152" s="6">
        <f t="shared" si="14"/>
        <v>2027</v>
      </c>
      <c r="R152" s="6">
        <f t="shared" si="20"/>
        <v>2</v>
      </c>
      <c r="S152">
        <v>156</v>
      </c>
      <c r="T152">
        <v>153</v>
      </c>
      <c r="U152">
        <v>-16</v>
      </c>
      <c r="V152">
        <v>-25</v>
      </c>
      <c r="W152">
        <v>38</v>
      </c>
      <c r="X152">
        <v>80</v>
      </c>
      <c r="Y152" s="2" t="s">
        <v>169</v>
      </c>
      <c r="Z152">
        <v>44.820818000000003</v>
      </c>
      <c r="AA152">
        <v>10.332241</v>
      </c>
      <c r="AB152" t="s">
        <v>78</v>
      </c>
      <c r="AC152" t="s">
        <v>81</v>
      </c>
      <c r="AD152" t="s">
        <v>82</v>
      </c>
      <c r="AE152">
        <v>201760</v>
      </c>
      <c r="AF152">
        <v>0</v>
      </c>
      <c r="AG152">
        <v>0</v>
      </c>
      <c r="AH152">
        <v>71258</v>
      </c>
      <c r="AI152">
        <v>52023</v>
      </c>
      <c r="AJ152">
        <v>75073</v>
      </c>
      <c r="AK152">
        <v>3406</v>
      </c>
      <c r="AL152">
        <v>9553</v>
      </c>
      <c r="AM152">
        <v>34190</v>
      </c>
      <c r="AN152">
        <v>153370</v>
      </c>
      <c r="AO152">
        <v>207595</v>
      </c>
      <c r="AP152">
        <v>0</v>
      </c>
      <c r="AQ152">
        <v>3</v>
      </c>
      <c r="AR152">
        <v>3</v>
      </c>
      <c r="AS152">
        <v>5</v>
      </c>
      <c r="AT152">
        <v>2</v>
      </c>
      <c r="AU152">
        <v>21</v>
      </c>
      <c r="AV152">
        <v>3</v>
      </c>
      <c r="AW152">
        <v>0</v>
      </c>
      <c r="AX152">
        <v>0</v>
      </c>
      <c r="AY152">
        <v>1</v>
      </c>
      <c r="AZ152">
        <v>2</v>
      </c>
      <c r="BA152">
        <v>15</v>
      </c>
      <c r="BB152">
        <v>60</v>
      </c>
      <c r="BC152">
        <v>11</v>
      </c>
      <c r="BD152">
        <v>2</v>
      </c>
      <c r="BE152">
        <v>20</v>
      </c>
      <c r="BF152">
        <v>4</v>
      </c>
      <c r="BG152">
        <v>20</v>
      </c>
      <c r="BH152">
        <v>10</v>
      </c>
      <c r="BI152">
        <v>20</v>
      </c>
      <c r="BJ152">
        <v>44.820796899999998</v>
      </c>
      <c r="BK152">
        <v>10.3322363</v>
      </c>
      <c r="BL152">
        <v>600</v>
      </c>
      <c r="BM152" t="s">
        <v>83</v>
      </c>
      <c r="BN152" t="s">
        <v>84</v>
      </c>
      <c r="BO152" t="s">
        <v>85</v>
      </c>
      <c r="BP152" t="s">
        <v>160</v>
      </c>
      <c r="BQ152" t="s">
        <v>170</v>
      </c>
      <c r="BR152" t="s">
        <v>171</v>
      </c>
      <c r="BS152">
        <v>4202178</v>
      </c>
      <c r="BT152">
        <v>0</v>
      </c>
      <c r="BU152">
        <v>0</v>
      </c>
      <c r="BV152">
        <v>1591916</v>
      </c>
      <c r="BW152">
        <v>1040534</v>
      </c>
      <c r="BX152">
        <v>1501607</v>
      </c>
      <c r="BY152">
        <v>68121</v>
      </c>
      <c r="BZ152">
        <v>1</v>
      </c>
      <c r="CA152" t="s">
        <v>172</v>
      </c>
      <c r="CB152" t="s">
        <v>173</v>
      </c>
      <c r="CC152" s="3">
        <v>46092.557106481479</v>
      </c>
      <c r="CD152" t="s">
        <v>91</v>
      </c>
    </row>
    <row r="153" spans="1:82" ht="16" x14ac:dyDescent="0.2">
      <c r="A153" t="s">
        <v>651</v>
      </c>
      <c r="B153" t="s">
        <v>149</v>
      </c>
      <c r="C153" t="s">
        <v>150</v>
      </c>
      <c r="D153" t="s">
        <v>78</v>
      </c>
      <c r="E153" t="s">
        <v>151</v>
      </c>
      <c r="F153">
        <v>2</v>
      </c>
      <c r="G153">
        <v>150</v>
      </c>
      <c r="H153" t="str">
        <f t="shared" si="15"/>
        <v>2x150</v>
      </c>
      <c r="I153">
        <v>353</v>
      </c>
      <c r="J153" s="4">
        <f t="shared" si="16"/>
        <v>0.11314102564102564</v>
      </c>
      <c r="K153">
        <v>532</v>
      </c>
      <c r="L153" s="4">
        <f t="shared" si="17"/>
        <v>0.17051282051282049</v>
      </c>
      <c r="M153">
        <v>807</v>
      </c>
      <c r="N153" s="4">
        <f t="shared" si="18"/>
        <v>0.25865384615384618</v>
      </c>
      <c r="O153">
        <v>1611</v>
      </c>
      <c r="P153" s="4">
        <f t="shared" si="19"/>
        <v>0.5163461538461539</v>
      </c>
      <c r="Q153" s="6">
        <f t="shared" si="14"/>
        <v>2027</v>
      </c>
      <c r="R153" s="6">
        <f t="shared" si="20"/>
        <v>2</v>
      </c>
      <c r="S153">
        <v>135</v>
      </c>
      <c r="T153">
        <v>32</v>
      </c>
      <c r="U153">
        <v>193</v>
      </c>
      <c r="V153">
        <v>-38</v>
      </c>
      <c r="W153">
        <v>6</v>
      </c>
      <c r="X153">
        <v>37</v>
      </c>
      <c r="Y153" s="2" t="s">
        <v>152</v>
      </c>
      <c r="Z153">
        <v>41.850650000000002</v>
      </c>
      <c r="AA153">
        <v>12.57145</v>
      </c>
      <c r="AB153" t="s">
        <v>78</v>
      </c>
      <c r="AC153" t="s">
        <v>81</v>
      </c>
      <c r="AD153" t="s">
        <v>82</v>
      </c>
      <c r="AE153">
        <v>69194</v>
      </c>
      <c r="AF153">
        <v>0</v>
      </c>
      <c r="AG153">
        <v>0</v>
      </c>
      <c r="AH153">
        <v>39633</v>
      </c>
      <c r="AI153">
        <v>0</v>
      </c>
      <c r="AJ153">
        <v>23230</v>
      </c>
      <c r="AK153">
        <v>6331</v>
      </c>
      <c r="AL153">
        <v>25809</v>
      </c>
      <c r="AM153">
        <v>105921</v>
      </c>
      <c r="AN153">
        <v>470428</v>
      </c>
      <c r="AO153">
        <v>1507756</v>
      </c>
      <c r="AP153">
        <v>1</v>
      </c>
      <c r="AQ153">
        <v>0</v>
      </c>
      <c r="AR153">
        <v>1</v>
      </c>
      <c r="AS153">
        <v>7</v>
      </c>
      <c r="AT153">
        <v>0</v>
      </c>
      <c r="AU153">
        <v>27</v>
      </c>
      <c r="AV153">
        <v>3</v>
      </c>
      <c r="AW153">
        <v>1</v>
      </c>
      <c r="AX153">
        <v>0</v>
      </c>
      <c r="AY153">
        <v>2</v>
      </c>
      <c r="AZ153">
        <v>2</v>
      </c>
      <c r="BA153">
        <v>33</v>
      </c>
      <c r="BB153">
        <v>89</v>
      </c>
      <c r="BC153">
        <v>17</v>
      </c>
      <c r="BD153">
        <v>2</v>
      </c>
      <c r="BE153">
        <v>0</v>
      </c>
      <c r="BF153">
        <v>6</v>
      </c>
      <c r="BG153">
        <v>0</v>
      </c>
      <c r="BH153">
        <v>22</v>
      </c>
      <c r="BI153">
        <v>0</v>
      </c>
      <c r="BJ153">
        <v>41.8505155</v>
      </c>
      <c r="BK153">
        <v>12.5713249</v>
      </c>
      <c r="BL153">
        <v>300</v>
      </c>
      <c r="BM153" t="s">
        <v>83</v>
      </c>
      <c r="BN153" t="s">
        <v>84</v>
      </c>
      <c r="BO153" t="s">
        <v>85</v>
      </c>
      <c r="BP153" t="s">
        <v>86</v>
      </c>
      <c r="BQ153" t="s">
        <v>87</v>
      </c>
      <c r="BR153" t="s">
        <v>88</v>
      </c>
      <c r="BS153">
        <v>1479137</v>
      </c>
      <c r="BT153">
        <v>0</v>
      </c>
      <c r="BU153">
        <v>0</v>
      </c>
      <c r="BV153">
        <v>940852</v>
      </c>
      <c r="BW153">
        <v>0</v>
      </c>
      <c r="BX153">
        <v>464612</v>
      </c>
      <c r="BY153">
        <v>73673</v>
      </c>
      <c r="BZ153">
        <v>1</v>
      </c>
      <c r="CA153" t="s">
        <v>153</v>
      </c>
      <c r="CB153" t="s">
        <v>154</v>
      </c>
      <c r="CC153" s="3">
        <v>46092.557106481479</v>
      </c>
      <c r="CD153" t="s">
        <v>91</v>
      </c>
    </row>
    <row r="154" spans="1:82" ht="16" x14ac:dyDescent="0.2">
      <c r="A154" t="s">
        <v>174</v>
      </c>
      <c r="B154" t="s">
        <v>175</v>
      </c>
      <c r="C154" t="s">
        <v>176</v>
      </c>
      <c r="D154" t="s">
        <v>78</v>
      </c>
      <c r="E154" t="s">
        <v>177</v>
      </c>
      <c r="F154">
        <v>2</v>
      </c>
      <c r="G154">
        <v>300</v>
      </c>
      <c r="H154" t="str">
        <f t="shared" si="15"/>
        <v>2x300</v>
      </c>
      <c r="I154">
        <v>351</v>
      </c>
      <c r="J154" s="4">
        <f t="shared" si="16"/>
        <v>9.7499999999999989E-2</v>
      </c>
      <c r="K154">
        <v>531</v>
      </c>
      <c r="L154" s="4">
        <f t="shared" si="17"/>
        <v>0.14749999999999999</v>
      </c>
      <c r="M154">
        <v>805</v>
      </c>
      <c r="N154" s="4">
        <f t="shared" si="18"/>
        <v>0.22361111111111109</v>
      </c>
      <c r="O154">
        <v>1606</v>
      </c>
      <c r="P154" s="4">
        <f t="shared" si="19"/>
        <v>0.44611111111111112</v>
      </c>
      <c r="Q154" s="6">
        <f t="shared" si="14"/>
        <v>2027</v>
      </c>
      <c r="R154" s="6">
        <f t="shared" si="20"/>
        <v>2</v>
      </c>
      <c r="S154">
        <v>156</v>
      </c>
      <c r="T154">
        <v>209</v>
      </c>
      <c r="U154">
        <v>-22</v>
      </c>
      <c r="V154">
        <v>-16</v>
      </c>
      <c r="W154">
        <v>-23</v>
      </c>
      <c r="X154">
        <v>78</v>
      </c>
      <c r="Y154" s="2" t="s">
        <v>178</v>
      </c>
      <c r="Z154">
        <v>45.577500000000001</v>
      </c>
      <c r="AA154">
        <v>10.00915</v>
      </c>
      <c r="AB154" t="s">
        <v>78</v>
      </c>
      <c r="AC154" t="s">
        <v>81</v>
      </c>
      <c r="AD154" t="s">
        <v>82</v>
      </c>
      <c r="AE154">
        <v>159824</v>
      </c>
      <c r="AF154">
        <v>126382</v>
      </c>
      <c r="AG154">
        <v>0</v>
      </c>
      <c r="AH154">
        <v>0</v>
      </c>
      <c r="AI154">
        <v>0</v>
      </c>
      <c r="AJ154">
        <v>26752</v>
      </c>
      <c r="AK154">
        <v>6690</v>
      </c>
      <c r="AL154">
        <v>4300</v>
      </c>
      <c r="AM154">
        <v>14821</v>
      </c>
      <c r="AN154">
        <v>52258</v>
      </c>
      <c r="AO154">
        <v>205609</v>
      </c>
      <c r="AP154">
        <v>0</v>
      </c>
      <c r="AQ154">
        <v>1</v>
      </c>
      <c r="AR154">
        <v>1</v>
      </c>
      <c r="AS154">
        <v>2</v>
      </c>
      <c r="AT154">
        <v>0</v>
      </c>
      <c r="AU154">
        <v>14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13</v>
      </c>
      <c r="BB154">
        <v>39</v>
      </c>
      <c r="BC154">
        <v>8</v>
      </c>
      <c r="BD154">
        <v>7</v>
      </c>
      <c r="BE154">
        <v>0</v>
      </c>
      <c r="BF154">
        <v>10</v>
      </c>
      <c r="BG154">
        <v>2</v>
      </c>
      <c r="BH154">
        <v>16</v>
      </c>
      <c r="BI154">
        <v>2</v>
      </c>
      <c r="BJ154">
        <v>45.577409899999999</v>
      </c>
      <c r="BK154">
        <v>10.00916</v>
      </c>
      <c r="BL154">
        <v>600</v>
      </c>
      <c r="BM154" t="s">
        <v>83</v>
      </c>
      <c r="BN154" t="s">
        <v>84</v>
      </c>
      <c r="BO154" t="s">
        <v>85</v>
      </c>
      <c r="BP154" t="s">
        <v>107</v>
      </c>
      <c r="BQ154" t="s">
        <v>108</v>
      </c>
      <c r="BR154" t="s">
        <v>179</v>
      </c>
      <c r="BS154">
        <v>4460436</v>
      </c>
      <c r="BT154">
        <v>3791508</v>
      </c>
      <c r="BU154">
        <v>0</v>
      </c>
      <c r="BV154">
        <v>0</v>
      </c>
      <c r="BW154">
        <v>0</v>
      </c>
      <c r="BX154">
        <v>535072</v>
      </c>
      <c r="BY154">
        <v>133856</v>
      </c>
      <c r="BZ154">
        <v>1</v>
      </c>
      <c r="CA154" t="s">
        <v>180</v>
      </c>
      <c r="CB154" t="s">
        <v>181</v>
      </c>
      <c r="CC154" s="3">
        <v>46092.557106481479</v>
      </c>
      <c r="CD154" t="s">
        <v>91</v>
      </c>
    </row>
    <row r="155" spans="1:82" ht="16" x14ac:dyDescent="0.2">
      <c r="A155" t="s">
        <v>182</v>
      </c>
      <c r="B155" t="s">
        <v>183</v>
      </c>
      <c r="C155" t="s">
        <v>184</v>
      </c>
      <c r="D155" t="s">
        <v>78</v>
      </c>
      <c r="E155" t="s">
        <v>185</v>
      </c>
      <c r="F155">
        <v>2</v>
      </c>
      <c r="G155">
        <v>300</v>
      </c>
      <c r="H155" t="str">
        <f t="shared" si="15"/>
        <v>2x300</v>
      </c>
      <c r="I155">
        <v>346</v>
      </c>
      <c r="J155" s="4">
        <f t="shared" si="16"/>
        <v>9.6111111111111105E-2</v>
      </c>
      <c r="K155">
        <v>522</v>
      </c>
      <c r="L155" s="4">
        <f t="shared" si="17"/>
        <v>0.14499999999999999</v>
      </c>
      <c r="M155">
        <v>792</v>
      </c>
      <c r="N155" s="4">
        <f t="shared" si="18"/>
        <v>0.22</v>
      </c>
      <c r="O155">
        <v>1581</v>
      </c>
      <c r="P155" s="4">
        <f t="shared" si="19"/>
        <v>0.43916666666666665</v>
      </c>
      <c r="Q155" s="6">
        <f t="shared" si="14"/>
        <v>2027</v>
      </c>
      <c r="R155" s="6">
        <f t="shared" si="20"/>
        <v>2</v>
      </c>
      <c r="S155">
        <v>156</v>
      </c>
      <c r="T155">
        <v>141</v>
      </c>
      <c r="U155">
        <v>-26</v>
      </c>
      <c r="V155">
        <v>11</v>
      </c>
      <c r="W155">
        <v>8</v>
      </c>
      <c r="X155">
        <v>92</v>
      </c>
      <c r="Y155" s="2" t="s">
        <v>186</v>
      </c>
      <c r="Z155">
        <v>40.375902000000004</v>
      </c>
      <c r="AA155">
        <v>18.148140000000001</v>
      </c>
      <c r="AB155" t="s">
        <v>78</v>
      </c>
      <c r="AC155" t="s">
        <v>81</v>
      </c>
      <c r="AD155" t="s">
        <v>82</v>
      </c>
      <c r="AE155">
        <v>136632</v>
      </c>
      <c r="AF155">
        <v>0</v>
      </c>
      <c r="AG155">
        <v>80496</v>
      </c>
      <c r="AH155">
        <v>0</v>
      </c>
      <c r="AI155">
        <v>38126</v>
      </c>
      <c r="AJ155">
        <v>18010</v>
      </c>
      <c r="AK155">
        <v>0</v>
      </c>
      <c r="AL155">
        <v>1337</v>
      </c>
      <c r="AM155">
        <v>12364</v>
      </c>
      <c r="AN155">
        <v>97119</v>
      </c>
      <c r="AO155">
        <v>199530</v>
      </c>
      <c r="AP155">
        <v>0</v>
      </c>
      <c r="AQ155">
        <v>0</v>
      </c>
      <c r="AR155">
        <v>4</v>
      </c>
      <c r="AS155">
        <v>2</v>
      </c>
      <c r="AT155">
        <v>0</v>
      </c>
      <c r="AU155">
        <v>7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</v>
      </c>
      <c r="BB155">
        <v>11</v>
      </c>
      <c r="BC155">
        <v>2</v>
      </c>
      <c r="BD155">
        <v>0</v>
      </c>
      <c r="BE155">
        <v>0</v>
      </c>
      <c r="BF155">
        <v>0</v>
      </c>
      <c r="BG155">
        <v>4</v>
      </c>
      <c r="BH155">
        <v>2</v>
      </c>
      <c r="BI155">
        <v>10</v>
      </c>
      <c r="BJ155">
        <v>40.375897700000003</v>
      </c>
      <c r="BK155">
        <v>18.148175599999998</v>
      </c>
      <c r="BL155">
        <v>600</v>
      </c>
      <c r="BM155" t="s">
        <v>83</v>
      </c>
      <c r="BN155" t="s">
        <v>84</v>
      </c>
      <c r="BO155" t="s">
        <v>85</v>
      </c>
      <c r="BP155" t="s">
        <v>97</v>
      </c>
      <c r="BQ155" t="s">
        <v>187</v>
      </c>
      <c r="BR155" t="s">
        <v>188</v>
      </c>
      <c r="BS155">
        <v>2861959</v>
      </c>
      <c r="BT155">
        <v>0</v>
      </c>
      <c r="BU155">
        <v>1739099</v>
      </c>
      <c r="BV155">
        <v>0</v>
      </c>
      <c r="BW155">
        <v>762580</v>
      </c>
      <c r="BX155">
        <v>360280</v>
      </c>
      <c r="BY155">
        <v>0</v>
      </c>
      <c r="BZ155">
        <v>1</v>
      </c>
      <c r="CA155" t="s">
        <v>189</v>
      </c>
      <c r="CB155" t="s">
        <v>190</v>
      </c>
      <c r="CC155" s="3">
        <v>46092.557106481479</v>
      </c>
      <c r="CD155" t="s">
        <v>91</v>
      </c>
    </row>
    <row r="156" spans="1:82" ht="16" x14ac:dyDescent="0.2">
      <c r="A156" t="s">
        <v>191</v>
      </c>
      <c r="B156" t="s">
        <v>192</v>
      </c>
      <c r="C156" t="s">
        <v>193</v>
      </c>
      <c r="D156" t="s">
        <v>78</v>
      </c>
      <c r="E156" t="s">
        <v>194</v>
      </c>
      <c r="F156">
        <v>2</v>
      </c>
      <c r="G156">
        <v>300</v>
      </c>
      <c r="H156" t="str">
        <f t="shared" si="15"/>
        <v>2x300</v>
      </c>
      <c r="I156">
        <v>336</v>
      </c>
      <c r="J156" s="4">
        <f t="shared" si="16"/>
        <v>9.3333333333333338E-2</v>
      </c>
      <c r="K156">
        <v>508</v>
      </c>
      <c r="L156" s="4">
        <f t="shared" si="17"/>
        <v>0.1411111111111111</v>
      </c>
      <c r="M156">
        <v>770</v>
      </c>
      <c r="N156" s="4">
        <f t="shared" si="18"/>
        <v>0.21388888888888891</v>
      </c>
      <c r="O156">
        <v>1537</v>
      </c>
      <c r="P156" s="4">
        <f t="shared" si="19"/>
        <v>0.4269444444444444</v>
      </c>
      <c r="Q156" s="6">
        <f t="shared" si="14"/>
        <v>2027</v>
      </c>
      <c r="R156" s="6">
        <f t="shared" si="20"/>
        <v>2</v>
      </c>
      <c r="S156">
        <v>156</v>
      </c>
      <c r="T156">
        <v>77</v>
      </c>
      <c r="U156">
        <v>-21</v>
      </c>
      <c r="V156">
        <v>33</v>
      </c>
      <c r="W156">
        <v>51</v>
      </c>
      <c r="X156">
        <v>64</v>
      </c>
      <c r="Y156" s="2" t="s">
        <v>195</v>
      </c>
      <c r="Z156">
        <v>45.5524494</v>
      </c>
      <c r="AA156">
        <v>10.7834003</v>
      </c>
      <c r="AB156" t="s">
        <v>78</v>
      </c>
      <c r="AC156" t="s">
        <v>81</v>
      </c>
      <c r="AD156" t="s">
        <v>82</v>
      </c>
      <c r="AE156">
        <v>125801</v>
      </c>
      <c r="AF156">
        <v>75777</v>
      </c>
      <c r="AG156">
        <v>0</v>
      </c>
      <c r="AH156">
        <v>24713</v>
      </c>
      <c r="AI156">
        <v>0</v>
      </c>
      <c r="AJ156">
        <v>25311</v>
      </c>
      <c r="AK156">
        <v>0</v>
      </c>
      <c r="AL156">
        <v>1402</v>
      </c>
      <c r="AM156">
        <v>4617</v>
      </c>
      <c r="AN156">
        <v>23909</v>
      </c>
      <c r="AO156">
        <v>80597</v>
      </c>
      <c r="AP156">
        <v>4</v>
      </c>
      <c r="AQ156">
        <v>0</v>
      </c>
      <c r="AR156">
        <v>5</v>
      </c>
      <c r="AS156">
        <v>30</v>
      </c>
      <c r="AT156">
        <v>0</v>
      </c>
      <c r="AU156">
        <v>15</v>
      </c>
      <c r="AV156">
        <v>5</v>
      </c>
      <c r="AW156">
        <v>0</v>
      </c>
      <c r="AX156">
        <v>1</v>
      </c>
      <c r="AY156">
        <v>0</v>
      </c>
      <c r="AZ156">
        <v>0</v>
      </c>
      <c r="BA156">
        <v>9</v>
      </c>
      <c r="BB156">
        <v>13</v>
      </c>
      <c r="BC156">
        <v>7</v>
      </c>
      <c r="BD156">
        <v>2</v>
      </c>
      <c r="BE156">
        <v>54</v>
      </c>
      <c r="BF156">
        <v>2</v>
      </c>
      <c r="BG156">
        <v>54</v>
      </c>
      <c r="BH156">
        <v>2</v>
      </c>
      <c r="BI156">
        <v>58</v>
      </c>
      <c r="BJ156">
        <v>45.552549999999997</v>
      </c>
      <c r="BK156">
        <v>10.783200000000001</v>
      </c>
      <c r="BL156">
        <v>600</v>
      </c>
      <c r="BM156" t="s">
        <v>83</v>
      </c>
      <c r="BN156" t="s">
        <v>84</v>
      </c>
      <c r="BO156" t="s">
        <v>85</v>
      </c>
      <c r="BP156" t="s">
        <v>160</v>
      </c>
      <c r="BQ156" t="s">
        <v>161</v>
      </c>
      <c r="BR156" t="s">
        <v>162</v>
      </c>
      <c r="BS156">
        <v>2926530</v>
      </c>
      <c r="BT156">
        <v>1926008</v>
      </c>
      <c r="BU156">
        <v>0</v>
      </c>
      <c r="BV156">
        <v>494263</v>
      </c>
      <c r="BW156">
        <v>0</v>
      </c>
      <c r="BX156">
        <v>506259</v>
      </c>
      <c r="BY156">
        <v>0</v>
      </c>
      <c r="BZ156">
        <v>1</v>
      </c>
      <c r="CA156" t="s">
        <v>196</v>
      </c>
      <c r="CB156" t="s">
        <v>197</v>
      </c>
      <c r="CC156" s="3">
        <v>46092.557106481479</v>
      </c>
      <c r="CD156" t="s">
        <v>91</v>
      </c>
    </row>
    <row r="157" spans="1:82" ht="16" x14ac:dyDescent="0.2">
      <c r="A157" t="s">
        <v>716</v>
      </c>
      <c r="B157" t="s">
        <v>156</v>
      </c>
      <c r="C157" t="s">
        <v>157</v>
      </c>
      <c r="D157" t="s">
        <v>78</v>
      </c>
      <c r="E157" t="s">
        <v>158</v>
      </c>
      <c r="F157">
        <v>2</v>
      </c>
      <c r="G157">
        <v>150</v>
      </c>
      <c r="H157" t="str">
        <f t="shared" si="15"/>
        <v>2x150</v>
      </c>
      <c r="I157">
        <v>330</v>
      </c>
      <c r="J157" s="4">
        <f t="shared" si="16"/>
        <v>0.10576923076923077</v>
      </c>
      <c r="K157">
        <v>499</v>
      </c>
      <c r="L157" s="4">
        <f t="shared" si="17"/>
        <v>0.15993589743589745</v>
      </c>
      <c r="M157">
        <v>757</v>
      </c>
      <c r="N157" s="4">
        <f t="shared" si="18"/>
        <v>0.24262820512820513</v>
      </c>
      <c r="O157">
        <v>1510</v>
      </c>
      <c r="P157" s="4">
        <f t="shared" si="19"/>
        <v>0.48397435897435898</v>
      </c>
      <c r="Q157" s="6">
        <f t="shared" si="14"/>
        <v>2027</v>
      </c>
      <c r="R157" s="6">
        <f t="shared" si="20"/>
        <v>2</v>
      </c>
      <c r="S157">
        <v>135</v>
      </c>
      <c r="T157">
        <v>119</v>
      </c>
      <c r="U157">
        <v>-11</v>
      </c>
      <c r="V157">
        <v>21</v>
      </c>
      <c r="W157">
        <v>34</v>
      </c>
      <c r="X157">
        <v>55</v>
      </c>
      <c r="Y157" s="2" t="s">
        <v>159</v>
      </c>
      <c r="Z157">
        <v>45.4338540483541</v>
      </c>
      <c r="AA157">
        <v>10.7103439220878</v>
      </c>
      <c r="AB157" t="s">
        <v>78</v>
      </c>
      <c r="AC157" t="s">
        <v>81</v>
      </c>
      <c r="AD157" t="s">
        <v>82</v>
      </c>
      <c r="AE157">
        <v>105937</v>
      </c>
      <c r="AF157">
        <v>0</v>
      </c>
      <c r="AG157">
        <v>0</v>
      </c>
      <c r="AH157">
        <v>61446</v>
      </c>
      <c r="AI157">
        <v>41034</v>
      </c>
      <c r="AJ157">
        <v>3457</v>
      </c>
      <c r="AK157">
        <v>0</v>
      </c>
      <c r="AL157">
        <v>1396</v>
      </c>
      <c r="AM157">
        <v>6623</v>
      </c>
      <c r="AN157">
        <v>27804</v>
      </c>
      <c r="AO157">
        <v>76802</v>
      </c>
      <c r="AP157">
        <v>0</v>
      </c>
      <c r="AQ157">
        <v>0</v>
      </c>
      <c r="AR157">
        <v>3</v>
      </c>
      <c r="AS157">
        <v>12</v>
      </c>
      <c r="AT157">
        <v>0</v>
      </c>
      <c r="AU157">
        <v>6</v>
      </c>
      <c r="AV157">
        <v>5</v>
      </c>
      <c r="AW157">
        <v>2</v>
      </c>
      <c r="AX157">
        <v>0</v>
      </c>
      <c r="AY157">
        <v>0</v>
      </c>
      <c r="AZ157">
        <v>0</v>
      </c>
      <c r="BA157">
        <v>5</v>
      </c>
      <c r="BB157">
        <v>12</v>
      </c>
      <c r="BC157">
        <v>1</v>
      </c>
      <c r="BD157">
        <v>0</v>
      </c>
      <c r="BE157">
        <v>16</v>
      </c>
      <c r="BF157">
        <v>4</v>
      </c>
      <c r="BG157">
        <v>16</v>
      </c>
      <c r="BH157">
        <v>4</v>
      </c>
      <c r="BI157">
        <v>16</v>
      </c>
      <c r="BJ157">
        <v>45.433860000000003</v>
      </c>
      <c r="BK157">
        <v>10.710333500000001</v>
      </c>
      <c r="BL157">
        <v>300</v>
      </c>
      <c r="BM157" t="s">
        <v>83</v>
      </c>
      <c r="BN157" t="s">
        <v>84</v>
      </c>
      <c r="BO157" t="s">
        <v>85</v>
      </c>
      <c r="BP157" t="s">
        <v>160</v>
      </c>
      <c r="BQ157" t="s">
        <v>161</v>
      </c>
      <c r="BR157" t="s">
        <v>162</v>
      </c>
      <c r="BS157">
        <v>2253749</v>
      </c>
      <c r="BT157">
        <v>0</v>
      </c>
      <c r="BU157">
        <v>0</v>
      </c>
      <c r="BV157">
        <v>1363843</v>
      </c>
      <c r="BW157">
        <v>820723</v>
      </c>
      <c r="BX157">
        <v>69183</v>
      </c>
      <c r="BY157">
        <v>0</v>
      </c>
      <c r="BZ157">
        <v>1</v>
      </c>
      <c r="CA157" t="s">
        <v>163</v>
      </c>
      <c r="CB157" t="s">
        <v>164</v>
      </c>
      <c r="CC157" s="3">
        <v>46092.557106481479</v>
      </c>
      <c r="CD157" t="s">
        <v>91</v>
      </c>
    </row>
    <row r="158" spans="1:82" ht="16" x14ac:dyDescent="0.2">
      <c r="A158" t="s">
        <v>797</v>
      </c>
      <c r="B158" t="s">
        <v>166</v>
      </c>
      <c r="C158" t="s">
        <v>167</v>
      </c>
      <c r="D158" t="s">
        <v>78</v>
      </c>
      <c r="E158" t="s">
        <v>168</v>
      </c>
      <c r="F158">
        <v>2</v>
      </c>
      <c r="G158">
        <v>150</v>
      </c>
      <c r="H158" t="str">
        <f t="shared" si="15"/>
        <v>2x150</v>
      </c>
      <c r="I158">
        <v>306</v>
      </c>
      <c r="J158" s="4">
        <f t="shared" si="16"/>
        <v>9.8076923076923075E-2</v>
      </c>
      <c r="K158">
        <v>462</v>
      </c>
      <c r="L158" s="4">
        <f t="shared" si="17"/>
        <v>0.14807692307692308</v>
      </c>
      <c r="M158">
        <v>700</v>
      </c>
      <c r="N158" s="4">
        <f t="shared" si="18"/>
        <v>0.22435897435897437</v>
      </c>
      <c r="O158">
        <v>1397</v>
      </c>
      <c r="P158" s="4">
        <f t="shared" si="19"/>
        <v>0.44775641025641022</v>
      </c>
      <c r="Q158" s="6">
        <f t="shared" si="14"/>
        <v>2027</v>
      </c>
      <c r="R158" s="6">
        <f t="shared" si="20"/>
        <v>2</v>
      </c>
      <c r="S158">
        <v>135</v>
      </c>
      <c r="T158">
        <v>132</v>
      </c>
      <c r="U158">
        <v>-14</v>
      </c>
      <c r="V158">
        <v>-21</v>
      </c>
      <c r="W158">
        <v>33</v>
      </c>
      <c r="X158">
        <v>69</v>
      </c>
      <c r="Y158" s="2" t="s">
        <v>169</v>
      </c>
      <c r="Z158">
        <v>44.820818000000003</v>
      </c>
      <c r="AA158">
        <v>10.332241</v>
      </c>
      <c r="AB158" t="s">
        <v>78</v>
      </c>
      <c r="AC158" t="s">
        <v>81</v>
      </c>
      <c r="AD158" t="s">
        <v>82</v>
      </c>
      <c r="AE158">
        <v>201760</v>
      </c>
      <c r="AF158">
        <v>0</v>
      </c>
      <c r="AG158">
        <v>0</v>
      </c>
      <c r="AH158">
        <v>71258</v>
      </c>
      <c r="AI158">
        <v>52023</v>
      </c>
      <c r="AJ158">
        <v>75073</v>
      </c>
      <c r="AK158">
        <v>3406</v>
      </c>
      <c r="AL158">
        <v>9553</v>
      </c>
      <c r="AM158">
        <v>34190</v>
      </c>
      <c r="AN158">
        <v>153370</v>
      </c>
      <c r="AO158">
        <v>207595</v>
      </c>
      <c r="AP158">
        <v>0</v>
      </c>
      <c r="AQ158">
        <v>3</v>
      </c>
      <c r="AR158">
        <v>3</v>
      </c>
      <c r="AS158">
        <v>5</v>
      </c>
      <c r="AT158">
        <v>2</v>
      </c>
      <c r="AU158">
        <v>21</v>
      </c>
      <c r="AV158">
        <v>3</v>
      </c>
      <c r="AW158">
        <v>0</v>
      </c>
      <c r="AX158">
        <v>0</v>
      </c>
      <c r="AY158">
        <v>1</v>
      </c>
      <c r="AZ158">
        <v>2</v>
      </c>
      <c r="BA158">
        <v>15</v>
      </c>
      <c r="BB158">
        <v>60</v>
      </c>
      <c r="BC158">
        <v>11</v>
      </c>
      <c r="BD158">
        <v>2</v>
      </c>
      <c r="BE158">
        <v>20</v>
      </c>
      <c r="BF158">
        <v>4</v>
      </c>
      <c r="BG158">
        <v>20</v>
      </c>
      <c r="BH158">
        <v>10</v>
      </c>
      <c r="BI158">
        <v>20</v>
      </c>
      <c r="BJ158">
        <v>44.820796899999998</v>
      </c>
      <c r="BK158">
        <v>10.3322363</v>
      </c>
      <c r="BL158">
        <v>300</v>
      </c>
      <c r="BM158" t="s">
        <v>83</v>
      </c>
      <c r="BN158" t="s">
        <v>84</v>
      </c>
      <c r="BO158" t="s">
        <v>85</v>
      </c>
      <c r="BP158" t="s">
        <v>160</v>
      </c>
      <c r="BQ158" t="s">
        <v>170</v>
      </c>
      <c r="BR158" t="s">
        <v>171</v>
      </c>
      <c r="BS158">
        <v>4202178</v>
      </c>
      <c r="BT158">
        <v>0</v>
      </c>
      <c r="BU158">
        <v>0</v>
      </c>
      <c r="BV158">
        <v>1591916</v>
      </c>
      <c r="BW158">
        <v>1040534</v>
      </c>
      <c r="BX158">
        <v>1501607</v>
      </c>
      <c r="BY158">
        <v>68121</v>
      </c>
      <c r="BZ158">
        <v>1</v>
      </c>
      <c r="CA158" t="s">
        <v>172</v>
      </c>
      <c r="CB158" t="s">
        <v>173</v>
      </c>
      <c r="CC158" s="3">
        <v>46092.557106481479</v>
      </c>
      <c r="CD158" t="s">
        <v>91</v>
      </c>
    </row>
    <row r="159" spans="1:82" ht="16" x14ac:dyDescent="0.2">
      <c r="A159" t="s">
        <v>798</v>
      </c>
      <c r="B159" t="s">
        <v>175</v>
      </c>
      <c r="C159" t="s">
        <v>176</v>
      </c>
      <c r="D159" t="s">
        <v>78</v>
      </c>
      <c r="E159" t="s">
        <v>177</v>
      </c>
      <c r="F159">
        <v>2</v>
      </c>
      <c r="G159">
        <v>150</v>
      </c>
      <c r="H159" t="str">
        <f t="shared" si="15"/>
        <v>2x150</v>
      </c>
      <c r="I159">
        <v>303</v>
      </c>
      <c r="J159" s="4">
        <f t="shared" si="16"/>
        <v>9.7115384615384617E-2</v>
      </c>
      <c r="K159">
        <v>457</v>
      </c>
      <c r="L159" s="4">
        <f t="shared" si="17"/>
        <v>0.14647435897435898</v>
      </c>
      <c r="M159">
        <v>694</v>
      </c>
      <c r="N159" s="4">
        <f t="shared" si="18"/>
        <v>0.22243589743589742</v>
      </c>
      <c r="O159">
        <v>1385</v>
      </c>
      <c r="P159" s="4">
        <f t="shared" si="19"/>
        <v>0.44391025641025639</v>
      </c>
      <c r="Q159" s="6">
        <f t="shared" si="14"/>
        <v>2027</v>
      </c>
      <c r="R159" s="6">
        <f t="shared" si="20"/>
        <v>2</v>
      </c>
      <c r="S159">
        <v>135</v>
      </c>
      <c r="T159">
        <v>181</v>
      </c>
      <c r="U159">
        <v>-19</v>
      </c>
      <c r="V159">
        <v>-14</v>
      </c>
      <c r="W159">
        <v>-20</v>
      </c>
      <c r="X159">
        <v>67</v>
      </c>
      <c r="Y159" s="2" t="s">
        <v>178</v>
      </c>
      <c r="Z159">
        <v>45.577500000000001</v>
      </c>
      <c r="AA159">
        <v>10.00915</v>
      </c>
      <c r="AB159" t="s">
        <v>78</v>
      </c>
      <c r="AC159" t="s">
        <v>81</v>
      </c>
      <c r="AD159" t="s">
        <v>82</v>
      </c>
      <c r="AE159">
        <v>159824</v>
      </c>
      <c r="AF159">
        <v>126382</v>
      </c>
      <c r="AG159">
        <v>0</v>
      </c>
      <c r="AH159">
        <v>0</v>
      </c>
      <c r="AI159">
        <v>0</v>
      </c>
      <c r="AJ159">
        <v>26752</v>
      </c>
      <c r="AK159">
        <v>6690</v>
      </c>
      <c r="AL159">
        <v>4300</v>
      </c>
      <c r="AM159">
        <v>14821</v>
      </c>
      <c r="AN159">
        <v>52258</v>
      </c>
      <c r="AO159">
        <v>205609</v>
      </c>
      <c r="AP159">
        <v>0</v>
      </c>
      <c r="AQ159">
        <v>1</v>
      </c>
      <c r="AR159">
        <v>1</v>
      </c>
      <c r="AS159">
        <v>2</v>
      </c>
      <c r="AT159">
        <v>0</v>
      </c>
      <c r="AU159">
        <v>14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13</v>
      </c>
      <c r="BB159">
        <v>39</v>
      </c>
      <c r="BC159">
        <v>8</v>
      </c>
      <c r="BD159">
        <v>7</v>
      </c>
      <c r="BE159">
        <v>0</v>
      </c>
      <c r="BF159">
        <v>10</v>
      </c>
      <c r="BG159">
        <v>2</v>
      </c>
      <c r="BH159">
        <v>16</v>
      </c>
      <c r="BI159">
        <v>2</v>
      </c>
      <c r="BJ159">
        <v>45.577409899999999</v>
      </c>
      <c r="BK159">
        <v>10.00916</v>
      </c>
      <c r="BL159">
        <v>300</v>
      </c>
      <c r="BM159" t="s">
        <v>83</v>
      </c>
      <c r="BN159" t="s">
        <v>84</v>
      </c>
      <c r="BO159" t="s">
        <v>85</v>
      </c>
      <c r="BP159" t="s">
        <v>107</v>
      </c>
      <c r="BQ159" t="s">
        <v>108</v>
      </c>
      <c r="BR159" t="s">
        <v>179</v>
      </c>
      <c r="BS159">
        <v>4460436</v>
      </c>
      <c r="BT159">
        <v>3791508</v>
      </c>
      <c r="BU159">
        <v>0</v>
      </c>
      <c r="BV159">
        <v>0</v>
      </c>
      <c r="BW159">
        <v>0</v>
      </c>
      <c r="BX159">
        <v>535072</v>
      </c>
      <c r="BY159">
        <v>133856</v>
      </c>
      <c r="BZ159">
        <v>1</v>
      </c>
      <c r="CA159" t="s">
        <v>180</v>
      </c>
      <c r="CB159" t="s">
        <v>181</v>
      </c>
      <c r="CC159" s="3">
        <v>46092.557106481479</v>
      </c>
      <c r="CD159" t="s">
        <v>91</v>
      </c>
    </row>
    <row r="160" spans="1:82" ht="16" x14ac:dyDescent="0.2">
      <c r="A160" t="s">
        <v>806</v>
      </c>
      <c r="B160" t="s">
        <v>183</v>
      </c>
      <c r="C160" t="s">
        <v>184</v>
      </c>
      <c r="D160" t="s">
        <v>78</v>
      </c>
      <c r="E160" t="s">
        <v>185</v>
      </c>
      <c r="F160">
        <v>2</v>
      </c>
      <c r="G160">
        <v>150</v>
      </c>
      <c r="H160" t="str">
        <f t="shared" si="15"/>
        <v>2x150</v>
      </c>
      <c r="I160">
        <v>298</v>
      </c>
      <c r="J160" s="4">
        <f t="shared" si="16"/>
        <v>9.5512820512820507E-2</v>
      </c>
      <c r="K160">
        <v>450</v>
      </c>
      <c r="L160" s="4">
        <f t="shared" si="17"/>
        <v>0.14423076923076925</v>
      </c>
      <c r="M160">
        <v>683</v>
      </c>
      <c r="N160" s="4">
        <f t="shared" si="18"/>
        <v>0.21891025641025641</v>
      </c>
      <c r="O160">
        <v>1363</v>
      </c>
      <c r="P160" s="4">
        <f t="shared" si="19"/>
        <v>0.43685897435897436</v>
      </c>
      <c r="Q160" s="6">
        <f t="shared" si="14"/>
        <v>2027</v>
      </c>
      <c r="R160" s="6">
        <f t="shared" si="20"/>
        <v>2</v>
      </c>
      <c r="S160">
        <v>135</v>
      </c>
      <c r="T160">
        <v>122</v>
      </c>
      <c r="U160">
        <v>-22</v>
      </c>
      <c r="V160">
        <v>9</v>
      </c>
      <c r="W160">
        <v>7</v>
      </c>
      <c r="X160">
        <v>79</v>
      </c>
      <c r="Y160" s="2" t="s">
        <v>186</v>
      </c>
      <c r="Z160">
        <v>40.375902000000004</v>
      </c>
      <c r="AA160">
        <v>18.148140000000001</v>
      </c>
      <c r="AB160" t="s">
        <v>78</v>
      </c>
      <c r="AC160" t="s">
        <v>81</v>
      </c>
      <c r="AD160" t="s">
        <v>82</v>
      </c>
      <c r="AE160">
        <v>136632</v>
      </c>
      <c r="AF160">
        <v>0</v>
      </c>
      <c r="AG160">
        <v>80496</v>
      </c>
      <c r="AH160">
        <v>0</v>
      </c>
      <c r="AI160">
        <v>38126</v>
      </c>
      <c r="AJ160">
        <v>18010</v>
      </c>
      <c r="AK160">
        <v>0</v>
      </c>
      <c r="AL160">
        <v>1337</v>
      </c>
      <c r="AM160">
        <v>12364</v>
      </c>
      <c r="AN160">
        <v>97119</v>
      </c>
      <c r="AO160">
        <v>199530</v>
      </c>
      <c r="AP160">
        <v>0</v>
      </c>
      <c r="AQ160">
        <v>0</v>
      </c>
      <c r="AR160">
        <v>4</v>
      </c>
      <c r="AS160">
        <v>2</v>
      </c>
      <c r="AT160">
        <v>0</v>
      </c>
      <c r="AU160">
        <v>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</v>
      </c>
      <c r="BB160">
        <v>11</v>
      </c>
      <c r="BC160">
        <v>2</v>
      </c>
      <c r="BD160">
        <v>0</v>
      </c>
      <c r="BE160">
        <v>0</v>
      </c>
      <c r="BF160">
        <v>0</v>
      </c>
      <c r="BG160">
        <v>4</v>
      </c>
      <c r="BH160">
        <v>2</v>
      </c>
      <c r="BI160">
        <v>10</v>
      </c>
      <c r="BJ160">
        <v>40.375897700000003</v>
      </c>
      <c r="BK160">
        <v>18.148175599999998</v>
      </c>
      <c r="BL160">
        <v>300</v>
      </c>
      <c r="BM160" t="s">
        <v>83</v>
      </c>
      <c r="BN160" t="s">
        <v>84</v>
      </c>
      <c r="BO160" t="s">
        <v>85</v>
      </c>
      <c r="BP160" t="s">
        <v>97</v>
      </c>
      <c r="BQ160" t="s">
        <v>187</v>
      </c>
      <c r="BR160" t="s">
        <v>188</v>
      </c>
      <c r="BS160">
        <v>2861959</v>
      </c>
      <c r="BT160">
        <v>0</v>
      </c>
      <c r="BU160">
        <v>1739099</v>
      </c>
      <c r="BV160">
        <v>0</v>
      </c>
      <c r="BW160">
        <v>762580</v>
      </c>
      <c r="BX160">
        <v>360280</v>
      </c>
      <c r="BY160">
        <v>0</v>
      </c>
      <c r="BZ160">
        <v>1</v>
      </c>
      <c r="CA160" t="s">
        <v>189</v>
      </c>
      <c r="CB160" t="s">
        <v>190</v>
      </c>
      <c r="CC160" s="3">
        <v>46092.557106481479</v>
      </c>
      <c r="CD160" t="s">
        <v>91</v>
      </c>
    </row>
    <row r="161" spans="1:82" ht="16" x14ac:dyDescent="0.2">
      <c r="A161" t="s">
        <v>836</v>
      </c>
      <c r="B161" t="s">
        <v>192</v>
      </c>
      <c r="C161" t="s">
        <v>193</v>
      </c>
      <c r="D161" t="s">
        <v>78</v>
      </c>
      <c r="E161" t="s">
        <v>194</v>
      </c>
      <c r="F161">
        <v>2</v>
      </c>
      <c r="G161">
        <v>150</v>
      </c>
      <c r="H161" t="str">
        <f t="shared" si="15"/>
        <v>2x150</v>
      </c>
      <c r="I161">
        <v>290</v>
      </c>
      <c r="J161" s="4">
        <f t="shared" si="16"/>
        <v>9.2948717948717952E-2</v>
      </c>
      <c r="K161">
        <v>438</v>
      </c>
      <c r="L161" s="4">
        <f t="shared" si="17"/>
        <v>0.14038461538461539</v>
      </c>
      <c r="M161">
        <v>664</v>
      </c>
      <c r="N161" s="4">
        <f t="shared" si="18"/>
        <v>0.21282051282051281</v>
      </c>
      <c r="O161">
        <v>1325</v>
      </c>
      <c r="P161" s="4">
        <f t="shared" si="19"/>
        <v>0.42467948717948717</v>
      </c>
      <c r="Q161" s="6">
        <f t="shared" si="14"/>
        <v>2027</v>
      </c>
      <c r="R161" s="6">
        <f t="shared" si="20"/>
        <v>2</v>
      </c>
      <c r="S161">
        <v>135</v>
      </c>
      <c r="T161">
        <v>66</v>
      </c>
      <c r="U161">
        <v>-18</v>
      </c>
      <c r="V161">
        <v>28</v>
      </c>
      <c r="W161">
        <v>44</v>
      </c>
      <c r="X161">
        <v>55</v>
      </c>
      <c r="Y161" s="2" t="s">
        <v>195</v>
      </c>
      <c r="Z161">
        <v>45.5524494</v>
      </c>
      <c r="AA161">
        <v>10.7834003</v>
      </c>
      <c r="AB161" t="s">
        <v>78</v>
      </c>
      <c r="AC161" t="s">
        <v>81</v>
      </c>
      <c r="AD161" t="s">
        <v>82</v>
      </c>
      <c r="AE161">
        <v>125801</v>
      </c>
      <c r="AF161">
        <v>75777</v>
      </c>
      <c r="AG161">
        <v>0</v>
      </c>
      <c r="AH161">
        <v>24713</v>
      </c>
      <c r="AI161">
        <v>0</v>
      </c>
      <c r="AJ161">
        <v>25311</v>
      </c>
      <c r="AK161">
        <v>0</v>
      </c>
      <c r="AL161">
        <v>1402</v>
      </c>
      <c r="AM161">
        <v>4617</v>
      </c>
      <c r="AN161">
        <v>23909</v>
      </c>
      <c r="AO161">
        <v>80597</v>
      </c>
      <c r="AP161">
        <v>4</v>
      </c>
      <c r="AQ161">
        <v>0</v>
      </c>
      <c r="AR161">
        <v>5</v>
      </c>
      <c r="AS161">
        <v>30</v>
      </c>
      <c r="AT161">
        <v>0</v>
      </c>
      <c r="AU161">
        <v>15</v>
      </c>
      <c r="AV161">
        <v>5</v>
      </c>
      <c r="AW161">
        <v>0</v>
      </c>
      <c r="AX161">
        <v>1</v>
      </c>
      <c r="AY161">
        <v>0</v>
      </c>
      <c r="AZ161">
        <v>0</v>
      </c>
      <c r="BA161">
        <v>9</v>
      </c>
      <c r="BB161">
        <v>13</v>
      </c>
      <c r="BC161">
        <v>7</v>
      </c>
      <c r="BD161">
        <v>2</v>
      </c>
      <c r="BE161">
        <v>54</v>
      </c>
      <c r="BF161">
        <v>2</v>
      </c>
      <c r="BG161">
        <v>54</v>
      </c>
      <c r="BH161">
        <v>2</v>
      </c>
      <c r="BI161">
        <v>58</v>
      </c>
      <c r="BJ161">
        <v>45.552549999999997</v>
      </c>
      <c r="BK161">
        <v>10.783200000000001</v>
      </c>
      <c r="BL161">
        <v>300</v>
      </c>
      <c r="BM161" t="s">
        <v>83</v>
      </c>
      <c r="BN161" t="s">
        <v>84</v>
      </c>
      <c r="BO161" t="s">
        <v>85</v>
      </c>
      <c r="BP161" t="s">
        <v>160</v>
      </c>
      <c r="BQ161" t="s">
        <v>161</v>
      </c>
      <c r="BR161" t="s">
        <v>162</v>
      </c>
      <c r="BS161">
        <v>2926530</v>
      </c>
      <c r="BT161">
        <v>1926008</v>
      </c>
      <c r="BU161">
        <v>0</v>
      </c>
      <c r="BV161">
        <v>494263</v>
      </c>
      <c r="BW161">
        <v>0</v>
      </c>
      <c r="BX161">
        <v>506259</v>
      </c>
      <c r="BY161">
        <v>0</v>
      </c>
      <c r="BZ161">
        <v>1</v>
      </c>
      <c r="CA161" t="s">
        <v>196</v>
      </c>
      <c r="CB161" t="s">
        <v>197</v>
      </c>
      <c r="CC161" s="3">
        <v>46092.557106481479</v>
      </c>
      <c r="CD161" t="s">
        <v>91</v>
      </c>
    </row>
    <row r="162" spans="1:82" ht="16" x14ac:dyDescent="0.2">
      <c r="A162" t="s">
        <v>1025</v>
      </c>
      <c r="B162" t="s">
        <v>76</v>
      </c>
      <c r="C162" t="s">
        <v>77</v>
      </c>
      <c r="D162" t="s">
        <v>78</v>
      </c>
      <c r="E162" t="s">
        <v>79</v>
      </c>
      <c r="F162">
        <v>2</v>
      </c>
      <c r="G162">
        <v>50</v>
      </c>
      <c r="H162" t="str">
        <f t="shared" si="15"/>
        <v>2x50</v>
      </c>
      <c r="I162">
        <v>221</v>
      </c>
      <c r="J162" s="4">
        <f t="shared" si="16"/>
        <v>0.11510416666666667</v>
      </c>
      <c r="K162">
        <v>333</v>
      </c>
      <c r="L162" s="4">
        <f t="shared" si="17"/>
        <v>0.17343749999999999</v>
      </c>
      <c r="M162">
        <v>505</v>
      </c>
      <c r="N162" s="4">
        <f t="shared" si="18"/>
        <v>0.26302083333333331</v>
      </c>
      <c r="O162">
        <v>1008</v>
      </c>
      <c r="P162" s="4">
        <f t="shared" si="19"/>
        <v>0.52500000000000002</v>
      </c>
      <c r="Q162" s="6">
        <f t="shared" si="14"/>
        <v>2027</v>
      </c>
      <c r="R162" s="6">
        <f t="shared" si="20"/>
        <v>2</v>
      </c>
      <c r="S162">
        <v>77</v>
      </c>
      <c r="T162">
        <v>52</v>
      </c>
      <c r="U162">
        <v>117</v>
      </c>
      <c r="V162">
        <v>-13</v>
      </c>
      <c r="W162">
        <v>3</v>
      </c>
      <c r="X162">
        <v>-30</v>
      </c>
      <c r="Y162" s="2" t="s">
        <v>80</v>
      </c>
      <c r="Z162">
        <v>41.845640000000003</v>
      </c>
      <c r="AA162">
        <v>12.45519</v>
      </c>
      <c r="AB162" t="s">
        <v>78</v>
      </c>
      <c r="AC162" t="s">
        <v>81</v>
      </c>
      <c r="AD162" t="s">
        <v>82</v>
      </c>
      <c r="AE162">
        <v>100705</v>
      </c>
      <c r="AF162">
        <v>0</v>
      </c>
      <c r="AG162">
        <v>0</v>
      </c>
      <c r="AH162">
        <v>74554</v>
      </c>
      <c r="AI162">
        <v>26151</v>
      </c>
      <c r="AJ162">
        <v>0</v>
      </c>
      <c r="AK162">
        <v>0</v>
      </c>
      <c r="AL162">
        <v>28817</v>
      </c>
      <c r="AM162">
        <v>98100</v>
      </c>
      <c r="AN162">
        <v>496116</v>
      </c>
      <c r="AO162">
        <v>1471161</v>
      </c>
      <c r="AP162">
        <v>2</v>
      </c>
      <c r="AQ162">
        <v>1</v>
      </c>
      <c r="AR162">
        <v>8</v>
      </c>
      <c r="AS162">
        <v>11</v>
      </c>
      <c r="AT162">
        <v>2</v>
      </c>
      <c r="AU162">
        <v>32</v>
      </c>
      <c r="AV162">
        <v>4</v>
      </c>
      <c r="AW162">
        <v>0</v>
      </c>
      <c r="AX162">
        <v>0</v>
      </c>
      <c r="AY162">
        <v>0</v>
      </c>
      <c r="AZ162">
        <v>0</v>
      </c>
      <c r="BA162">
        <v>26</v>
      </c>
      <c r="BB162">
        <v>125</v>
      </c>
      <c r="BC162">
        <v>12</v>
      </c>
      <c r="BD162">
        <v>4</v>
      </c>
      <c r="BE162">
        <v>0</v>
      </c>
      <c r="BF162">
        <v>6</v>
      </c>
      <c r="BG162">
        <v>0</v>
      </c>
      <c r="BH162">
        <v>18</v>
      </c>
      <c r="BI162">
        <v>0</v>
      </c>
      <c r="BJ162">
        <v>41.845581600000003</v>
      </c>
      <c r="BK162">
        <v>12.4555323</v>
      </c>
      <c r="BL162">
        <v>100</v>
      </c>
      <c r="BM162" t="s">
        <v>83</v>
      </c>
      <c r="BN162" t="s">
        <v>84</v>
      </c>
      <c r="BO162" t="s">
        <v>85</v>
      </c>
      <c r="BP162" t="s">
        <v>86</v>
      </c>
      <c r="BQ162" t="s">
        <v>87</v>
      </c>
      <c r="BR162" t="s">
        <v>88</v>
      </c>
      <c r="BS162">
        <v>2396992</v>
      </c>
      <c r="BT162">
        <v>0</v>
      </c>
      <c r="BU162">
        <v>0</v>
      </c>
      <c r="BV162">
        <v>1717057</v>
      </c>
      <c r="BW162">
        <v>679935</v>
      </c>
      <c r="BX162">
        <v>0</v>
      </c>
      <c r="BY162">
        <v>0</v>
      </c>
      <c r="BZ162">
        <v>1</v>
      </c>
      <c r="CA162" t="s">
        <v>89</v>
      </c>
      <c r="CB162" t="s">
        <v>90</v>
      </c>
      <c r="CC162" s="3">
        <v>46092.557106481479</v>
      </c>
      <c r="CD162" t="s">
        <v>91</v>
      </c>
    </row>
    <row r="163" spans="1:82" ht="16" x14ac:dyDescent="0.2">
      <c r="A163" t="s">
        <v>1072</v>
      </c>
      <c r="B163" t="s">
        <v>149</v>
      </c>
      <c r="C163" t="s">
        <v>150</v>
      </c>
      <c r="D163" t="s">
        <v>78</v>
      </c>
      <c r="E163" t="s">
        <v>151</v>
      </c>
      <c r="F163">
        <v>2</v>
      </c>
      <c r="G163">
        <v>50</v>
      </c>
      <c r="H163" t="str">
        <f t="shared" si="15"/>
        <v>2x50</v>
      </c>
      <c r="I163">
        <v>193</v>
      </c>
      <c r="J163" s="4">
        <f t="shared" si="16"/>
        <v>0.10052083333333334</v>
      </c>
      <c r="K163">
        <v>291</v>
      </c>
      <c r="L163" s="4">
        <f t="shared" si="17"/>
        <v>0.15156250000000002</v>
      </c>
      <c r="M163">
        <v>442</v>
      </c>
      <c r="N163" s="4">
        <f t="shared" si="18"/>
        <v>0.23020833333333335</v>
      </c>
      <c r="O163">
        <v>882</v>
      </c>
      <c r="P163" s="4">
        <f t="shared" si="19"/>
        <v>0.45937500000000003</v>
      </c>
      <c r="Q163" s="6">
        <f t="shared" si="14"/>
        <v>2027</v>
      </c>
      <c r="R163" s="6">
        <f t="shared" si="20"/>
        <v>2</v>
      </c>
      <c r="S163">
        <v>77</v>
      </c>
      <c r="T163">
        <v>21</v>
      </c>
      <c r="U163">
        <v>120</v>
      </c>
      <c r="V163">
        <v>-19</v>
      </c>
      <c r="W163">
        <v>4</v>
      </c>
      <c r="X163">
        <v>-20</v>
      </c>
      <c r="Y163" s="2" t="s">
        <v>152</v>
      </c>
      <c r="Z163">
        <v>41.850650000000002</v>
      </c>
      <c r="AA163">
        <v>12.57145</v>
      </c>
      <c r="AB163" t="s">
        <v>78</v>
      </c>
      <c r="AC163" t="s">
        <v>81</v>
      </c>
      <c r="AD163" t="s">
        <v>82</v>
      </c>
      <c r="AE163">
        <v>69194</v>
      </c>
      <c r="AF163">
        <v>0</v>
      </c>
      <c r="AG163">
        <v>0</v>
      </c>
      <c r="AH163">
        <v>39633</v>
      </c>
      <c r="AI163">
        <v>0</v>
      </c>
      <c r="AJ163">
        <v>23230</v>
      </c>
      <c r="AK163">
        <v>6331</v>
      </c>
      <c r="AL163">
        <v>25809</v>
      </c>
      <c r="AM163">
        <v>105921</v>
      </c>
      <c r="AN163">
        <v>470428</v>
      </c>
      <c r="AO163">
        <v>1507756</v>
      </c>
      <c r="AP163">
        <v>1</v>
      </c>
      <c r="AQ163">
        <v>0</v>
      </c>
      <c r="AR163">
        <v>1</v>
      </c>
      <c r="AS163">
        <v>7</v>
      </c>
      <c r="AT163">
        <v>0</v>
      </c>
      <c r="AU163">
        <v>27</v>
      </c>
      <c r="AV163">
        <v>3</v>
      </c>
      <c r="AW163">
        <v>1</v>
      </c>
      <c r="AX163">
        <v>0</v>
      </c>
      <c r="AY163">
        <v>2</v>
      </c>
      <c r="AZ163">
        <v>2</v>
      </c>
      <c r="BA163">
        <v>33</v>
      </c>
      <c r="BB163">
        <v>89</v>
      </c>
      <c r="BC163">
        <v>17</v>
      </c>
      <c r="BD163">
        <v>2</v>
      </c>
      <c r="BE163">
        <v>0</v>
      </c>
      <c r="BF163">
        <v>6</v>
      </c>
      <c r="BG163">
        <v>0</v>
      </c>
      <c r="BH163">
        <v>22</v>
      </c>
      <c r="BI163">
        <v>0</v>
      </c>
      <c r="BJ163">
        <v>41.8505155</v>
      </c>
      <c r="BK163">
        <v>12.5713249</v>
      </c>
      <c r="BL163">
        <v>100</v>
      </c>
      <c r="BM163" t="s">
        <v>83</v>
      </c>
      <c r="BN163" t="s">
        <v>84</v>
      </c>
      <c r="BO163" t="s">
        <v>85</v>
      </c>
      <c r="BP163" t="s">
        <v>86</v>
      </c>
      <c r="BQ163" t="s">
        <v>87</v>
      </c>
      <c r="BR163" t="s">
        <v>88</v>
      </c>
      <c r="BS163">
        <v>1479137</v>
      </c>
      <c r="BT163">
        <v>0</v>
      </c>
      <c r="BU163">
        <v>0</v>
      </c>
      <c r="BV163">
        <v>940852</v>
      </c>
      <c r="BW163">
        <v>0</v>
      </c>
      <c r="BX163">
        <v>464612</v>
      </c>
      <c r="BY163">
        <v>73673</v>
      </c>
      <c r="BZ163">
        <v>1</v>
      </c>
      <c r="CA163" t="s">
        <v>153</v>
      </c>
      <c r="CB163" t="s">
        <v>154</v>
      </c>
      <c r="CC163" s="3">
        <v>46092.557106481479</v>
      </c>
      <c r="CD163" t="s">
        <v>91</v>
      </c>
    </row>
    <row r="164" spans="1:82" ht="16" x14ac:dyDescent="0.2">
      <c r="A164" t="s">
        <v>1074</v>
      </c>
      <c r="B164" t="s">
        <v>113</v>
      </c>
      <c r="C164" t="s">
        <v>114</v>
      </c>
      <c r="D164" t="s">
        <v>78</v>
      </c>
      <c r="E164" t="s">
        <v>115</v>
      </c>
      <c r="F164">
        <v>2</v>
      </c>
      <c r="G164">
        <v>50</v>
      </c>
      <c r="H164" t="str">
        <f t="shared" si="15"/>
        <v>2x50</v>
      </c>
      <c r="I164">
        <v>191</v>
      </c>
      <c r="J164" s="4">
        <f t="shared" si="16"/>
        <v>9.9479166666666674E-2</v>
      </c>
      <c r="K164">
        <v>288</v>
      </c>
      <c r="L164" s="4">
        <f t="shared" si="17"/>
        <v>0.15</v>
      </c>
      <c r="M164">
        <v>437</v>
      </c>
      <c r="N164" s="4">
        <f t="shared" si="18"/>
        <v>0.22760416666666669</v>
      </c>
      <c r="O164">
        <v>871</v>
      </c>
      <c r="P164" s="4">
        <f t="shared" si="19"/>
        <v>0.4536458333333333</v>
      </c>
      <c r="Q164" s="6">
        <f t="shared" si="14"/>
        <v>2027</v>
      </c>
      <c r="R164" s="6">
        <f t="shared" si="20"/>
        <v>2</v>
      </c>
      <c r="S164">
        <v>77</v>
      </c>
      <c r="T164">
        <v>21</v>
      </c>
      <c r="U164">
        <v>113</v>
      </c>
      <c r="V164">
        <v>7</v>
      </c>
      <c r="W164">
        <v>-12</v>
      </c>
      <c r="X164">
        <v>-30</v>
      </c>
      <c r="Y164" s="2" t="s">
        <v>116</v>
      </c>
      <c r="Z164">
        <v>41.928870099999997</v>
      </c>
      <c r="AA164">
        <v>12.4264882</v>
      </c>
      <c r="AB164" t="s">
        <v>78</v>
      </c>
      <c r="AC164" t="s">
        <v>81</v>
      </c>
      <c r="AD164" t="s">
        <v>82</v>
      </c>
      <c r="AE164">
        <v>71743</v>
      </c>
      <c r="AF164">
        <v>0</v>
      </c>
      <c r="AG164">
        <v>0</v>
      </c>
      <c r="AH164">
        <v>0</v>
      </c>
      <c r="AI164">
        <v>11849</v>
      </c>
      <c r="AJ164">
        <v>43407</v>
      </c>
      <c r="AK164">
        <v>16487</v>
      </c>
      <c r="AL164">
        <v>28995</v>
      </c>
      <c r="AM164">
        <v>101869</v>
      </c>
      <c r="AN164">
        <v>455657</v>
      </c>
      <c r="AO164">
        <v>1386162</v>
      </c>
      <c r="AP164">
        <v>1</v>
      </c>
      <c r="AQ164">
        <v>0</v>
      </c>
      <c r="AR164">
        <v>11</v>
      </c>
      <c r="AS164">
        <v>7</v>
      </c>
      <c r="AT164">
        <v>2</v>
      </c>
      <c r="AU164">
        <v>21</v>
      </c>
      <c r="AV164">
        <v>12</v>
      </c>
      <c r="AW164">
        <v>0</v>
      </c>
      <c r="AX164">
        <v>4</v>
      </c>
      <c r="AY164">
        <v>1</v>
      </c>
      <c r="AZ164">
        <v>1</v>
      </c>
      <c r="BA164">
        <v>6</v>
      </c>
      <c r="BB164">
        <v>51</v>
      </c>
      <c r="BC164">
        <v>6</v>
      </c>
      <c r="BD164">
        <v>0</v>
      </c>
      <c r="BE164">
        <v>0</v>
      </c>
      <c r="BF164">
        <v>0</v>
      </c>
      <c r="BG164">
        <v>0</v>
      </c>
      <c r="BH164">
        <v>6</v>
      </c>
      <c r="BI164">
        <v>0</v>
      </c>
      <c r="BJ164">
        <v>41.9288715</v>
      </c>
      <c r="BK164">
        <v>12.426523100000001</v>
      </c>
      <c r="BL164">
        <v>100</v>
      </c>
      <c r="BM164" t="s">
        <v>83</v>
      </c>
      <c r="BN164" t="s">
        <v>84</v>
      </c>
      <c r="BO164" t="s">
        <v>85</v>
      </c>
      <c r="BP164" t="s">
        <v>86</v>
      </c>
      <c r="BQ164" t="s">
        <v>87</v>
      </c>
      <c r="BR164" t="s">
        <v>88</v>
      </c>
      <c r="BS164">
        <v>1434968</v>
      </c>
      <c r="BT164">
        <v>0</v>
      </c>
      <c r="BU164">
        <v>0</v>
      </c>
      <c r="BV164">
        <v>0</v>
      </c>
      <c r="BW164">
        <v>236994</v>
      </c>
      <c r="BX164">
        <v>868208</v>
      </c>
      <c r="BY164">
        <v>329766</v>
      </c>
      <c r="BZ164">
        <v>1</v>
      </c>
      <c r="CA164" t="s">
        <v>117</v>
      </c>
      <c r="CB164" t="s">
        <v>118</v>
      </c>
      <c r="CC164" s="3">
        <v>46092.557106481479</v>
      </c>
      <c r="CD164" t="s">
        <v>91</v>
      </c>
    </row>
    <row r="165" spans="1:82" ht="16" x14ac:dyDescent="0.2">
      <c r="A165" t="s">
        <v>1075</v>
      </c>
      <c r="B165" t="s">
        <v>127</v>
      </c>
      <c r="C165" t="s">
        <v>128</v>
      </c>
      <c r="D165" t="s">
        <v>78</v>
      </c>
      <c r="E165" t="s">
        <v>129</v>
      </c>
      <c r="F165">
        <v>2</v>
      </c>
      <c r="G165">
        <v>50</v>
      </c>
      <c r="H165" t="str">
        <f t="shared" si="15"/>
        <v>2x50</v>
      </c>
      <c r="I165">
        <v>190</v>
      </c>
      <c r="J165" s="4">
        <f t="shared" si="16"/>
        <v>9.8958333333333329E-2</v>
      </c>
      <c r="K165">
        <v>286</v>
      </c>
      <c r="L165" s="4">
        <f t="shared" si="17"/>
        <v>0.14895833333333333</v>
      </c>
      <c r="M165">
        <v>434</v>
      </c>
      <c r="N165" s="4">
        <f t="shared" si="18"/>
        <v>0.22604166666666667</v>
      </c>
      <c r="O165">
        <v>867</v>
      </c>
      <c r="P165" s="4">
        <f t="shared" si="19"/>
        <v>0.45156250000000003</v>
      </c>
      <c r="Q165" s="6">
        <f t="shared" si="14"/>
        <v>2027</v>
      </c>
      <c r="R165" s="6">
        <f t="shared" si="20"/>
        <v>2</v>
      </c>
      <c r="S165">
        <v>77</v>
      </c>
      <c r="T165">
        <v>24</v>
      </c>
      <c r="U165">
        <v>108</v>
      </c>
      <c r="V165">
        <v>-8</v>
      </c>
      <c r="W165">
        <v>3</v>
      </c>
      <c r="X165">
        <v>-25</v>
      </c>
      <c r="Y165" s="2" t="s">
        <v>130</v>
      </c>
      <c r="Z165">
        <v>41.894616236880303</v>
      </c>
      <c r="AA165">
        <v>12.5923887897992</v>
      </c>
      <c r="AB165" t="s">
        <v>78</v>
      </c>
      <c r="AC165" t="s">
        <v>81</v>
      </c>
      <c r="AD165" t="s">
        <v>82</v>
      </c>
      <c r="AE165">
        <v>84466</v>
      </c>
      <c r="AF165">
        <v>0</v>
      </c>
      <c r="AG165">
        <v>0</v>
      </c>
      <c r="AH165">
        <v>0</v>
      </c>
      <c r="AI165">
        <v>0</v>
      </c>
      <c r="AJ165">
        <v>70217</v>
      </c>
      <c r="AK165">
        <v>14249</v>
      </c>
      <c r="AL165">
        <v>13480</v>
      </c>
      <c r="AM165">
        <v>57905</v>
      </c>
      <c r="AN165">
        <v>533259</v>
      </c>
      <c r="AO165">
        <v>1504552</v>
      </c>
      <c r="AP165">
        <v>0</v>
      </c>
      <c r="AQ165">
        <v>0</v>
      </c>
      <c r="AR165">
        <v>5</v>
      </c>
      <c r="AS165">
        <v>15</v>
      </c>
      <c r="AT165">
        <v>3</v>
      </c>
      <c r="AU165">
        <v>35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5</v>
      </c>
      <c r="BB165">
        <v>64</v>
      </c>
      <c r="BC165">
        <v>3</v>
      </c>
      <c r="BD165">
        <v>2</v>
      </c>
      <c r="BE165">
        <v>0</v>
      </c>
      <c r="BF165">
        <v>2</v>
      </c>
      <c r="BG165">
        <v>0</v>
      </c>
      <c r="BH165">
        <v>10</v>
      </c>
      <c r="BI165">
        <v>2</v>
      </c>
      <c r="BJ165">
        <v>41.894601000000002</v>
      </c>
      <c r="BK165">
        <v>12.5922201</v>
      </c>
      <c r="BL165">
        <v>100</v>
      </c>
      <c r="BM165" t="s">
        <v>83</v>
      </c>
      <c r="BN165" t="s">
        <v>84</v>
      </c>
      <c r="BO165" t="s">
        <v>85</v>
      </c>
      <c r="BP165" t="s">
        <v>86</v>
      </c>
      <c r="BQ165" t="s">
        <v>87</v>
      </c>
      <c r="BR165" t="s">
        <v>88</v>
      </c>
      <c r="BS165">
        <v>1689420</v>
      </c>
      <c r="BT165">
        <v>0</v>
      </c>
      <c r="BU165">
        <v>0</v>
      </c>
      <c r="BV165">
        <v>0</v>
      </c>
      <c r="BW165">
        <v>0</v>
      </c>
      <c r="BX165">
        <v>1404423</v>
      </c>
      <c r="BY165">
        <v>284997</v>
      </c>
      <c r="BZ165">
        <v>1</v>
      </c>
      <c r="CA165" t="s">
        <v>131</v>
      </c>
      <c r="CB165" t="s">
        <v>132</v>
      </c>
      <c r="CC165" s="3">
        <v>46092.557106481479</v>
      </c>
      <c r="CD165" t="s">
        <v>91</v>
      </c>
    </row>
    <row r="166" spans="1:82" ht="16" x14ac:dyDescent="0.2">
      <c r="A166" t="s">
        <v>1079</v>
      </c>
      <c r="B166" t="s">
        <v>93</v>
      </c>
      <c r="C166" t="s">
        <v>94</v>
      </c>
      <c r="D166" t="s">
        <v>78</v>
      </c>
      <c r="E166" t="s">
        <v>95</v>
      </c>
      <c r="F166">
        <v>2</v>
      </c>
      <c r="G166">
        <v>50</v>
      </c>
      <c r="H166" t="str">
        <f t="shared" si="15"/>
        <v>2x50</v>
      </c>
      <c r="I166">
        <v>186</v>
      </c>
      <c r="J166" s="4">
        <f t="shared" si="16"/>
        <v>9.6875000000000003E-2</v>
      </c>
      <c r="K166">
        <v>281</v>
      </c>
      <c r="L166" s="4">
        <f t="shared" si="17"/>
        <v>0.14635416666666667</v>
      </c>
      <c r="M166">
        <v>426</v>
      </c>
      <c r="N166" s="4">
        <f t="shared" si="18"/>
        <v>0.22187500000000002</v>
      </c>
      <c r="O166">
        <v>849</v>
      </c>
      <c r="P166" s="4">
        <f t="shared" si="19"/>
        <v>0.44218750000000001</v>
      </c>
      <c r="Q166" s="6">
        <f t="shared" si="14"/>
        <v>2027</v>
      </c>
      <c r="R166" s="6">
        <f t="shared" si="20"/>
        <v>2</v>
      </c>
      <c r="S166">
        <v>77</v>
      </c>
      <c r="T166">
        <v>35</v>
      </c>
      <c r="U166">
        <v>102</v>
      </c>
      <c r="V166">
        <v>-2</v>
      </c>
      <c r="W166">
        <v>1</v>
      </c>
      <c r="X166">
        <v>-51</v>
      </c>
      <c r="Y166" s="2" t="s">
        <v>96</v>
      </c>
      <c r="Z166">
        <v>40.896721239999998</v>
      </c>
      <c r="AA166">
        <v>14.3147612</v>
      </c>
      <c r="AB166" t="s">
        <v>78</v>
      </c>
      <c r="AC166" t="s">
        <v>81</v>
      </c>
      <c r="AD166" t="s">
        <v>82</v>
      </c>
      <c r="AE166">
        <v>174151</v>
      </c>
      <c r="AF166">
        <v>73019</v>
      </c>
      <c r="AG166">
        <v>0</v>
      </c>
      <c r="AH166">
        <v>34253</v>
      </c>
      <c r="AI166">
        <v>38783</v>
      </c>
      <c r="AJ166">
        <v>28096</v>
      </c>
      <c r="AK166">
        <v>0</v>
      </c>
      <c r="AL166">
        <v>6507</v>
      </c>
      <c r="AM166">
        <v>39527</v>
      </c>
      <c r="AN166">
        <v>428090</v>
      </c>
      <c r="AO166">
        <v>1634812</v>
      </c>
      <c r="AP166">
        <v>0</v>
      </c>
      <c r="AQ166">
        <v>0</v>
      </c>
      <c r="AR166">
        <v>6</v>
      </c>
      <c r="AS166">
        <v>17</v>
      </c>
      <c r="AT166">
        <v>0</v>
      </c>
      <c r="AU166">
        <v>28</v>
      </c>
      <c r="AV166">
        <v>2</v>
      </c>
      <c r="AW166">
        <v>2</v>
      </c>
      <c r="AX166">
        <v>1</v>
      </c>
      <c r="AY166">
        <v>0</v>
      </c>
      <c r="AZ166">
        <v>2</v>
      </c>
      <c r="BA166">
        <v>9</v>
      </c>
      <c r="BB166">
        <v>25</v>
      </c>
      <c r="BC166">
        <v>3</v>
      </c>
      <c r="BD166">
        <v>2</v>
      </c>
      <c r="BE166">
        <v>0</v>
      </c>
      <c r="BF166">
        <v>5</v>
      </c>
      <c r="BG166">
        <v>0</v>
      </c>
      <c r="BH166">
        <v>13</v>
      </c>
      <c r="BI166">
        <v>4</v>
      </c>
      <c r="BJ166">
        <v>40.8967223</v>
      </c>
      <c r="BK166">
        <v>14.314826699999999</v>
      </c>
      <c r="BL166">
        <v>100</v>
      </c>
      <c r="BM166" t="s">
        <v>83</v>
      </c>
      <c r="BN166" t="s">
        <v>84</v>
      </c>
      <c r="BO166" t="s">
        <v>85</v>
      </c>
      <c r="BP166" t="s">
        <v>97</v>
      </c>
      <c r="BQ166" t="s">
        <v>98</v>
      </c>
      <c r="BR166" t="s">
        <v>99</v>
      </c>
      <c r="BS166">
        <v>3995417</v>
      </c>
      <c r="BT166">
        <v>1972656</v>
      </c>
      <c r="BU166">
        <v>0</v>
      </c>
      <c r="BV166">
        <v>685094</v>
      </c>
      <c r="BW166">
        <v>775688</v>
      </c>
      <c r="BX166">
        <v>561979</v>
      </c>
      <c r="BY166">
        <v>0</v>
      </c>
      <c r="BZ166">
        <v>1</v>
      </c>
      <c r="CA166" t="s">
        <v>100</v>
      </c>
      <c r="CB166" t="s">
        <v>101</v>
      </c>
      <c r="CC166" s="3">
        <v>46092.557106481479</v>
      </c>
      <c r="CD166" t="s">
        <v>91</v>
      </c>
    </row>
    <row r="167" spans="1:82" ht="16" x14ac:dyDescent="0.2">
      <c r="A167" t="s">
        <v>112</v>
      </c>
      <c r="B167" t="s">
        <v>113</v>
      </c>
      <c r="C167" t="s">
        <v>114</v>
      </c>
      <c r="D167" t="s">
        <v>78</v>
      </c>
      <c r="E167" t="s">
        <v>115</v>
      </c>
      <c r="F167">
        <v>4</v>
      </c>
      <c r="G167">
        <v>300</v>
      </c>
      <c r="H167" t="str">
        <f t="shared" si="15"/>
        <v>4x300</v>
      </c>
      <c r="I167">
        <v>665</v>
      </c>
      <c r="J167" s="4">
        <f t="shared" si="16"/>
        <v>9.2361111111111116E-2</v>
      </c>
      <c r="K167">
        <v>1004</v>
      </c>
      <c r="L167" s="4">
        <f t="shared" si="17"/>
        <v>0.13944444444444445</v>
      </c>
      <c r="M167">
        <v>1523</v>
      </c>
      <c r="N167" s="4">
        <f t="shared" si="18"/>
        <v>0.21152777777777779</v>
      </c>
      <c r="O167">
        <v>3040</v>
      </c>
      <c r="P167" s="4">
        <f t="shared" si="19"/>
        <v>0.42222222222222222</v>
      </c>
      <c r="Q167" s="6">
        <f t="shared" si="14"/>
        <v>2030</v>
      </c>
      <c r="R167" s="6">
        <f t="shared" si="20"/>
        <v>3</v>
      </c>
      <c r="S167">
        <v>245</v>
      </c>
      <c r="T167">
        <v>65</v>
      </c>
      <c r="U167">
        <v>343</v>
      </c>
      <c r="V167">
        <v>17</v>
      </c>
      <c r="W167">
        <v>-47</v>
      </c>
      <c r="X167">
        <v>71</v>
      </c>
      <c r="Y167" s="2" t="s">
        <v>116</v>
      </c>
      <c r="Z167">
        <v>41.928870099999997</v>
      </c>
      <c r="AA167">
        <v>12.4264882</v>
      </c>
      <c r="AB167" t="s">
        <v>78</v>
      </c>
      <c r="AC167" t="s">
        <v>81</v>
      </c>
      <c r="AD167" t="s">
        <v>82</v>
      </c>
      <c r="AE167">
        <v>71743</v>
      </c>
      <c r="AF167">
        <v>0</v>
      </c>
      <c r="AG167">
        <v>0</v>
      </c>
      <c r="AH167">
        <v>0</v>
      </c>
      <c r="AI167">
        <v>11849</v>
      </c>
      <c r="AJ167">
        <v>43407</v>
      </c>
      <c r="AK167">
        <v>16487</v>
      </c>
      <c r="AL167">
        <v>28995</v>
      </c>
      <c r="AM167">
        <v>101869</v>
      </c>
      <c r="AN167">
        <v>455657</v>
      </c>
      <c r="AO167">
        <v>1386162</v>
      </c>
      <c r="AP167">
        <v>1</v>
      </c>
      <c r="AQ167">
        <v>0</v>
      </c>
      <c r="AR167">
        <v>11</v>
      </c>
      <c r="AS167">
        <v>7</v>
      </c>
      <c r="AT167">
        <v>2</v>
      </c>
      <c r="AU167">
        <v>21</v>
      </c>
      <c r="AV167">
        <v>12</v>
      </c>
      <c r="AW167">
        <v>0</v>
      </c>
      <c r="AX167">
        <v>4</v>
      </c>
      <c r="AY167">
        <v>1</v>
      </c>
      <c r="AZ167">
        <v>1</v>
      </c>
      <c r="BA167">
        <v>6</v>
      </c>
      <c r="BB167">
        <v>51</v>
      </c>
      <c r="BC167">
        <v>6</v>
      </c>
      <c r="BD167">
        <v>0</v>
      </c>
      <c r="BE167">
        <v>0</v>
      </c>
      <c r="BF167">
        <v>0</v>
      </c>
      <c r="BG167">
        <v>0</v>
      </c>
      <c r="BH167">
        <v>6</v>
      </c>
      <c r="BI167">
        <v>0</v>
      </c>
      <c r="BJ167">
        <v>41.9288715</v>
      </c>
      <c r="BK167">
        <v>12.426523100000001</v>
      </c>
      <c r="BL167">
        <v>1200</v>
      </c>
      <c r="BM167" t="s">
        <v>83</v>
      </c>
      <c r="BN167" t="s">
        <v>84</v>
      </c>
      <c r="BO167" t="s">
        <v>85</v>
      </c>
      <c r="BP167" t="s">
        <v>86</v>
      </c>
      <c r="BQ167" t="s">
        <v>87</v>
      </c>
      <c r="BR167" t="s">
        <v>88</v>
      </c>
      <c r="BS167">
        <v>1434968</v>
      </c>
      <c r="BT167">
        <v>0</v>
      </c>
      <c r="BU167">
        <v>0</v>
      </c>
      <c r="BV167">
        <v>0</v>
      </c>
      <c r="BW167">
        <v>236994</v>
      </c>
      <c r="BX167">
        <v>868208</v>
      </c>
      <c r="BY167">
        <v>329766</v>
      </c>
      <c r="BZ167">
        <v>1</v>
      </c>
      <c r="CA167" t="s">
        <v>117</v>
      </c>
      <c r="CB167" t="s">
        <v>118</v>
      </c>
      <c r="CC167" s="3">
        <v>46092.557106481479</v>
      </c>
      <c r="CD167" t="s">
        <v>91</v>
      </c>
    </row>
    <row r="168" spans="1:82" ht="16" x14ac:dyDescent="0.2">
      <c r="A168" t="s">
        <v>119</v>
      </c>
      <c r="B168" t="s">
        <v>120</v>
      </c>
      <c r="C168" t="s">
        <v>121</v>
      </c>
      <c r="D168" t="s">
        <v>78</v>
      </c>
      <c r="E168" t="s">
        <v>122</v>
      </c>
      <c r="F168">
        <v>4</v>
      </c>
      <c r="G168">
        <v>300</v>
      </c>
      <c r="H168" t="str">
        <f t="shared" si="15"/>
        <v>4x300</v>
      </c>
      <c r="I168">
        <v>654</v>
      </c>
      <c r="J168" s="4">
        <f t="shared" si="16"/>
        <v>9.0833333333333335E-2</v>
      </c>
      <c r="K168">
        <v>988</v>
      </c>
      <c r="L168" s="4">
        <f t="shared" si="17"/>
        <v>0.13722222222222222</v>
      </c>
      <c r="M168">
        <v>1498</v>
      </c>
      <c r="N168" s="4">
        <f t="shared" si="18"/>
        <v>0.20805555555555555</v>
      </c>
      <c r="O168">
        <v>2989</v>
      </c>
      <c r="P168" s="4">
        <f t="shared" si="19"/>
        <v>0.41513888888888889</v>
      </c>
      <c r="Q168" s="6">
        <f t="shared" si="14"/>
        <v>2030</v>
      </c>
      <c r="R168" s="6">
        <f t="shared" si="20"/>
        <v>3</v>
      </c>
      <c r="S168">
        <v>245</v>
      </c>
      <c r="T168">
        <v>352</v>
      </c>
      <c r="U168">
        <v>0</v>
      </c>
      <c r="V168">
        <v>-4</v>
      </c>
      <c r="W168">
        <v>-17</v>
      </c>
      <c r="X168">
        <v>142</v>
      </c>
      <c r="Y168" s="2" t="s">
        <v>123</v>
      </c>
      <c r="Z168">
        <v>45.600717259890203</v>
      </c>
      <c r="AA168">
        <v>8.9451213134946101</v>
      </c>
      <c r="AB168" t="s">
        <v>78</v>
      </c>
      <c r="AC168" t="s">
        <v>81</v>
      </c>
      <c r="AD168" t="s">
        <v>82</v>
      </c>
      <c r="AE168">
        <v>252942</v>
      </c>
      <c r="AF168">
        <v>157355</v>
      </c>
      <c r="AG168">
        <v>0</v>
      </c>
      <c r="AH168">
        <v>57281</v>
      </c>
      <c r="AI168">
        <v>20959</v>
      </c>
      <c r="AJ168">
        <v>11524</v>
      </c>
      <c r="AK168">
        <v>5823</v>
      </c>
      <c r="AL168">
        <v>8622</v>
      </c>
      <c r="AM168">
        <v>36627</v>
      </c>
      <c r="AN168">
        <v>161039</v>
      </c>
      <c r="AO168">
        <v>539952</v>
      </c>
      <c r="AP168">
        <v>1</v>
      </c>
      <c r="AQ168">
        <v>0</v>
      </c>
      <c r="AR168">
        <v>8</v>
      </c>
      <c r="AS168">
        <v>3</v>
      </c>
      <c r="AT168">
        <v>1</v>
      </c>
      <c r="AU168">
        <v>29</v>
      </c>
      <c r="AV168">
        <v>2</v>
      </c>
      <c r="AW168">
        <v>2</v>
      </c>
      <c r="AX168">
        <v>2</v>
      </c>
      <c r="AY168">
        <v>0</v>
      </c>
      <c r="AZ168">
        <v>0</v>
      </c>
      <c r="BA168">
        <v>1</v>
      </c>
      <c r="BB168">
        <v>9</v>
      </c>
      <c r="BC168">
        <v>1</v>
      </c>
      <c r="BD168">
        <v>4</v>
      </c>
      <c r="BE168">
        <v>0</v>
      </c>
      <c r="BF168">
        <v>4</v>
      </c>
      <c r="BG168">
        <v>0</v>
      </c>
      <c r="BH168">
        <v>13</v>
      </c>
      <c r="BI168">
        <v>0</v>
      </c>
      <c r="BJ168">
        <v>45.600919900000001</v>
      </c>
      <c r="BK168">
        <v>8.9449299</v>
      </c>
      <c r="BL168">
        <v>1200</v>
      </c>
      <c r="BM168" t="s">
        <v>83</v>
      </c>
      <c r="BN168" t="s">
        <v>84</v>
      </c>
      <c r="BO168" t="s">
        <v>85</v>
      </c>
      <c r="BP168" t="s">
        <v>107</v>
      </c>
      <c r="BQ168" t="s">
        <v>108</v>
      </c>
      <c r="BR168" t="s">
        <v>109</v>
      </c>
      <c r="BS168">
        <v>6789902</v>
      </c>
      <c r="BT168">
        <v>4878027</v>
      </c>
      <c r="BU168">
        <v>0</v>
      </c>
      <c r="BV168">
        <v>1145646</v>
      </c>
      <c r="BW168">
        <v>419196</v>
      </c>
      <c r="BX168">
        <v>230560</v>
      </c>
      <c r="BY168">
        <v>116473</v>
      </c>
      <c r="BZ168">
        <v>1</v>
      </c>
      <c r="CA168" t="s">
        <v>124</v>
      </c>
      <c r="CB168" t="s">
        <v>125</v>
      </c>
      <c r="CC168" s="3">
        <v>46092.557106481479</v>
      </c>
      <c r="CD168" t="s">
        <v>91</v>
      </c>
    </row>
    <row r="169" spans="1:82" ht="16" x14ac:dyDescent="0.2">
      <c r="A169" t="s">
        <v>126</v>
      </c>
      <c r="B169" t="s">
        <v>127</v>
      </c>
      <c r="C169" t="s">
        <v>128</v>
      </c>
      <c r="D169" t="s">
        <v>78</v>
      </c>
      <c r="E169" t="s">
        <v>129</v>
      </c>
      <c r="F169">
        <v>4</v>
      </c>
      <c r="G169">
        <v>300</v>
      </c>
      <c r="H169" t="str">
        <f t="shared" si="15"/>
        <v>4x300</v>
      </c>
      <c r="I169">
        <v>651</v>
      </c>
      <c r="J169" s="4">
        <f t="shared" si="16"/>
        <v>9.0416666666666659E-2</v>
      </c>
      <c r="K169">
        <v>983</v>
      </c>
      <c r="L169" s="4">
        <f t="shared" si="17"/>
        <v>0.13652777777777778</v>
      </c>
      <c r="M169">
        <v>1491</v>
      </c>
      <c r="N169" s="4">
        <f t="shared" si="18"/>
        <v>0.20708333333333331</v>
      </c>
      <c r="O169">
        <v>2976</v>
      </c>
      <c r="P169" s="4">
        <f t="shared" si="19"/>
        <v>0.41333333333333333</v>
      </c>
      <c r="Q169" s="6">
        <f t="shared" si="14"/>
        <v>2030</v>
      </c>
      <c r="R169" s="6">
        <f t="shared" si="20"/>
        <v>3</v>
      </c>
      <c r="S169">
        <v>245</v>
      </c>
      <c r="T169">
        <v>66</v>
      </c>
      <c r="U169">
        <v>313</v>
      </c>
      <c r="V169">
        <v>-20</v>
      </c>
      <c r="W169">
        <v>4</v>
      </c>
      <c r="X169">
        <v>69</v>
      </c>
      <c r="Y169" s="2" t="s">
        <v>130</v>
      </c>
      <c r="Z169">
        <v>41.894616236880303</v>
      </c>
      <c r="AA169">
        <v>12.5923887897992</v>
      </c>
      <c r="AB169" t="s">
        <v>78</v>
      </c>
      <c r="AC169" t="s">
        <v>81</v>
      </c>
      <c r="AD169" t="s">
        <v>82</v>
      </c>
      <c r="AE169">
        <v>84466</v>
      </c>
      <c r="AF169">
        <v>0</v>
      </c>
      <c r="AG169">
        <v>0</v>
      </c>
      <c r="AH169">
        <v>0</v>
      </c>
      <c r="AI169">
        <v>0</v>
      </c>
      <c r="AJ169">
        <v>70217</v>
      </c>
      <c r="AK169">
        <v>14249</v>
      </c>
      <c r="AL169">
        <v>13480</v>
      </c>
      <c r="AM169">
        <v>57905</v>
      </c>
      <c r="AN169">
        <v>533259</v>
      </c>
      <c r="AO169">
        <v>1504552</v>
      </c>
      <c r="AP169">
        <v>0</v>
      </c>
      <c r="AQ169">
        <v>0</v>
      </c>
      <c r="AR169">
        <v>5</v>
      </c>
      <c r="AS169">
        <v>15</v>
      </c>
      <c r="AT169">
        <v>3</v>
      </c>
      <c r="AU169">
        <v>35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5</v>
      </c>
      <c r="BB169">
        <v>64</v>
      </c>
      <c r="BC169">
        <v>3</v>
      </c>
      <c r="BD169">
        <v>2</v>
      </c>
      <c r="BE169">
        <v>0</v>
      </c>
      <c r="BF169">
        <v>2</v>
      </c>
      <c r="BG169">
        <v>0</v>
      </c>
      <c r="BH169">
        <v>10</v>
      </c>
      <c r="BI169">
        <v>2</v>
      </c>
      <c r="BJ169">
        <v>41.894601000000002</v>
      </c>
      <c r="BK169">
        <v>12.5922201</v>
      </c>
      <c r="BL169">
        <v>1200</v>
      </c>
      <c r="BM169" t="s">
        <v>83</v>
      </c>
      <c r="BN169" t="s">
        <v>84</v>
      </c>
      <c r="BO169" t="s">
        <v>85</v>
      </c>
      <c r="BP169" t="s">
        <v>86</v>
      </c>
      <c r="BQ169" t="s">
        <v>87</v>
      </c>
      <c r="BR169" t="s">
        <v>88</v>
      </c>
      <c r="BS169">
        <v>1689420</v>
      </c>
      <c r="BT169">
        <v>0</v>
      </c>
      <c r="BU169">
        <v>0</v>
      </c>
      <c r="BV169">
        <v>0</v>
      </c>
      <c r="BW169">
        <v>0</v>
      </c>
      <c r="BX169">
        <v>1404423</v>
      </c>
      <c r="BY169">
        <v>284997</v>
      </c>
      <c r="BZ169">
        <v>1</v>
      </c>
      <c r="CA169" t="s">
        <v>131</v>
      </c>
      <c r="CB169" t="s">
        <v>132</v>
      </c>
      <c r="CC169" s="3">
        <v>46092.557106481479</v>
      </c>
      <c r="CD169" t="s">
        <v>91</v>
      </c>
    </row>
    <row r="170" spans="1:82" ht="16" x14ac:dyDescent="0.2">
      <c r="A170" t="s">
        <v>133</v>
      </c>
      <c r="B170" t="s">
        <v>134</v>
      </c>
      <c r="C170" t="s">
        <v>135</v>
      </c>
      <c r="D170" t="s">
        <v>78</v>
      </c>
      <c r="E170" t="s">
        <v>136</v>
      </c>
      <c r="F170">
        <v>4</v>
      </c>
      <c r="G170">
        <v>300</v>
      </c>
      <c r="H170" t="str">
        <f t="shared" si="15"/>
        <v>4x300</v>
      </c>
      <c r="I170">
        <v>648</v>
      </c>
      <c r="J170" s="4">
        <f t="shared" si="16"/>
        <v>9.0000000000000011E-2</v>
      </c>
      <c r="K170">
        <v>979</v>
      </c>
      <c r="L170" s="4">
        <f t="shared" si="17"/>
        <v>0.13597222222222222</v>
      </c>
      <c r="M170">
        <v>1485</v>
      </c>
      <c r="N170" s="4">
        <f t="shared" si="18"/>
        <v>0.20625000000000002</v>
      </c>
      <c r="O170">
        <v>2963</v>
      </c>
      <c r="P170" s="4">
        <f t="shared" si="19"/>
        <v>0.41152777777777777</v>
      </c>
      <c r="Q170" s="6">
        <f t="shared" si="14"/>
        <v>2030</v>
      </c>
      <c r="R170" s="6">
        <f t="shared" si="20"/>
        <v>3</v>
      </c>
      <c r="S170">
        <v>245</v>
      </c>
      <c r="T170">
        <v>297</v>
      </c>
      <c r="U170">
        <v>20</v>
      </c>
      <c r="V170">
        <v>-6</v>
      </c>
      <c r="W170">
        <v>15</v>
      </c>
      <c r="X170">
        <v>129</v>
      </c>
      <c r="Y170" s="2" t="s">
        <v>137</v>
      </c>
      <c r="Z170">
        <v>41.803817938277803</v>
      </c>
      <c r="AA170">
        <v>12.5360536202419</v>
      </c>
      <c r="AB170" t="s">
        <v>78</v>
      </c>
      <c r="AC170" t="s">
        <v>81</v>
      </c>
      <c r="AD170" t="s">
        <v>82</v>
      </c>
      <c r="AE170">
        <v>156678</v>
      </c>
      <c r="AF170">
        <v>127552</v>
      </c>
      <c r="AG170">
        <v>0</v>
      </c>
      <c r="AH170">
        <v>0</v>
      </c>
      <c r="AI170">
        <v>0</v>
      </c>
      <c r="AJ170">
        <v>29126</v>
      </c>
      <c r="AK170">
        <v>0</v>
      </c>
      <c r="AL170">
        <v>1206</v>
      </c>
      <c r="AM170">
        <v>5406</v>
      </c>
      <c r="AN170">
        <v>104329</v>
      </c>
      <c r="AO170">
        <v>1076847</v>
      </c>
      <c r="AP170">
        <v>0</v>
      </c>
      <c r="AQ170">
        <v>0</v>
      </c>
      <c r="AR170">
        <v>2</v>
      </c>
      <c r="AS170">
        <v>3</v>
      </c>
      <c r="AT170">
        <v>1</v>
      </c>
      <c r="AU170">
        <v>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1</v>
      </c>
      <c r="BD170">
        <v>2</v>
      </c>
      <c r="BE170">
        <v>0</v>
      </c>
      <c r="BF170">
        <v>2</v>
      </c>
      <c r="BG170">
        <v>0</v>
      </c>
      <c r="BH170">
        <v>2</v>
      </c>
      <c r="BI170">
        <v>0</v>
      </c>
      <c r="BJ170">
        <v>41.803727899999998</v>
      </c>
      <c r="BK170">
        <v>12.535937799999999</v>
      </c>
      <c r="BL170">
        <v>1200</v>
      </c>
      <c r="BM170" t="s">
        <v>83</v>
      </c>
      <c r="BN170" t="s">
        <v>84</v>
      </c>
      <c r="BO170" t="s">
        <v>85</v>
      </c>
      <c r="BP170" t="s">
        <v>86</v>
      </c>
      <c r="BQ170" t="s">
        <v>87</v>
      </c>
      <c r="BR170" t="s">
        <v>88</v>
      </c>
      <c r="BS170">
        <v>4470262</v>
      </c>
      <c r="BT170">
        <v>3887697</v>
      </c>
      <c r="BU170">
        <v>0</v>
      </c>
      <c r="BV170">
        <v>0</v>
      </c>
      <c r="BW170">
        <v>0</v>
      </c>
      <c r="BX170">
        <v>582565</v>
      </c>
      <c r="BY170">
        <v>0</v>
      </c>
      <c r="BZ170">
        <v>1</v>
      </c>
      <c r="CA170" t="s">
        <v>138</v>
      </c>
      <c r="CB170" t="s">
        <v>139</v>
      </c>
      <c r="CC170" s="3">
        <v>46092.557106481479</v>
      </c>
      <c r="CD170" t="s">
        <v>91</v>
      </c>
    </row>
    <row r="171" spans="1:82" ht="16" x14ac:dyDescent="0.2">
      <c r="A171" t="s">
        <v>140</v>
      </c>
      <c r="B171" t="s">
        <v>141</v>
      </c>
      <c r="C171" t="s">
        <v>142</v>
      </c>
      <c r="D171" t="s">
        <v>78</v>
      </c>
      <c r="E171" t="s">
        <v>143</v>
      </c>
      <c r="F171">
        <v>4</v>
      </c>
      <c r="G171">
        <v>300</v>
      </c>
      <c r="H171" t="str">
        <f t="shared" si="15"/>
        <v>4x300</v>
      </c>
      <c r="I171">
        <v>648</v>
      </c>
      <c r="J171" s="4">
        <f t="shared" si="16"/>
        <v>9.0000000000000011E-2</v>
      </c>
      <c r="K171">
        <v>978</v>
      </c>
      <c r="L171" s="4">
        <f t="shared" si="17"/>
        <v>0.13583333333333333</v>
      </c>
      <c r="M171">
        <v>1484</v>
      </c>
      <c r="N171" s="4">
        <f t="shared" si="18"/>
        <v>0.20611111111111111</v>
      </c>
      <c r="O171">
        <v>2961</v>
      </c>
      <c r="P171" s="4">
        <f t="shared" si="19"/>
        <v>0.41124999999999995</v>
      </c>
      <c r="Q171" s="6">
        <f t="shared" si="14"/>
        <v>2030</v>
      </c>
      <c r="R171" s="6">
        <f t="shared" si="20"/>
        <v>3</v>
      </c>
      <c r="S171">
        <v>245</v>
      </c>
      <c r="T171">
        <v>392</v>
      </c>
      <c r="U171">
        <v>1</v>
      </c>
      <c r="V171">
        <v>-16</v>
      </c>
      <c r="W171">
        <v>-48</v>
      </c>
      <c r="X171">
        <v>127</v>
      </c>
      <c r="Y171" s="2" t="s">
        <v>144</v>
      </c>
      <c r="Z171">
        <v>45.568136038612302</v>
      </c>
      <c r="AA171">
        <v>9.3606754183960295</v>
      </c>
      <c r="AB171" t="s">
        <v>78</v>
      </c>
      <c r="AC171" t="s">
        <v>81</v>
      </c>
      <c r="AD171" t="s">
        <v>82</v>
      </c>
      <c r="AE171">
        <v>327443</v>
      </c>
      <c r="AF171">
        <v>244059</v>
      </c>
      <c r="AG171">
        <v>0</v>
      </c>
      <c r="AH171">
        <v>46114</v>
      </c>
      <c r="AI171">
        <v>20734</v>
      </c>
      <c r="AJ171">
        <v>14126</v>
      </c>
      <c r="AK171">
        <v>2410</v>
      </c>
      <c r="AL171">
        <v>4975</v>
      </c>
      <c r="AM171">
        <v>22296</v>
      </c>
      <c r="AN171">
        <v>135209</v>
      </c>
      <c r="AO171">
        <v>665201</v>
      </c>
      <c r="AP171">
        <v>1</v>
      </c>
      <c r="AQ171">
        <v>2</v>
      </c>
      <c r="AR171">
        <v>4</v>
      </c>
      <c r="AS171">
        <v>2</v>
      </c>
      <c r="AT171">
        <v>0</v>
      </c>
      <c r="AU171">
        <v>15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11</v>
      </c>
      <c r="BB171">
        <v>34</v>
      </c>
      <c r="BC171">
        <v>2</v>
      </c>
      <c r="BD171">
        <v>5</v>
      </c>
      <c r="BE171">
        <v>4</v>
      </c>
      <c r="BF171">
        <v>7</v>
      </c>
      <c r="BG171">
        <v>4</v>
      </c>
      <c r="BH171">
        <v>13</v>
      </c>
      <c r="BI171">
        <v>14</v>
      </c>
      <c r="BJ171">
        <v>45.568189400000001</v>
      </c>
      <c r="BK171">
        <v>9.3606765000000003</v>
      </c>
      <c r="BL171">
        <v>1200</v>
      </c>
      <c r="BM171" t="s">
        <v>83</v>
      </c>
      <c r="BN171" t="s">
        <v>84</v>
      </c>
      <c r="BO171" t="s">
        <v>85</v>
      </c>
      <c r="BP171" t="s">
        <v>107</v>
      </c>
      <c r="BQ171" t="s">
        <v>108</v>
      </c>
      <c r="BR171" t="s">
        <v>145</v>
      </c>
      <c r="BS171">
        <v>8704894</v>
      </c>
      <c r="BT171">
        <v>7037009</v>
      </c>
      <c r="BU171">
        <v>0</v>
      </c>
      <c r="BV171">
        <v>922319</v>
      </c>
      <c r="BW171">
        <v>414700</v>
      </c>
      <c r="BX171">
        <v>282618</v>
      </c>
      <c r="BY171">
        <v>48248</v>
      </c>
      <c r="BZ171">
        <v>1</v>
      </c>
      <c r="CA171" t="s">
        <v>146</v>
      </c>
      <c r="CB171" t="s">
        <v>147</v>
      </c>
      <c r="CC171" s="3">
        <v>46092.557106481479</v>
      </c>
      <c r="CD171" t="s">
        <v>91</v>
      </c>
    </row>
    <row r="172" spans="1:82" ht="16" x14ac:dyDescent="0.2">
      <c r="A172" t="s">
        <v>148</v>
      </c>
      <c r="B172" t="s">
        <v>149</v>
      </c>
      <c r="C172" t="s">
        <v>150</v>
      </c>
      <c r="D172" t="s">
        <v>78</v>
      </c>
      <c r="E172" t="s">
        <v>151</v>
      </c>
      <c r="F172">
        <v>4</v>
      </c>
      <c r="G172">
        <v>300</v>
      </c>
      <c r="H172" t="str">
        <f t="shared" si="15"/>
        <v>4x300</v>
      </c>
      <c r="I172">
        <v>642</v>
      </c>
      <c r="J172" s="4">
        <f t="shared" si="16"/>
        <v>8.9166666666666672E-2</v>
      </c>
      <c r="K172">
        <v>969</v>
      </c>
      <c r="L172" s="4">
        <f t="shared" si="17"/>
        <v>0.13458333333333333</v>
      </c>
      <c r="M172">
        <v>1469</v>
      </c>
      <c r="N172" s="4">
        <f t="shared" si="18"/>
        <v>0.20402777777777778</v>
      </c>
      <c r="O172">
        <v>2933</v>
      </c>
      <c r="P172" s="4">
        <f t="shared" si="19"/>
        <v>0.40736111111111112</v>
      </c>
      <c r="Q172" s="6">
        <f t="shared" si="14"/>
        <v>2030</v>
      </c>
      <c r="R172" s="6">
        <f t="shared" si="20"/>
        <v>3</v>
      </c>
      <c r="S172">
        <v>245</v>
      </c>
      <c r="T172">
        <v>58</v>
      </c>
      <c r="U172">
        <v>351</v>
      </c>
      <c r="V172">
        <v>-69</v>
      </c>
      <c r="W172">
        <v>12</v>
      </c>
      <c r="X172">
        <v>67</v>
      </c>
      <c r="Y172" s="2" t="s">
        <v>152</v>
      </c>
      <c r="Z172">
        <v>41.850650000000002</v>
      </c>
      <c r="AA172">
        <v>12.57145</v>
      </c>
      <c r="AB172" t="s">
        <v>78</v>
      </c>
      <c r="AC172" t="s">
        <v>81</v>
      </c>
      <c r="AD172" t="s">
        <v>82</v>
      </c>
      <c r="AE172">
        <v>69194</v>
      </c>
      <c r="AF172">
        <v>0</v>
      </c>
      <c r="AG172">
        <v>0</v>
      </c>
      <c r="AH172">
        <v>39633</v>
      </c>
      <c r="AI172">
        <v>0</v>
      </c>
      <c r="AJ172">
        <v>23230</v>
      </c>
      <c r="AK172">
        <v>6331</v>
      </c>
      <c r="AL172">
        <v>25809</v>
      </c>
      <c r="AM172">
        <v>105921</v>
      </c>
      <c r="AN172">
        <v>470428</v>
      </c>
      <c r="AO172">
        <v>1507756</v>
      </c>
      <c r="AP172">
        <v>1</v>
      </c>
      <c r="AQ172">
        <v>0</v>
      </c>
      <c r="AR172">
        <v>1</v>
      </c>
      <c r="AS172">
        <v>7</v>
      </c>
      <c r="AT172">
        <v>0</v>
      </c>
      <c r="AU172">
        <v>27</v>
      </c>
      <c r="AV172">
        <v>3</v>
      </c>
      <c r="AW172">
        <v>1</v>
      </c>
      <c r="AX172">
        <v>0</v>
      </c>
      <c r="AY172">
        <v>2</v>
      </c>
      <c r="AZ172">
        <v>2</v>
      </c>
      <c r="BA172">
        <v>33</v>
      </c>
      <c r="BB172">
        <v>89</v>
      </c>
      <c r="BC172">
        <v>17</v>
      </c>
      <c r="BD172">
        <v>2</v>
      </c>
      <c r="BE172">
        <v>0</v>
      </c>
      <c r="BF172">
        <v>6</v>
      </c>
      <c r="BG172">
        <v>0</v>
      </c>
      <c r="BH172">
        <v>22</v>
      </c>
      <c r="BI172">
        <v>0</v>
      </c>
      <c r="BJ172">
        <v>41.8505155</v>
      </c>
      <c r="BK172">
        <v>12.5713249</v>
      </c>
      <c r="BL172">
        <v>1200</v>
      </c>
      <c r="BM172" t="s">
        <v>83</v>
      </c>
      <c r="BN172" t="s">
        <v>84</v>
      </c>
      <c r="BO172" t="s">
        <v>85</v>
      </c>
      <c r="BP172" t="s">
        <v>86</v>
      </c>
      <c r="BQ172" t="s">
        <v>87</v>
      </c>
      <c r="BR172" t="s">
        <v>88</v>
      </c>
      <c r="BS172">
        <v>1479137</v>
      </c>
      <c r="BT172">
        <v>0</v>
      </c>
      <c r="BU172">
        <v>0</v>
      </c>
      <c r="BV172">
        <v>940852</v>
      </c>
      <c r="BW172">
        <v>0</v>
      </c>
      <c r="BX172">
        <v>464612</v>
      </c>
      <c r="BY172">
        <v>73673</v>
      </c>
      <c r="BZ172">
        <v>1</v>
      </c>
      <c r="CA172" t="s">
        <v>153</v>
      </c>
      <c r="CB172" t="s">
        <v>154</v>
      </c>
      <c r="CC172" s="3">
        <v>46092.557106481479</v>
      </c>
      <c r="CD172" t="s">
        <v>91</v>
      </c>
    </row>
    <row r="173" spans="1:82" ht="16" x14ac:dyDescent="0.2">
      <c r="A173" t="s">
        <v>155</v>
      </c>
      <c r="B173" t="s">
        <v>156</v>
      </c>
      <c r="C173" t="s">
        <v>157</v>
      </c>
      <c r="D173" t="s">
        <v>78</v>
      </c>
      <c r="E173" t="s">
        <v>158</v>
      </c>
      <c r="F173">
        <v>4</v>
      </c>
      <c r="G173">
        <v>300</v>
      </c>
      <c r="H173" t="str">
        <f t="shared" si="15"/>
        <v>4x300</v>
      </c>
      <c r="I173">
        <v>601</v>
      </c>
      <c r="J173" s="4">
        <f t="shared" si="16"/>
        <v>8.3472222222222225E-2</v>
      </c>
      <c r="K173">
        <v>908</v>
      </c>
      <c r="L173" s="4">
        <f t="shared" si="17"/>
        <v>0.12611111111111112</v>
      </c>
      <c r="M173">
        <v>1377</v>
      </c>
      <c r="N173" s="4">
        <f t="shared" si="18"/>
        <v>0.19125</v>
      </c>
      <c r="O173">
        <v>2748</v>
      </c>
      <c r="P173" s="4">
        <f t="shared" si="19"/>
        <v>0.38166666666666665</v>
      </c>
      <c r="Q173" s="6">
        <f t="shared" si="14"/>
        <v>2030</v>
      </c>
      <c r="R173" s="6">
        <f t="shared" si="20"/>
        <v>3</v>
      </c>
      <c r="S173">
        <v>245</v>
      </c>
      <c r="T173">
        <v>217</v>
      </c>
      <c r="U173">
        <v>-21</v>
      </c>
      <c r="V173">
        <v>39</v>
      </c>
      <c r="W173">
        <v>61</v>
      </c>
      <c r="X173">
        <v>100</v>
      </c>
      <c r="Y173" s="2" t="s">
        <v>159</v>
      </c>
      <c r="Z173">
        <v>45.4338540483541</v>
      </c>
      <c r="AA173">
        <v>10.7103439220878</v>
      </c>
      <c r="AB173" t="s">
        <v>78</v>
      </c>
      <c r="AC173" t="s">
        <v>81</v>
      </c>
      <c r="AD173" t="s">
        <v>82</v>
      </c>
      <c r="AE173">
        <v>105937</v>
      </c>
      <c r="AF173">
        <v>0</v>
      </c>
      <c r="AG173">
        <v>0</v>
      </c>
      <c r="AH173">
        <v>61446</v>
      </c>
      <c r="AI173">
        <v>41034</v>
      </c>
      <c r="AJ173">
        <v>3457</v>
      </c>
      <c r="AK173">
        <v>0</v>
      </c>
      <c r="AL173">
        <v>1396</v>
      </c>
      <c r="AM173">
        <v>6623</v>
      </c>
      <c r="AN173">
        <v>27804</v>
      </c>
      <c r="AO173">
        <v>76802</v>
      </c>
      <c r="AP173">
        <v>0</v>
      </c>
      <c r="AQ173">
        <v>0</v>
      </c>
      <c r="AR173">
        <v>3</v>
      </c>
      <c r="AS173">
        <v>12</v>
      </c>
      <c r="AT173">
        <v>0</v>
      </c>
      <c r="AU173">
        <v>6</v>
      </c>
      <c r="AV173">
        <v>5</v>
      </c>
      <c r="AW173">
        <v>2</v>
      </c>
      <c r="AX173">
        <v>0</v>
      </c>
      <c r="AY173">
        <v>0</v>
      </c>
      <c r="AZ173">
        <v>0</v>
      </c>
      <c r="BA173">
        <v>5</v>
      </c>
      <c r="BB173">
        <v>12</v>
      </c>
      <c r="BC173">
        <v>1</v>
      </c>
      <c r="BD173">
        <v>0</v>
      </c>
      <c r="BE173">
        <v>16</v>
      </c>
      <c r="BF173">
        <v>4</v>
      </c>
      <c r="BG173">
        <v>16</v>
      </c>
      <c r="BH173">
        <v>4</v>
      </c>
      <c r="BI173">
        <v>16</v>
      </c>
      <c r="BJ173">
        <v>45.433860000000003</v>
      </c>
      <c r="BK173">
        <v>10.710333500000001</v>
      </c>
      <c r="BL173">
        <v>1200</v>
      </c>
      <c r="BM173" t="s">
        <v>83</v>
      </c>
      <c r="BN173" t="s">
        <v>84</v>
      </c>
      <c r="BO173" t="s">
        <v>85</v>
      </c>
      <c r="BP173" t="s">
        <v>160</v>
      </c>
      <c r="BQ173" t="s">
        <v>161</v>
      </c>
      <c r="BR173" t="s">
        <v>162</v>
      </c>
      <c r="BS173">
        <v>2253749</v>
      </c>
      <c r="BT173">
        <v>0</v>
      </c>
      <c r="BU173">
        <v>0</v>
      </c>
      <c r="BV173">
        <v>1363843</v>
      </c>
      <c r="BW173">
        <v>820723</v>
      </c>
      <c r="BX173">
        <v>69183</v>
      </c>
      <c r="BY173">
        <v>0</v>
      </c>
      <c r="BZ173">
        <v>1</v>
      </c>
      <c r="CA173" t="s">
        <v>163</v>
      </c>
      <c r="CB173" t="s">
        <v>164</v>
      </c>
      <c r="CC173" s="3">
        <v>46092.557106481479</v>
      </c>
      <c r="CD173" t="s">
        <v>91</v>
      </c>
    </row>
    <row r="174" spans="1:82" ht="16" x14ac:dyDescent="0.2">
      <c r="A174" t="s">
        <v>165</v>
      </c>
      <c r="B174" t="s">
        <v>166</v>
      </c>
      <c r="C174" t="s">
        <v>167</v>
      </c>
      <c r="D174" t="s">
        <v>78</v>
      </c>
      <c r="E174" t="s">
        <v>168</v>
      </c>
      <c r="F174">
        <v>4</v>
      </c>
      <c r="G174">
        <v>300</v>
      </c>
      <c r="H174" t="str">
        <f t="shared" si="15"/>
        <v>4x300</v>
      </c>
      <c r="I174">
        <v>556</v>
      </c>
      <c r="J174" s="4">
        <f t="shared" si="16"/>
        <v>7.722222222222222E-2</v>
      </c>
      <c r="K174">
        <v>840</v>
      </c>
      <c r="L174" s="4">
        <f t="shared" si="17"/>
        <v>0.11666666666666665</v>
      </c>
      <c r="M174">
        <v>1274</v>
      </c>
      <c r="N174" s="4">
        <f t="shared" si="18"/>
        <v>0.17694444444444446</v>
      </c>
      <c r="O174">
        <v>2543</v>
      </c>
      <c r="P174" s="4">
        <f t="shared" si="19"/>
        <v>0.35319444444444442</v>
      </c>
      <c r="Q174" s="6">
        <f t="shared" si="14"/>
        <v>2030</v>
      </c>
      <c r="R174" s="6">
        <f t="shared" si="20"/>
        <v>3</v>
      </c>
      <c r="S174">
        <v>245</v>
      </c>
      <c r="T174">
        <v>241</v>
      </c>
      <c r="U174">
        <v>-25</v>
      </c>
      <c r="V174">
        <v>-39</v>
      </c>
      <c r="W174">
        <v>59</v>
      </c>
      <c r="X174">
        <v>125</v>
      </c>
      <c r="Y174" s="2" t="s">
        <v>169</v>
      </c>
      <c r="Z174">
        <v>44.820818000000003</v>
      </c>
      <c r="AA174">
        <v>10.332241</v>
      </c>
      <c r="AB174" t="s">
        <v>78</v>
      </c>
      <c r="AC174" t="s">
        <v>81</v>
      </c>
      <c r="AD174" t="s">
        <v>82</v>
      </c>
      <c r="AE174">
        <v>201760</v>
      </c>
      <c r="AF174">
        <v>0</v>
      </c>
      <c r="AG174">
        <v>0</v>
      </c>
      <c r="AH174">
        <v>71258</v>
      </c>
      <c r="AI174">
        <v>52023</v>
      </c>
      <c r="AJ174">
        <v>75073</v>
      </c>
      <c r="AK174">
        <v>3406</v>
      </c>
      <c r="AL174">
        <v>9553</v>
      </c>
      <c r="AM174">
        <v>34190</v>
      </c>
      <c r="AN174">
        <v>153370</v>
      </c>
      <c r="AO174">
        <v>207595</v>
      </c>
      <c r="AP174">
        <v>0</v>
      </c>
      <c r="AQ174">
        <v>3</v>
      </c>
      <c r="AR174">
        <v>3</v>
      </c>
      <c r="AS174">
        <v>5</v>
      </c>
      <c r="AT174">
        <v>2</v>
      </c>
      <c r="AU174">
        <v>21</v>
      </c>
      <c r="AV174">
        <v>3</v>
      </c>
      <c r="AW174">
        <v>0</v>
      </c>
      <c r="AX174">
        <v>0</v>
      </c>
      <c r="AY174">
        <v>1</v>
      </c>
      <c r="AZ174">
        <v>2</v>
      </c>
      <c r="BA174">
        <v>15</v>
      </c>
      <c r="BB174">
        <v>60</v>
      </c>
      <c r="BC174">
        <v>11</v>
      </c>
      <c r="BD174">
        <v>2</v>
      </c>
      <c r="BE174">
        <v>20</v>
      </c>
      <c r="BF174">
        <v>4</v>
      </c>
      <c r="BG174">
        <v>20</v>
      </c>
      <c r="BH174">
        <v>10</v>
      </c>
      <c r="BI174">
        <v>20</v>
      </c>
      <c r="BJ174">
        <v>44.820796899999998</v>
      </c>
      <c r="BK174">
        <v>10.3322363</v>
      </c>
      <c r="BL174">
        <v>1200</v>
      </c>
      <c r="BM174" t="s">
        <v>83</v>
      </c>
      <c r="BN174" t="s">
        <v>84</v>
      </c>
      <c r="BO174" t="s">
        <v>85</v>
      </c>
      <c r="BP174" t="s">
        <v>160</v>
      </c>
      <c r="BQ174" t="s">
        <v>170</v>
      </c>
      <c r="BR174" t="s">
        <v>171</v>
      </c>
      <c r="BS174">
        <v>4202178</v>
      </c>
      <c r="BT174">
        <v>0</v>
      </c>
      <c r="BU174">
        <v>0</v>
      </c>
      <c r="BV174">
        <v>1591916</v>
      </c>
      <c r="BW174">
        <v>1040534</v>
      </c>
      <c r="BX174">
        <v>1501607</v>
      </c>
      <c r="BY174">
        <v>68121</v>
      </c>
      <c r="BZ174">
        <v>1</v>
      </c>
      <c r="CA174" t="s">
        <v>172</v>
      </c>
      <c r="CB174" t="s">
        <v>173</v>
      </c>
      <c r="CC174" s="3">
        <v>46092.557106481479</v>
      </c>
      <c r="CD174" t="s">
        <v>91</v>
      </c>
    </row>
    <row r="175" spans="1:82" ht="16" x14ac:dyDescent="0.2">
      <c r="A175" t="s">
        <v>174</v>
      </c>
      <c r="B175" t="s">
        <v>175</v>
      </c>
      <c r="C175" t="s">
        <v>176</v>
      </c>
      <c r="D175" t="s">
        <v>78</v>
      </c>
      <c r="E175" t="s">
        <v>177</v>
      </c>
      <c r="F175">
        <v>4</v>
      </c>
      <c r="G175">
        <v>300</v>
      </c>
      <c r="H175" t="str">
        <f t="shared" si="15"/>
        <v>4x300</v>
      </c>
      <c r="I175">
        <v>551</v>
      </c>
      <c r="J175" s="4">
        <f t="shared" si="16"/>
        <v>7.6527777777777778E-2</v>
      </c>
      <c r="K175">
        <v>833</v>
      </c>
      <c r="L175" s="4">
        <f t="shared" si="17"/>
        <v>0.11569444444444445</v>
      </c>
      <c r="M175">
        <v>1263</v>
      </c>
      <c r="N175" s="4">
        <f t="shared" si="18"/>
        <v>0.17541666666666667</v>
      </c>
      <c r="O175">
        <v>2520</v>
      </c>
      <c r="P175" s="4">
        <f t="shared" si="19"/>
        <v>0.35000000000000003</v>
      </c>
      <c r="Q175" s="6">
        <f t="shared" si="14"/>
        <v>2030</v>
      </c>
      <c r="R175" s="6">
        <f t="shared" si="20"/>
        <v>3</v>
      </c>
      <c r="S175">
        <v>245</v>
      </c>
      <c r="T175">
        <v>329</v>
      </c>
      <c r="U175">
        <v>-35</v>
      </c>
      <c r="V175">
        <v>-26</v>
      </c>
      <c r="W175">
        <v>-36</v>
      </c>
      <c r="X175">
        <v>122</v>
      </c>
      <c r="Y175" s="2" t="s">
        <v>178</v>
      </c>
      <c r="Z175">
        <v>45.577500000000001</v>
      </c>
      <c r="AA175">
        <v>10.00915</v>
      </c>
      <c r="AB175" t="s">
        <v>78</v>
      </c>
      <c r="AC175" t="s">
        <v>81</v>
      </c>
      <c r="AD175" t="s">
        <v>82</v>
      </c>
      <c r="AE175">
        <v>159824</v>
      </c>
      <c r="AF175">
        <v>126382</v>
      </c>
      <c r="AG175">
        <v>0</v>
      </c>
      <c r="AH175">
        <v>0</v>
      </c>
      <c r="AI175">
        <v>0</v>
      </c>
      <c r="AJ175">
        <v>26752</v>
      </c>
      <c r="AK175">
        <v>6690</v>
      </c>
      <c r="AL175">
        <v>4300</v>
      </c>
      <c r="AM175">
        <v>14821</v>
      </c>
      <c r="AN175">
        <v>52258</v>
      </c>
      <c r="AO175">
        <v>205609</v>
      </c>
      <c r="AP175">
        <v>0</v>
      </c>
      <c r="AQ175">
        <v>1</v>
      </c>
      <c r="AR175">
        <v>1</v>
      </c>
      <c r="AS175">
        <v>2</v>
      </c>
      <c r="AT175">
        <v>0</v>
      </c>
      <c r="AU175">
        <v>14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13</v>
      </c>
      <c r="BB175">
        <v>39</v>
      </c>
      <c r="BC175">
        <v>8</v>
      </c>
      <c r="BD175">
        <v>7</v>
      </c>
      <c r="BE175">
        <v>0</v>
      </c>
      <c r="BF175">
        <v>10</v>
      </c>
      <c r="BG175">
        <v>2</v>
      </c>
      <c r="BH175">
        <v>16</v>
      </c>
      <c r="BI175">
        <v>2</v>
      </c>
      <c r="BJ175">
        <v>45.577409899999999</v>
      </c>
      <c r="BK175">
        <v>10.00916</v>
      </c>
      <c r="BL175">
        <v>1200</v>
      </c>
      <c r="BM175" t="s">
        <v>83</v>
      </c>
      <c r="BN175" t="s">
        <v>84</v>
      </c>
      <c r="BO175" t="s">
        <v>85</v>
      </c>
      <c r="BP175" t="s">
        <v>107</v>
      </c>
      <c r="BQ175" t="s">
        <v>108</v>
      </c>
      <c r="BR175" t="s">
        <v>179</v>
      </c>
      <c r="BS175">
        <v>4460436</v>
      </c>
      <c r="BT175">
        <v>3791508</v>
      </c>
      <c r="BU175">
        <v>0</v>
      </c>
      <c r="BV175">
        <v>0</v>
      </c>
      <c r="BW175">
        <v>0</v>
      </c>
      <c r="BX175">
        <v>535072</v>
      </c>
      <c r="BY175">
        <v>133856</v>
      </c>
      <c r="BZ175">
        <v>1</v>
      </c>
      <c r="CA175" t="s">
        <v>180</v>
      </c>
      <c r="CB175" t="s">
        <v>181</v>
      </c>
      <c r="CC175" s="3">
        <v>46092.557106481479</v>
      </c>
      <c r="CD175" t="s">
        <v>91</v>
      </c>
    </row>
    <row r="176" spans="1:82" ht="16" x14ac:dyDescent="0.2">
      <c r="A176" t="s">
        <v>182</v>
      </c>
      <c r="B176" t="s">
        <v>183</v>
      </c>
      <c r="C176" t="s">
        <v>184</v>
      </c>
      <c r="D176" t="s">
        <v>78</v>
      </c>
      <c r="E176" t="s">
        <v>185</v>
      </c>
      <c r="F176">
        <v>4</v>
      </c>
      <c r="G176">
        <v>300</v>
      </c>
      <c r="H176" t="str">
        <f t="shared" si="15"/>
        <v>4x300</v>
      </c>
      <c r="I176">
        <v>543</v>
      </c>
      <c r="J176" s="4">
        <f t="shared" si="16"/>
        <v>7.5416666666666674E-2</v>
      </c>
      <c r="K176">
        <v>820</v>
      </c>
      <c r="L176" s="4">
        <f t="shared" si="17"/>
        <v>0.11388888888888889</v>
      </c>
      <c r="M176">
        <v>1243</v>
      </c>
      <c r="N176" s="4">
        <f t="shared" si="18"/>
        <v>0.1726388888888889</v>
      </c>
      <c r="O176">
        <v>2480</v>
      </c>
      <c r="P176" s="4">
        <f t="shared" si="19"/>
        <v>0.3444444444444445</v>
      </c>
      <c r="Q176" s="6">
        <f t="shared" si="14"/>
        <v>2030</v>
      </c>
      <c r="R176" s="6">
        <f t="shared" si="20"/>
        <v>3</v>
      </c>
      <c r="S176">
        <v>245</v>
      </c>
      <c r="T176">
        <v>221</v>
      </c>
      <c r="U176">
        <v>-41</v>
      </c>
      <c r="V176">
        <v>17</v>
      </c>
      <c r="W176">
        <v>13</v>
      </c>
      <c r="X176">
        <v>144</v>
      </c>
      <c r="Y176" s="2" t="s">
        <v>186</v>
      </c>
      <c r="Z176">
        <v>40.375902000000004</v>
      </c>
      <c r="AA176">
        <v>18.148140000000001</v>
      </c>
      <c r="AB176" t="s">
        <v>78</v>
      </c>
      <c r="AC176" t="s">
        <v>81</v>
      </c>
      <c r="AD176" t="s">
        <v>82</v>
      </c>
      <c r="AE176">
        <v>136632</v>
      </c>
      <c r="AF176">
        <v>0</v>
      </c>
      <c r="AG176">
        <v>80496</v>
      </c>
      <c r="AH176">
        <v>0</v>
      </c>
      <c r="AI176">
        <v>38126</v>
      </c>
      <c r="AJ176">
        <v>18010</v>
      </c>
      <c r="AK176">
        <v>0</v>
      </c>
      <c r="AL176">
        <v>1337</v>
      </c>
      <c r="AM176">
        <v>12364</v>
      </c>
      <c r="AN176">
        <v>97119</v>
      </c>
      <c r="AO176">
        <v>199530</v>
      </c>
      <c r="AP176">
        <v>0</v>
      </c>
      <c r="AQ176">
        <v>0</v>
      </c>
      <c r="AR176">
        <v>4</v>
      </c>
      <c r="AS176">
        <v>2</v>
      </c>
      <c r="AT176">
        <v>0</v>
      </c>
      <c r="AU176">
        <v>7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11</v>
      </c>
      <c r="BC176">
        <v>2</v>
      </c>
      <c r="BD176">
        <v>0</v>
      </c>
      <c r="BE176">
        <v>0</v>
      </c>
      <c r="BF176">
        <v>0</v>
      </c>
      <c r="BG176">
        <v>4</v>
      </c>
      <c r="BH176">
        <v>2</v>
      </c>
      <c r="BI176">
        <v>10</v>
      </c>
      <c r="BJ176">
        <v>40.375897700000003</v>
      </c>
      <c r="BK176">
        <v>18.148175599999998</v>
      </c>
      <c r="BL176">
        <v>1200</v>
      </c>
      <c r="BM176" t="s">
        <v>83</v>
      </c>
      <c r="BN176" t="s">
        <v>84</v>
      </c>
      <c r="BO176" t="s">
        <v>85</v>
      </c>
      <c r="BP176" t="s">
        <v>97</v>
      </c>
      <c r="BQ176" t="s">
        <v>187</v>
      </c>
      <c r="BR176" t="s">
        <v>188</v>
      </c>
      <c r="BS176">
        <v>2861959</v>
      </c>
      <c r="BT176">
        <v>0</v>
      </c>
      <c r="BU176">
        <v>1739099</v>
      </c>
      <c r="BV176">
        <v>0</v>
      </c>
      <c r="BW176">
        <v>762580</v>
      </c>
      <c r="BX176">
        <v>360280</v>
      </c>
      <c r="BY176">
        <v>0</v>
      </c>
      <c r="BZ176">
        <v>1</v>
      </c>
      <c r="CA176" t="s">
        <v>189</v>
      </c>
      <c r="CB176" t="s">
        <v>190</v>
      </c>
      <c r="CC176" s="3">
        <v>46092.557106481479</v>
      </c>
      <c r="CD176" t="s">
        <v>91</v>
      </c>
    </row>
    <row r="177" spans="1:82" ht="16" x14ac:dyDescent="0.2">
      <c r="A177" t="s">
        <v>191</v>
      </c>
      <c r="B177" t="s">
        <v>192</v>
      </c>
      <c r="C177" t="s">
        <v>193</v>
      </c>
      <c r="D177" t="s">
        <v>78</v>
      </c>
      <c r="E177" t="s">
        <v>194</v>
      </c>
      <c r="F177">
        <v>4</v>
      </c>
      <c r="G177">
        <v>300</v>
      </c>
      <c r="H177" t="str">
        <f t="shared" si="15"/>
        <v>4x300</v>
      </c>
      <c r="I177">
        <v>528</v>
      </c>
      <c r="J177" s="4">
        <f t="shared" si="16"/>
        <v>7.3333333333333334E-2</v>
      </c>
      <c r="K177">
        <v>797</v>
      </c>
      <c r="L177" s="4">
        <f t="shared" si="17"/>
        <v>0.11069444444444444</v>
      </c>
      <c r="M177">
        <v>1208</v>
      </c>
      <c r="N177" s="4">
        <f t="shared" si="18"/>
        <v>0.16777777777777778</v>
      </c>
      <c r="O177">
        <v>2411</v>
      </c>
      <c r="P177" s="4">
        <f t="shared" si="19"/>
        <v>0.33486111111111111</v>
      </c>
      <c r="Q177" s="6">
        <f t="shared" si="14"/>
        <v>2030</v>
      </c>
      <c r="R177" s="6">
        <f t="shared" si="20"/>
        <v>3</v>
      </c>
      <c r="S177">
        <v>245</v>
      </c>
      <c r="T177">
        <v>121</v>
      </c>
      <c r="U177">
        <v>-33</v>
      </c>
      <c r="V177">
        <v>52</v>
      </c>
      <c r="W177">
        <v>80</v>
      </c>
      <c r="X177">
        <v>101</v>
      </c>
      <c r="Y177" s="2" t="s">
        <v>195</v>
      </c>
      <c r="Z177">
        <v>45.5524494</v>
      </c>
      <c r="AA177">
        <v>10.7834003</v>
      </c>
      <c r="AB177" t="s">
        <v>78</v>
      </c>
      <c r="AC177" t="s">
        <v>81</v>
      </c>
      <c r="AD177" t="s">
        <v>82</v>
      </c>
      <c r="AE177">
        <v>125801</v>
      </c>
      <c r="AF177">
        <v>75777</v>
      </c>
      <c r="AG177">
        <v>0</v>
      </c>
      <c r="AH177">
        <v>24713</v>
      </c>
      <c r="AI177">
        <v>0</v>
      </c>
      <c r="AJ177">
        <v>25311</v>
      </c>
      <c r="AK177">
        <v>0</v>
      </c>
      <c r="AL177">
        <v>1402</v>
      </c>
      <c r="AM177">
        <v>4617</v>
      </c>
      <c r="AN177">
        <v>23909</v>
      </c>
      <c r="AO177">
        <v>80597</v>
      </c>
      <c r="AP177">
        <v>4</v>
      </c>
      <c r="AQ177">
        <v>0</v>
      </c>
      <c r="AR177">
        <v>5</v>
      </c>
      <c r="AS177">
        <v>30</v>
      </c>
      <c r="AT177">
        <v>0</v>
      </c>
      <c r="AU177">
        <v>15</v>
      </c>
      <c r="AV177">
        <v>5</v>
      </c>
      <c r="AW177">
        <v>0</v>
      </c>
      <c r="AX177">
        <v>1</v>
      </c>
      <c r="AY177">
        <v>0</v>
      </c>
      <c r="AZ177">
        <v>0</v>
      </c>
      <c r="BA177">
        <v>9</v>
      </c>
      <c r="BB177">
        <v>13</v>
      </c>
      <c r="BC177">
        <v>7</v>
      </c>
      <c r="BD177">
        <v>2</v>
      </c>
      <c r="BE177">
        <v>54</v>
      </c>
      <c r="BF177">
        <v>2</v>
      </c>
      <c r="BG177">
        <v>54</v>
      </c>
      <c r="BH177">
        <v>2</v>
      </c>
      <c r="BI177">
        <v>58</v>
      </c>
      <c r="BJ177">
        <v>45.552549999999997</v>
      </c>
      <c r="BK177">
        <v>10.783200000000001</v>
      </c>
      <c r="BL177">
        <v>1200</v>
      </c>
      <c r="BM177" t="s">
        <v>83</v>
      </c>
      <c r="BN177" t="s">
        <v>84</v>
      </c>
      <c r="BO177" t="s">
        <v>85</v>
      </c>
      <c r="BP177" t="s">
        <v>160</v>
      </c>
      <c r="BQ177" t="s">
        <v>161</v>
      </c>
      <c r="BR177" t="s">
        <v>162</v>
      </c>
      <c r="BS177">
        <v>2926530</v>
      </c>
      <c r="BT177">
        <v>1926008</v>
      </c>
      <c r="BU177">
        <v>0</v>
      </c>
      <c r="BV177">
        <v>494263</v>
      </c>
      <c r="BW177">
        <v>0</v>
      </c>
      <c r="BX177">
        <v>506259</v>
      </c>
      <c r="BY177">
        <v>0</v>
      </c>
      <c r="BZ177">
        <v>1</v>
      </c>
      <c r="CA177" t="s">
        <v>196</v>
      </c>
      <c r="CB177" t="s">
        <v>197</v>
      </c>
      <c r="CC177" s="3">
        <v>46092.557106481479</v>
      </c>
      <c r="CD177" t="s">
        <v>91</v>
      </c>
    </row>
    <row r="178" spans="1:82" ht="16" x14ac:dyDescent="0.2">
      <c r="A178" t="s">
        <v>198</v>
      </c>
      <c r="B178" t="s">
        <v>199</v>
      </c>
      <c r="C178" t="s">
        <v>200</v>
      </c>
      <c r="D178" t="s">
        <v>78</v>
      </c>
      <c r="E178" t="s">
        <v>201</v>
      </c>
      <c r="F178">
        <v>4</v>
      </c>
      <c r="G178">
        <v>300</v>
      </c>
      <c r="H178" t="str">
        <f t="shared" si="15"/>
        <v>4x300</v>
      </c>
      <c r="I178">
        <v>498</v>
      </c>
      <c r="J178" s="4">
        <f t="shared" si="16"/>
        <v>6.9166666666666668E-2</v>
      </c>
      <c r="K178">
        <v>752</v>
      </c>
      <c r="L178" s="4">
        <f t="shared" si="17"/>
        <v>0.10444444444444445</v>
      </c>
      <c r="M178">
        <v>1140</v>
      </c>
      <c r="N178" s="4">
        <f t="shared" si="18"/>
        <v>0.15833333333333333</v>
      </c>
      <c r="O178">
        <v>2275</v>
      </c>
      <c r="P178" s="4">
        <f t="shared" si="19"/>
        <v>0.31597222222222221</v>
      </c>
      <c r="Q178" s="6">
        <f t="shared" si="14"/>
        <v>2030</v>
      </c>
      <c r="R178" s="6">
        <f t="shared" si="20"/>
        <v>3</v>
      </c>
      <c r="S178">
        <v>245</v>
      </c>
      <c r="T178">
        <v>167</v>
      </c>
      <c r="U178">
        <v>32</v>
      </c>
      <c r="V178">
        <v>1</v>
      </c>
      <c r="W178">
        <v>-17</v>
      </c>
      <c r="X178">
        <v>118</v>
      </c>
      <c r="Y178" s="2" t="s">
        <v>202</v>
      </c>
      <c r="Z178">
        <v>45.096440000000001</v>
      </c>
      <c r="AA178">
        <v>7.5773299999999999</v>
      </c>
      <c r="AB178" t="s">
        <v>78</v>
      </c>
      <c r="AC178" t="s">
        <v>81</v>
      </c>
      <c r="AD178" t="s">
        <v>82</v>
      </c>
      <c r="AE178">
        <v>209864</v>
      </c>
      <c r="AF178">
        <v>121894</v>
      </c>
      <c r="AG178">
        <v>0</v>
      </c>
      <c r="AH178">
        <v>0</v>
      </c>
      <c r="AI178">
        <v>50905</v>
      </c>
      <c r="AJ178">
        <v>23679</v>
      </c>
      <c r="AK178">
        <v>13386</v>
      </c>
      <c r="AL178">
        <v>4127</v>
      </c>
      <c r="AM178">
        <v>14057</v>
      </c>
      <c r="AN178">
        <v>224758</v>
      </c>
      <c r="AO178">
        <v>1001900</v>
      </c>
      <c r="AP178">
        <v>0</v>
      </c>
      <c r="AQ178">
        <v>0</v>
      </c>
      <c r="AR178">
        <v>4</v>
      </c>
      <c r="AS178">
        <v>12</v>
      </c>
      <c r="AT178">
        <v>0</v>
      </c>
      <c r="AU178">
        <v>18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8</v>
      </c>
      <c r="BB178">
        <v>24</v>
      </c>
      <c r="BC178">
        <v>6</v>
      </c>
      <c r="BD178">
        <v>6</v>
      </c>
      <c r="BE178">
        <v>4</v>
      </c>
      <c r="BF178">
        <v>6</v>
      </c>
      <c r="BG178">
        <v>4</v>
      </c>
      <c r="BH178">
        <v>6</v>
      </c>
      <c r="BI178">
        <v>8</v>
      </c>
      <c r="BJ178">
        <v>45.096284300000001</v>
      </c>
      <c r="BK178">
        <v>7.5772747000000003</v>
      </c>
      <c r="BL178">
        <v>1200</v>
      </c>
      <c r="BM178" t="s">
        <v>83</v>
      </c>
      <c r="BN178" t="s">
        <v>84</v>
      </c>
      <c r="BO178" t="s">
        <v>85</v>
      </c>
      <c r="BP178" t="s">
        <v>107</v>
      </c>
      <c r="BQ178" t="s">
        <v>203</v>
      </c>
      <c r="BR178" t="s">
        <v>204</v>
      </c>
      <c r="BS178">
        <v>4256363</v>
      </c>
      <c r="BT178">
        <v>2972073</v>
      </c>
      <c r="BU178">
        <v>0</v>
      </c>
      <c r="BV178">
        <v>0</v>
      </c>
      <c r="BW178">
        <v>542886</v>
      </c>
      <c r="BX178">
        <v>473642</v>
      </c>
      <c r="BY178">
        <v>267762</v>
      </c>
      <c r="BZ178">
        <v>1</v>
      </c>
      <c r="CA178" t="s">
        <v>205</v>
      </c>
      <c r="CB178" t="s">
        <v>206</v>
      </c>
      <c r="CC178" s="3">
        <v>46092.557106481479</v>
      </c>
      <c r="CD178" t="s">
        <v>91</v>
      </c>
    </row>
    <row r="179" spans="1:82" ht="16" x14ac:dyDescent="0.2">
      <c r="A179" t="s">
        <v>207</v>
      </c>
      <c r="B179" t="s">
        <v>208</v>
      </c>
      <c r="C179" t="s">
        <v>209</v>
      </c>
      <c r="D179" t="s">
        <v>78</v>
      </c>
      <c r="E179" t="s">
        <v>210</v>
      </c>
      <c r="F179">
        <v>4</v>
      </c>
      <c r="G179">
        <v>300</v>
      </c>
      <c r="H179" t="str">
        <f t="shared" si="15"/>
        <v>4x300</v>
      </c>
      <c r="I179">
        <v>496</v>
      </c>
      <c r="J179" s="4">
        <f t="shared" si="16"/>
        <v>6.8888888888888888E-2</v>
      </c>
      <c r="K179">
        <v>749</v>
      </c>
      <c r="L179" s="4">
        <f t="shared" si="17"/>
        <v>0.10402777777777777</v>
      </c>
      <c r="M179">
        <v>1135</v>
      </c>
      <c r="N179" s="4">
        <f t="shared" si="18"/>
        <v>0.15763888888888888</v>
      </c>
      <c r="O179">
        <v>2266</v>
      </c>
      <c r="P179" s="4">
        <f t="shared" si="19"/>
        <v>0.31472222222222224</v>
      </c>
      <c r="Q179" s="6">
        <f t="shared" si="14"/>
        <v>2030</v>
      </c>
      <c r="R179" s="6">
        <f t="shared" si="20"/>
        <v>3</v>
      </c>
      <c r="S179">
        <v>245</v>
      </c>
      <c r="T179">
        <v>143</v>
      </c>
      <c r="U179">
        <v>5</v>
      </c>
      <c r="V179">
        <v>28</v>
      </c>
      <c r="W179">
        <v>-2</v>
      </c>
      <c r="X179">
        <v>133</v>
      </c>
      <c r="Y179" s="2" t="s">
        <v>211</v>
      </c>
      <c r="Z179">
        <v>43.850749999999998</v>
      </c>
      <c r="AA179">
        <v>11.166650000000001</v>
      </c>
      <c r="AB179" t="s">
        <v>78</v>
      </c>
      <c r="AC179" t="s">
        <v>81</v>
      </c>
      <c r="AD179" t="s">
        <v>82</v>
      </c>
      <c r="AE179">
        <v>202793</v>
      </c>
      <c r="AF179">
        <v>143010</v>
      </c>
      <c r="AG179">
        <v>0</v>
      </c>
      <c r="AH179">
        <v>23172</v>
      </c>
      <c r="AI179">
        <v>10149</v>
      </c>
      <c r="AJ179">
        <v>16384</v>
      </c>
      <c r="AK179">
        <v>10078</v>
      </c>
      <c r="AL179">
        <v>4216</v>
      </c>
      <c r="AM179">
        <v>19633</v>
      </c>
      <c r="AN179">
        <v>110037</v>
      </c>
      <c r="AO179">
        <v>510772</v>
      </c>
      <c r="AP179">
        <v>0</v>
      </c>
      <c r="AQ179">
        <v>0</v>
      </c>
      <c r="AR179">
        <v>3</v>
      </c>
      <c r="AS179">
        <v>3</v>
      </c>
      <c r="AT179">
        <v>4</v>
      </c>
      <c r="AU179">
        <v>12</v>
      </c>
      <c r="AV179">
        <v>0</v>
      </c>
      <c r="AW179">
        <v>1</v>
      </c>
      <c r="AX179">
        <v>2</v>
      </c>
      <c r="AY179">
        <v>0</v>
      </c>
      <c r="AZ179">
        <v>0</v>
      </c>
      <c r="BA179">
        <v>13</v>
      </c>
      <c r="BB179">
        <v>39</v>
      </c>
      <c r="BC179">
        <v>4</v>
      </c>
      <c r="BD179">
        <v>3</v>
      </c>
      <c r="BE179">
        <v>7</v>
      </c>
      <c r="BF179">
        <v>3</v>
      </c>
      <c r="BG179">
        <v>7</v>
      </c>
      <c r="BH179">
        <v>3</v>
      </c>
      <c r="BI179">
        <v>31</v>
      </c>
      <c r="BJ179">
        <v>43.851007500000001</v>
      </c>
      <c r="BK179">
        <v>11.1665563</v>
      </c>
      <c r="BL179">
        <v>1200</v>
      </c>
      <c r="BM179" t="s">
        <v>83</v>
      </c>
      <c r="BN179" t="s">
        <v>84</v>
      </c>
      <c r="BO179" t="s">
        <v>85</v>
      </c>
      <c r="BP179" t="s">
        <v>86</v>
      </c>
      <c r="BQ179" t="s">
        <v>212</v>
      </c>
      <c r="BR179" t="s">
        <v>213</v>
      </c>
      <c r="BS179">
        <v>4725046</v>
      </c>
      <c r="BT179">
        <v>3529231</v>
      </c>
      <c r="BU179">
        <v>0</v>
      </c>
      <c r="BV179">
        <v>463454</v>
      </c>
      <c r="BW179">
        <v>203007</v>
      </c>
      <c r="BX179">
        <v>327741</v>
      </c>
      <c r="BY179">
        <v>201613</v>
      </c>
      <c r="BZ179">
        <v>1</v>
      </c>
      <c r="CA179" t="s">
        <v>214</v>
      </c>
      <c r="CB179" t="s">
        <v>215</v>
      </c>
      <c r="CC179" s="3">
        <v>46092.557106481479</v>
      </c>
      <c r="CD179" t="s">
        <v>91</v>
      </c>
    </row>
    <row r="180" spans="1:82" ht="16" x14ac:dyDescent="0.2">
      <c r="A180" t="s">
        <v>216</v>
      </c>
      <c r="B180" t="s">
        <v>217</v>
      </c>
      <c r="C180" t="s">
        <v>218</v>
      </c>
      <c r="D180" t="s">
        <v>78</v>
      </c>
      <c r="E180" t="s">
        <v>219</v>
      </c>
      <c r="F180">
        <v>4</v>
      </c>
      <c r="G180">
        <v>300</v>
      </c>
      <c r="H180" t="str">
        <f t="shared" si="15"/>
        <v>4x300</v>
      </c>
      <c r="I180">
        <v>458</v>
      </c>
      <c r="J180" s="4">
        <f t="shared" si="16"/>
        <v>6.3611111111111104E-2</v>
      </c>
      <c r="K180">
        <v>692</v>
      </c>
      <c r="L180" s="4">
        <f t="shared" si="17"/>
        <v>9.6111111111111105E-2</v>
      </c>
      <c r="M180">
        <v>1050</v>
      </c>
      <c r="N180" s="4">
        <f t="shared" si="18"/>
        <v>0.14583333333333334</v>
      </c>
      <c r="O180">
        <v>2095</v>
      </c>
      <c r="P180" s="4">
        <f t="shared" si="19"/>
        <v>0.29097222222222224</v>
      </c>
      <c r="Q180" s="6">
        <f t="shared" si="14"/>
        <v>2030</v>
      </c>
      <c r="R180" s="6">
        <f t="shared" si="20"/>
        <v>3</v>
      </c>
      <c r="S180">
        <v>245</v>
      </c>
      <c r="T180">
        <v>27</v>
      </c>
      <c r="U180">
        <v>29</v>
      </c>
      <c r="V180">
        <v>137</v>
      </c>
      <c r="W180">
        <v>-20</v>
      </c>
      <c r="X180">
        <v>65</v>
      </c>
      <c r="Y180" s="2" t="s">
        <v>220</v>
      </c>
      <c r="Z180">
        <v>45.383009795788404</v>
      </c>
      <c r="AA180">
        <v>9.1695129950985805</v>
      </c>
      <c r="AB180" t="s">
        <v>78</v>
      </c>
      <c r="AC180" t="s">
        <v>81</v>
      </c>
      <c r="AD180" t="s">
        <v>82</v>
      </c>
      <c r="AE180">
        <v>79705</v>
      </c>
      <c r="AF180">
        <v>0</v>
      </c>
      <c r="AG180">
        <v>0</v>
      </c>
      <c r="AH180">
        <v>0</v>
      </c>
      <c r="AI180">
        <v>0</v>
      </c>
      <c r="AJ180">
        <v>79705</v>
      </c>
      <c r="AK180">
        <v>0</v>
      </c>
      <c r="AL180">
        <v>10566</v>
      </c>
      <c r="AM180">
        <v>38475</v>
      </c>
      <c r="AN180">
        <v>128963</v>
      </c>
      <c r="AO180">
        <v>867369</v>
      </c>
      <c r="AP180">
        <v>0</v>
      </c>
      <c r="AQ180">
        <v>0</v>
      </c>
      <c r="AR180">
        <v>2</v>
      </c>
      <c r="AS180">
        <v>4</v>
      </c>
      <c r="AT180">
        <v>5</v>
      </c>
      <c r="AU180">
        <v>16</v>
      </c>
      <c r="AV180">
        <v>32</v>
      </c>
      <c r="AW180">
        <v>0</v>
      </c>
      <c r="AX180">
        <v>1</v>
      </c>
      <c r="AY180">
        <v>0</v>
      </c>
      <c r="AZ180">
        <v>0</v>
      </c>
      <c r="BA180">
        <v>13</v>
      </c>
      <c r="BB180">
        <v>17</v>
      </c>
      <c r="BC180">
        <v>0</v>
      </c>
      <c r="BD180">
        <v>0</v>
      </c>
      <c r="BE180">
        <v>0</v>
      </c>
      <c r="BF180">
        <v>4</v>
      </c>
      <c r="BG180">
        <v>0</v>
      </c>
      <c r="BH180">
        <v>11</v>
      </c>
      <c r="BI180">
        <v>0</v>
      </c>
      <c r="BJ180">
        <v>45.382950000000001</v>
      </c>
      <c r="BK180">
        <v>9.1695899000000001</v>
      </c>
      <c r="BL180">
        <v>1200</v>
      </c>
      <c r="BM180" t="s">
        <v>83</v>
      </c>
      <c r="BN180" t="s">
        <v>84</v>
      </c>
      <c r="BO180" t="s">
        <v>85</v>
      </c>
      <c r="BP180" t="s">
        <v>107</v>
      </c>
      <c r="BQ180" t="s">
        <v>108</v>
      </c>
      <c r="BR180" t="s">
        <v>109</v>
      </c>
      <c r="BS180">
        <v>1594168</v>
      </c>
      <c r="BT180">
        <v>0</v>
      </c>
      <c r="BU180">
        <v>0</v>
      </c>
      <c r="BV180">
        <v>0</v>
      </c>
      <c r="BW180">
        <v>0</v>
      </c>
      <c r="BX180">
        <v>1594168</v>
      </c>
      <c r="BY180">
        <v>0</v>
      </c>
      <c r="BZ180">
        <v>1</v>
      </c>
      <c r="CA180" t="s">
        <v>221</v>
      </c>
      <c r="CB180" t="s">
        <v>222</v>
      </c>
      <c r="CC180" s="3">
        <v>46092.557106481479</v>
      </c>
      <c r="CD180" t="s">
        <v>91</v>
      </c>
    </row>
    <row r="181" spans="1:82" ht="16" x14ac:dyDescent="0.2">
      <c r="A181" t="s">
        <v>223</v>
      </c>
      <c r="B181" t="s">
        <v>224</v>
      </c>
      <c r="C181" t="s">
        <v>225</v>
      </c>
      <c r="D181" t="s">
        <v>78</v>
      </c>
      <c r="E181" t="s">
        <v>226</v>
      </c>
      <c r="F181">
        <v>4</v>
      </c>
      <c r="G181">
        <v>300</v>
      </c>
      <c r="H181" t="str">
        <f t="shared" si="15"/>
        <v>4x300</v>
      </c>
      <c r="I181">
        <v>458</v>
      </c>
      <c r="J181" s="4">
        <f t="shared" si="16"/>
        <v>6.3611111111111104E-2</v>
      </c>
      <c r="K181">
        <v>692</v>
      </c>
      <c r="L181" s="4">
        <f t="shared" si="17"/>
        <v>9.6111111111111105E-2</v>
      </c>
      <c r="M181">
        <v>1049</v>
      </c>
      <c r="N181" s="4">
        <f t="shared" si="18"/>
        <v>0.14569444444444443</v>
      </c>
      <c r="O181">
        <v>2093</v>
      </c>
      <c r="P181" s="4">
        <f t="shared" si="19"/>
        <v>0.29069444444444442</v>
      </c>
      <c r="Q181" s="6">
        <f t="shared" si="14"/>
        <v>2030</v>
      </c>
      <c r="R181" s="6">
        <f t="shared" si="20"/>
        <v>3</v>
      </c>
      <c r="S181">
        <v>245</v>
      </c>
      <c r="T181">
        <v>184</v>
      </c>
      <c r="U181">
        <v>-15</v>
      </c>
      <c r="V181">
        <v>-32</v>
      </c>
      <c r="W181">
        <v>-3</v>
      </c>
      <c r="X181">
        <v>134</v>
      </c>
      <c r="Y181" s="2" t="s">
        <v>227</v>
      </c>
      <c r="Z181">
        <v>45.662832350000002</v>
      </c>
      <c r="AA181">
        <v>9.21713263</v>
      </c>
      <c r="AB181" t="s">
        <v>78</v>
      </c>
      <c r="AC181" t="s">
        <v>81</v>
      </c>
      <c r="AD181" t="s">
        <v>82</v>
      </c>
      <c r="AE181">
        <v>193907</v>
      </c>
      <c r="AF181">
        <v>0</v>
      </c>
      <c r="AG181">
        <v>94890</v>
      </c>
      <c r="AH181">
        <v>0</v>
      </c>
      <c r="AI181">
        <v>13727</v>
      </c>
      <c r="AJ181">
        <v>74667</v>
      </c>
      <c r="AK181">
        <v>10623</v>
      </c>
      <c r="AL181">
        <v>5986</v>
      </c>
      <c r="AM181">
        <v>36455</v>
      </c>
      <c r="AN181">
        <v>211841</v>
      </c>
      <c r="AO181">
        <v>672437</v>
      </c>
      <c r="AP181">
        <v>0</v>
      </c>
      <c r="AQ181">
        <v>0</v>
      </c>
      <c r="AR181">
        <v>2</v>
      </c>
      <c r="AS181">
        <v>5</v>
      </c>
      <c r="AT181">
        <v>0</v>
      </c>
      <c r="AU181">
        <v>4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6</v>
      </c>
      <c r="BB181">
        <v>23</v>
      </c>
      <c r="BC181">
        <v>0</v>
      </c>
      <c r="BD181">
        <v>0</v>
      </c>
      <c r="BE181">
        <v>0</v>
      </c>
      <c r="BF181">
        <v>2</v>
      </c>
      <c r="BG181">
        <v>0</v>
      </c>
      <c r="BH181">
        <v>4</v>
      </c>
      <c r="BI181">
        <v>0</v>
      </c>
      <c r="BJ181">
        <v>45.662960699999999</v>
      </c>
      <c r="BK181">
        <v>9.2171444999999999</v>
      </c>
      <c r="BL181">
        <v>1200</v>
      </c>
      <c r="BM181" t="s">
        <v>83</v>
      </c>
      <c r="BN181" t="s">
        <v>84</v>
      </c>
      <c r="BO181" t="s">
        <v>85</v>
      </c>
      <c r="BP181" t="s">
        <v>107</v>
      </c>
      <c r="BQ181" t="s">
        <v>108</v>
      </c>
      <c r="BR181" t="s">
        <v>145</v>
      </c>
      <c r="BS181">
        <v>4315928</v>
      </c>
      <c r="BT181">
        <v>0</v>
      </c>
      <c r="BU181">
        <v>2409678</v>
      </c>
      <c r="BV181">
        <v>0</v>
      </c>
      <c r="BW181">
        <v>274542</v>
      </c>
      <c r="BX181">
        <v>1419143</v>
      </c>
      <c r="BY181">
        <v>212565</v>
      </c>
      <c r="BZ181">
        <v>1</v>
      </c>
      <c r="CA181" t="s">
        <v>228</v>
      </c>
      <c r="CB181" t="s">
        <v>229</v>
      </c>
      <c r="CC181" s="3">
        <v>46092.557106481479</v>
      </c>
      <c r="CD181" t="s">
        <v>91</v>
      </c>
    </row>
    <row r="182" spans="1:82" ht="16" x14ac:dyDescent="0.2">
      <c r="A182" t="s">
        <v>230</v>
      </c>
      <c r="B182" t="s">
        <v>231</v>
      </c>
      <c r="C182" t="s">
        <v>232</v>
      </c>
      <c r="D182" t="s">
        <v>78</v>
      </c>
      <c r="E182" t="s">
        <v>233</v>
      </c>
      <c r="F182">
        <v>4</v>
      </c>
      <c r="G182">
        <v>300</v>
      </c>
      <c r="H182" t="str">
        <f t="shared" si="15"/>
        <v>4x300</v>
      </c>
      <c r="I182">
        <v>454</v>
      </c>
      <c r="J182" s="4">
        <f t="shared" si="16"/>
        <v>6.3055555555555559E-2</v>
      </c>
      <c r="K182">
        <v>686</v>
      </c>
      <c r="L182" s="4">
        <f t="shared" si="17"/>
        <v>9.5277777777777781E-2</v>
      </c>
      <c r="M182">
        <v>1041</v>
      </c>
      <c r="N182" s="4">
        <f t="shared" si="18"/>
        <v>0.14458333333333334</v>
      </c>
      <c r="O182">
        <v>2077</v>
      </c>
      <c r="P182" s="4">
        <f t="shared" si="19"/>
        <v>0.28847222222222219</v>
      </c>
      <c r="Q182" s="6">
        <f t="shared" si="14"/>
        <v>2030</v>
      </c>
      <c r="R182" s="6">
        <f t="shared" si="20"/>
        <v>3</v>
      </c>
      <c r="S182">
        <v>245</v>
      </c>
      <c r="T182">
        <v>179</v>
      </c>
      <c r="U182">
        <v>-13</v>
      </c>
      <c r="V182">
        <v>-10</v>
      </c>
      <c r="W182">
        <v>-20</v>
      </c>
      <c r="X182">
        <v>129</v>
      </c>
      <c r="Y182" s="2" t="s">
        <v>234</v>
      </c>
      <c r="Z182">
        <v>45.6759010141757</v>
      </c>
      <c r="AA182">
        <v>9.2120198509229407</v>
      </c>
      <c r="AB182" t="s">
        <v>78</v>
      </c>
      <c r="AC182" t="s">
        <v>81</v>
      </c>
      <c r="AD182" t="s">
        <v>82</v>
      </c>
      <c r="AE182">
        <v>236096</v>
      </c>
      <c r="AF182">
        <v>0</v>
      </c>
      <c r="AG182">
        <v>140934</v>
      </c>
      <c r="AH182">
        <v>0</v>
      </c>
      <c r="AI182">
        <v>38782</v>
      </c>
      <c r="AJ182">
        <v>52553</v>
      </c>
      <c r="AK182">
        <v>3827</v>
      </c>
      <c r="AL182">
        <v>6463</v>
      </c>
      <c r="AM182">
        <v>34528</v>
      </c>
      <c r="AN182">
        <v>186775</v>
      </c>
      <c r="AO182">
        <v>618304</v>
      </c>
      <c r="AP182">
        <v>0</v>
      </c>
      <c r="AQ182">
        <v>1</v>
      </c>
      <c r="AR182">
        <v>3</v>
      </c>
      <c r="AS182">
        <v>6</v>
      </c>
      <c r="AT182">
        <v>0</v>
      </c>
      <c r="AU182">
        <v>18</v>
      </c>
      <c r="AV182">
        <v>1</v>
      </c>
      <c r="AW182">
        <v>1</v>
      </c>
      <c r="AX182">
        <v>0</v>
      </c>
      <c r="AY182">
        <v>0</v>
      </c>
      <c r="AZ182">
        <v>0</v>
      </c>
      <c r="BA182">
        <v>6</v>
      </c>
      <c r="BB182">
        <v>30</v>
      </c>
      <c r="BC182">
        <v>0</v>
      </c>
      <c r="BD182">
        <v>0</v>
      </c>
      <c r="BE182">
        <v>0</v>
      </c>
      <c r="BF182">
        <v>2</v>
      </c>
      <c r="BG182">
        <v>0</v>
      </c>
      <c r="BH182">
        <v>8</v>
      </c>
      <c r="BI182">
        <v>0</v>
      </c>
      <c r="BJ182">
        <v>45.675989899999998</v>
      </c>
      <c r="BK182">
        <v>9.2120499999999996</v>
      </c>
      <c r="BL182">
        <v>1200</v>
      </c>
      <c r="BM182" t="s">
        <v>83</v>
      </c>
      <c r="BN182" t="s">
        <v>84</v>
      </c>
      <c r="BO182" t="s">
        <v>85</v>
      </c>
      <c r="BP182" t="s">
        <v>107</v>
      </c>
      <c r="BQ182" t="s">
        <v>108</v>
      </c>
      <c r="BR182" t="s">
        <v>145</v>
      </c>
      <c r="BS182">
        <v>4083868</v>
      </c>
      <c r="BT182">
        <v>0</v>
      </c>
      <c r="BU182">
        <v>2268414</v>
      </c>
      <c r="BV182">
        <v>0</v>
      </c>
      <c r="BW182">
        <v>560469</v>
      </c>
      <c r="BX182">
        <v>1178418</v>
      </c>
      <c r="BY182">
        <v>76567</v>
      </c>
      <c r="BZ182">
        <v>1</v>
      </c>
      <c r="CA182" t="s">
        <v>235</v>
      </c>
      <c r="CB182" t="s">
        <v>236</v>
      </c>
      <c r="CC182" s="3">
        <v>46092.557106481479</v>
      </c>
      <c r="CD182" t="s">
        <v>91</v>
      </c>
    </row>
    <row r="183" spans="1:82" ht="16" x14ac:dyDescent="0.2">
      <c r="A183" t="s">
        <v>237</v>
      </c>
      <c r="B183" t="s">
        <v>238</v>
      </c>
      <c r="C183" t="s">
        <v>239</v>
      </c>
      <c r="D183" t="s">
        <v>78</v>
      </c>
      <c r="E183" t="s">
        <v>240</v>
      </c>
      <c r="F183">
        <v>4</v>
      </c>
      <c r="G183">
        <v>300</v>
      </c>
      <c r="H183" t="str">
        <f t="shared" si="15"/>
        <v>4x300</v>
      </c>
      <c r="I183">
        <v>446</v>
      </c>
      <c r="J183" s="4">
        <f t="shared" si="16"/>
        <v>6.1944444444444441E-2</v>
      </c>
      <c r="K183">
        <v>674</v>
      </c>
      <c r="L183" s="4">
        <f t="shared" si="17"/>
        <v>9.3611111111111103E-2</v>
      </c>
      <c r="M183">
        <v>1022</v>
      </c>
      <c r="N183" s="4">
        <f t="shared" si="18"/>
        <v>0.14194444444444446</v>
      </c>
      <c r="O183">
        <v>2039</v>
      </c>
      <c r="P183" s="4">
        <f t="shared" si="19"/>
        <v>0.28319444444444447</v>
      </c>
      <c r="Q183" s="6">
        <f t="shared" si="14"/>
        <v>2030</v>
      </c>
      <c r="R183" s="6">
        <f t="shared" si="20"/>
        <v>3</v>
      </c>
      <c r="S183">
        <v>245</v>
      </c>
      <c r="T183">
        <v>89</v>
      </c>
      <c r="U183">
        <v>50</v>
      </c>
      <c r="V183">
        <v>19</v>
      </c>
      <c r="W183">
        <v>-19</v>
      </c>
      <c r="X183">
        <v>106</v>
      </c>
      <c r="Y183" s="2" t="s">
        <v>241</v>
      </c>
      <c r="Z183">
        <v>38.149430000000002</v>
      </c>
      <c r="AA183">
        <v>13.324400000000001</v>
      </c>
      <c r="AB183" t="s">
        <v>78</v>
      </c>
      <c r="AC183" t="s">
        <v>81</v>
      </c>
      <c r="AD183" t="s">
        <v>82</v>
      </c>
      <c r="AE183">
        <v>77915</v>
      </c>
      <c r="AF183">
        <v>20753</v>
      </c>
      <c r="AG183">
        <v>19347</v>
      </c>
      <c r="AH183">
        <v>0</v>
      </c>
      <c r="AI183">
        <v>11631</v>
      </c>
      <c r="AJ183">
        <v>25337</v>
      </c>
      <c r="AK183">
        <v>847</v>
      </c>
      <c r="AL183">
        <v>26913</v>
      </c>
      <c r="AM183">
        <v>93421</v>
      </c>
      <c r="AN183">
        <v>409881</v>
      </c>
      <c r="AO183">
        <v>703780</v>
      </c>
      <c r="AP183">
        <v>0</v>
      </c>
      <c r="AQ183">
        <v>0</v>
      </c>
      <c r="AR183">
        <v>0</v>
      </c>
      <c r="AS183">
        <v>4</v>
      </c>
      <c r="AT183">
        <v>2</v>
      </c>
      <c r="AU183">
        <v>18</v>
      </c>
      <c r="AV183">
        <v>0</v>
      </c>
      <c r="AW183">
        <v>0</v>
      </c>
      <c r="AX183">
        <v>0</v>
      </c>
      <c r="AY183">
        <v>2</v>
      </c>
      <c r="AZ183">
        <v>0</v>
      </c>
      <c r="BA183">
        <v>18</v>
      </c>
      <c r="BB183">
        <v>36</v>
      </c>
      <c r="BC183">
        <v>0</v>
      </c>
      <c r="BD183">
        <v>0</v>
      </c>
      <c r="BE183">
        <v>0</v>
      </c>
      <c r="BF183">
        <v>8</v>
      </c>
      <c r="BG183">
        <v>0</v>
      </c>
      <c r="BH183">
        <v>12</v>
      </c>
      <c r="BI183">
        <v>0</v>
      </c>
      <c r="BJ183">
        <v>38.149563399999998</v>
      </c>
      <c r="BK183">
        <v>13.3241649</v>
      </c>
      <c r="BL183">
        <v>1200</v>
      </c>
      <c r="BM183" t="s">
        <v>83</v>
      </c>
      <c r="BN183" t="s">
        <v>84</v>
      </c>
      <c r="BO183" t="s">
        <v>85</v>
      </c>
      <c r="BP183" t="s">
        <v>242</v>
      </c>
      <c r="BQ183" t="s">
        <v>243</v>
      </c>
      <c r="BR183" t="s">
        <v>244</v>
      </c>
      <c r="BS183">
        <v>1798940</v>
      </c>
      <c r="BT183">
        <v>539587</v>
      </c>
      <c r="BU183">
        <v>503028</v>
      </c>
      <c r="BV183">
        <v>0</v>
      </c>
      <c r="BW183">
        <v>232623</v>
      </c>
      <c r="BX183">
        <v>506761</v>
      </c>
      <c r="BY183">
        <v>16941</v>
      </c>
      <c r="BZ183">
        <v>1</v>
      </c>
      <c r="CA183" t="s">
        <v>245</v>
      </c>
      <c r="CB183" t="s">
        <v>246</v>
      </c>
      <c r="CC183" s="3">
        <v>46092.557106481479</v>
      </c>
      <c r="CD183" t="s">
        <v>91</v>
      </c>
    </row>
    <row r="184" spans="1:82" ht="16" x14ac:dyDescent="0.2">
      <c r="A184" t="s">
        <v>247</v>
      </c>
      <c r="B184" t="s">
        <v>248</v>
      </c>
      <c r="C184" t="s">
        <v>249</v>
      </c>
      <c r="D184" t="s">
        <v>78</v>
      </c>
      <c r="E184" t="s">
        <v>250</v>
      </c>
      <c r="F184">
        <v>4</v>
      </c>
      <c r="G184">
        <v>300</v>
      </c>
      <c r="H184" t="str">
        <f t="shared" si="15"/>
        <v>4x300</v>
      </c>
      <c r="I184">
        <v>444</v>
      </c>
      <c r="J184" s="4">
        <f t="shared" si="16"/>
        <v>6.1666666666666668E-2</v>
      </c>
      <c r="K184">
        <v>671</v>
      </c>
      <c r="L184" s="4">
        <f t="shared" si="17"/>
        <v>9.3194444444444455E-2</v>
      </c>
      <c r="M184">
        <v>1018</v>
      </c>
      <c r="N184" s="4">
        <f t="shared" si="18"/>
        <v>0.1413888888888889</v>
      </c>
      <c r="O184">
        <v>2031</v>
      </c>
      <c r="P184" s="4">
        <f t="shared" si="19"/>
        <v>0.2820833333333333</v>
      </c>
      <c r="Q184" s="6">
        <f t="shared" si="14"/>
        <v>2030</v>
      </c>
      <c r="R184" s="6">
        <f t="shared" si="20"/>
        <v>3</v>
      </c>
      <c r="S184">
        <v>245</v>
      </c>
      <c r="T184">
        <v>171</v>
      </c>
      <c r="U184">
        <v>1</v>
      </c>
      <c r="V184">
        <v>-45</v>
      </c>
      <c r="W184">
        <v>-6</v>
      </c>
      <c r="X184">
        <v>136</v>
      </c>
      <c r="Y184" s="2" t="s">
        <v>251</v>
      </c>
      <c r="Z184">
        <v>41.981140000000003</v>
      </c>
      <c r="AA184">
        <v>12.416320000000001</v>
      </c>
      <c r="AB184" t="s">
        <v>78</v>
      </c>
      <c r="AC184" t="s">
        <v>81</v>
      </c>
      <c r="AD184" t="s">
        <v>82</v>
      </c>
      <c r="AE184">
        <v>222440</v>
      </c>
      <c r="AF184">
        <v>165680</v>
      </c>
      <c r="AG184">
        <v>0</v>
      </c>
      <c r="AH184">
        <v>0</v>
      </c>
      <c r="AI184">
        <v>27982</v>
      </c>
      <c r="AJ184">
        <v>28778</v>
      </c>
      <c r="AK184">
        <v>0</v>
      </c>
      <c r="AL184">
        <v>5255</v>
      </c>
      <c r="AM184">
        <v>19410</v>
      </c>
      <c r="AN184">
        <v>117846</v>
      </c>
      <c r="AO184">
        <v>697284</v>
      </c>
      <c r="AP184">
        <v>2</v>
      </c>
      <c r="AQ184">
        <v>0</v>
      </c>
      <c r="AR184">
        <v>1</v>
      </c>
      <c r="AS184">
        <v>2</v>
      </c>
      <c r="AT184">
        <v>2</v>
      </c>
      <c r="AU184">
        <v>22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5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2</v>
      </c>
      <c r="BI184">
        <v>0</v>
      </c>
      <c r="BJ184">
        <v>41.980959900000002</v>
      </c>
      <c r="BK184">
        <v>12.416189899999999</v>
      </c>
      <c r="BL184">
        <v>1200</v>
      </c>
      <c r="BM184" t="s">
        <v>83</v>
      </c>
      <c r="BN184" t="s">
        <v>84</v>
      </c>
      <c r="BO184" t="s">
        <v>85</v>
      </c>
      <c r="BP184" t="s">
        <v>86</v>
      </c>
      <c r="BQ184" t="s">
        <v>87</v>
      </c>
      <c r="BR184" t="s">
        <v>88</v>
      </c>
      <c r="BS184">
        <v>4111295</v>
      </c>
      <c r="BT184">
        <v>2976037</v>
      </c>
      <c r="BU184">
        <v>0</v>
      </c>
      <c r="BV184">
        <v>0</v>
      </c>
      <c r="BW184">
        <v>559665</v>
      </c>
      <c r="BX184">
        <v>575593</v>
      </c>
      <c r="BY184">
        <v>0</v>
      </c>
      <c r="BZ184">
        <v>1</v>
      </c>
      <c r="CA184" t="s">
        <v>252</v>
      </c>
      <c r="CB184" t="s">
        <v>253</v>
      </c>
      <c r="CC184" s="3">
        <v>46092.557106481479</v>
      </c>
      <c r="CD184" t="s">
        <v>91</v>
      </c>
    </row>
    <row r="185" spans="1:82" ht="16" x14ac:dyDescent="0.2">
      <c r="A185" t="s">
        <v>254</v>
      </c>
      <c r="B185" t="s">
        <v>255</v>
      </c>
      <c r="C185" t="s">
        <v>256</v>
      </c>
      <c r="D185" t="s">
        <v>78</v>
      </c>
      <c r="E185" t="s">
        <v>257</v>
      </c>
      <c r="F185">
        <v>4</v>
      </c>
      <c r="G185">
        <v>300</v>
      </c>
      <c r="H185" t="str">
        <f t="shared" si="15"/>
        <v>4x300</v>
      </c>
      <c r="I185">
        <v>444</v>
      </c>
      <c r="J185" s="4">
        <f t="shared" si="16"/>
        <v>6.1666666666666668E-2</v>
      </c>
      <c r="K185">
        <v>671</v>
      </c>
      <c r="L185" s="4">
        <f t="shared" si="17"/>
        <v>9.3194444444444455E-2</v>
      </c>
      <c r="M185">
        <v>1017</v>
      </c>
      <c r="N185" s="4">
        <f t="shared" si="18"/>
        <v>0.14125000000000001</v>
      </c>
      <c r="O185">
        <v>2030</v>
      </c>
      <c r="P185" s="4">
        <f t="shared" si="19"/>
        <v>0.28194444444444444</v>
      </c>
      <c r="Q185" s="6">
        <f t="shared" si="14"/>
        <v>2030</v>
      </c>
      <c r="R185" s="6">
        <f t="shared" si="20"/>
        <v>3</v>
      </c>
      <c r="S185">
        <v>245</v>
      </c>
      <c r="T185">
        <v>58</v>
      </c>
      <c r="U185">
        <v>78</v>
      </c>
      <c r="V185">
        <v>1</v>
      </c>
      <c r="W185">
        <v>1</v>
      </c>
      <c r="X185">
        <v>104</v>
      </c>
      <c r="Y185" s="2" t="s">
        <v>258</v>
      </c>
      <c r="Z185">
        <v>41.863107061810602</v>
      </c>
      <c r="AA185">
        <v>12.6276496052742</v>
      </c>
      <c r="AB185" t="s">
        <v>78</v>
      </c>
      <c r="AC185" t="s">
        <v>81</v>
      </c>
      <c r="AD185" t="s">
        <v>82</v>
      </c>
      <c r="AE185">
        <v>115196</v>
      </c>
      <c r="AF185">
        <v>0</v>
      </c>
      <c r="AG185">
        <v>0</v>
      </c>
      <c r="AH185">
        <v>0</v>
      </c>
      <c r="AI185">
        <v>10372</v>
      </c>
      <c r="AJ185">
        <v>18953</v>
      </c>
      <c r="AK185">
        <v>85871</v>
      </c>
      <c r="AL185">
        <v>20998</v>
      </c>
      <c r="AM185">
        <v>66961</v>
      </c>
      <c r="AN185">
        <v>307416</v>
      </c>
      <c r="AO185">
        <v>1080836</v>
      </c>
      <c r="AP185">
        <v>0</v>
      </c>
      <c r="AQ185">
        <v>0</v>
      </c>
      <c r="AR185">
        <v>1</v>
      </c>
      <c r="AS185">
        <v>8</v>
      </c>
      <c r="AT185">
        <v>7</v>
      </c>
      <c r="AU185">
        <v>17</v>
      </c>
      <c r="AV185">
        <v>0</v>
      </c>
      <c r="AW185">
        <v>0</v>
      </c>
      <c r="AX185">
        <v>3</v>
      </c>
      <c r="AY185">
        <v>0</v>
      </c>
      <c r="AZ185">
        <v>0</v>
      </c>
      <c r="BA185">
        <v>26</v>
      </c>
      <c r="BB185">
        <v>32</v>
      </c>
      <c r="BC185">
        <v>15</v>
      </c>
      <c r="BD185">
        <v>2</v>
      </c>
      <c r="BE185">
        <v>0</v>
      </c>
      <c r="BF185">
        <v>4</v>
      </c>
      <c r="BG185">
        <v>0</v>
      </c>
      <c r="BH185">
        <v>10</v>
      </c>
      <c r="BI185">
        <v>0</v>
      </c>
      <c r="BJ185">
        <v>41.863216700000002</v>
      </c>
      <c r="BK185">
        <v>12.627628</v>
      </c>
      <c r="BL185">
        <v>1200</v>
      </c>
      <c r="BM185" t="s">
        <v>83</v>
      </c>
      <c r="BN185" t="s">
        <v>84</v>
      </c>
      <c r="BO185" t="s">
        <v>85</v>
      </c>
      <c r="BP185" t="s">
        <v>86</v>
      </c>
      <c r="BQ185" t="s">
        <v>87</v>
      </c>
      <c r="BR185" t="s">
        <v>88</v>
      </c>
      <c r="BS185">
        <v>1790821</v>
      </c>
      <c r="BT185">
        <v>0</v>
      </c>
      <c r="BU185">
        <v>0</v>
      </c>
      <c r="BV185">
        <v>0</v>
      </c>
      <c r="BW185">
        <v>207450</v>
      </c>
      <c r="BX185">
        <v>379095</v>
      </c>
      <c r="BY185">
        <v>1204276</v>
      </c>
      <c r="BZ185">
        <v>1</v>
      </c>
      <c r="CA185" t="s">
        <v>259</v>
      </c>
      <c r="CB185" t="s">
        <v>260</v>
      </c>
      <c r="CC185" s="3">
        <v>46092.557106481479</v>
      </c>
      <c r="CD185" t="s">
        <v>91</v>
      </c>
    </row>
    <row r="186" spans="1:82" ht="16" x14ac:dyDescent="0.2">
      <c r="A186" t="s">
        <v>198</v>
      </c>
      <c r="B186" t="s">
        <v>199</v>
      </c>
      <c r="C186" t="s">
        <v>200</v>
      </c>
      <c r="D186" t="s">
        <v>78</v>
      </c>
      <c r="E186" t="s">
        <v>201</v>
      </c>
      <c r="F186">
        <v>2</v>
      </c>
      <c r="G186">
        <v>300</v>
      </c>
      <c r="H186" t="str">
        <f t="shared" si="15"/>
        <v>2x300</v>
      </c>
      <c r="I186">
        <v>317</v>
      </c>
      <c r="J186" s="4">
        <f t="shared" si="16"/>
        <v>8.8055555555555554E-2</v>
      </c>
      <c r="K186">
        <v>479</v>
      </c>
      <c r="L186" s="4">
        <f t="shared" si="17"/>
        <v>0.13305555555555557</v>
      </c>
      <c r="M186">
        <v>727</v>
      </c>
      <c r="N186" s="4">
        <f t="shared" si="18"/>
        <v>0.20194444444444445</v>
      </c>
      <c r="O186">
        <v>1450</v>
      </c>
      <c r="P186" s="4">
        <f t="shared" si="19"/>
        <v>0.40277777777777773</v>
      </c>
      <c r="Q186" s="6">
        <f t="shared" si="14"/>
        <v>2030</v>
      </c>
      <c r="R186" s="6">
        <f t="shared" si="20"/>
        <v>3</v>
      </c>
      <c r="S186">
        <v>156</v>
      </c>
      <c r="T186">
        <v>106</v>
      </c>
      <c r="U186">
        <v>20</v>
      </c>
      <c r="V186">
        <v>1</v>
      </c>
      <c r="W186">
        <v>-11</v>
      </c>
      <c r="X186">
        <v>75</v>
      </c>
      <c r="Y186" s="2" t="s">
        <v>202</v>
      </c>
      <c r="Z186">
        <v>45.096440000000001</v>
      </c>
      <c r="AA186">
        <v>7.5773299999999999</v>
      </c>
      <c r="AB186" t="s">
        <v>78</v>
      </c>
      <c r="AC186" t="s">
        <v>81</v>
      </c>
      <c r="AD186" t="s">
        <v>82</v>
      </c>
      <c r="AE186">
        <v>209864</v>
      </c>
      <c r="AF186">
        <v>121894</v>
      </c>
      <c r="AG186">
        <v>0</v>
      </c>
      <c r="AH186">
        <v>0</v>
      </c>
      <c r="AI186">
        <v>50905</v>
      </c>
      <c r="AJ186">
        <v>23679</v>
      </c>
      <c r="AK186">
        <v>13386</v>
      </c>
      <c r="AL186">
        <v>4127</v>
      </c>
      <c r="AM186">
        <v>14057</v>
      </c>
      <c r="AN186">
        <v>224758</v>
      </c>
      <c r="AO186">
        <v>1001900</v>
      </c>
      <c r="AP186">
        <v>0</v>
      </c>
      <c r="AQ186">
        <v>0</v>
      </c>
      <c r="AR186">
        <v>4</v>
      </c>
      <c r="AS186">
        <v>12</v>
      </c>
      <c r="AT186">
        <v>0</v>
      </c>
      <c r="AU186">
        <v>18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8</v>
      </c>
      <c r="BB186">
        <v>24</v>
      </c>
      <c r="BC186">
        <v>6</v>
      </c>
      <c r="BD186">
        <v>6</v>
      </c>
      <c r="BE186">
        <v>4</v>
      </c>
      <c r="BF186">
        <v>6</v>
      </c>
      <c r="BG186">
        <v>4</v>
      </c>
      <c r="BH186">
        <v>6</v>
      </c>
      <c r="BI186">
        <v>8</v>
      </c>
      <c r="BJ186">
        <v>45.096284300000001</v>
      </c>
      <c r="BK186">
        <v>7.5772747000000003</v>
      </c>
      <c r="BL186">
        <v>600</v>
      </c>
      <c r="BM186" t="s">
        <v>83</v>
      </c>
      <c r="BN186" t="s">
        <v>84</v>
      </c>
      <c r="BO186" t="s">
        <v>85</v>
      </c>
      <c r="BP186" t="s">
        <v>107</v>
      </c>
      <c r="BQ186" t="s">
        <v>203</v>
      </c>
      <c r="BR186" t="s">
        <v>204</v>
      </c>
      <c r="BS186">
        <v>4256363</v>
      </c>
      <c r="BT186">
        <v>2972073</v>
      </c>
      <c r="BU186">
        <v>0</v>
      </c>
      <c r="BV186">
        <v>0</v>
      </c>
      <c r="BW186">
        <v>542886</v>
      </c>
      <c r="BX186">
        <v>473642</v>
      </c>
      <c r="BY186">
        <v>267762</v>
      </c>
      <c r="BZ186">
        <v>1</v>
      </c>
      <c r="CA186" t="s">
        <v>205</v>
      </c>
      <c r="CB186" t="s">
        <v>206</v>
      </c>
      <c r="CC186" s="3">
        <v>46092.557106481479</v>
      </c>
      <c r="CD186" t="s">
        <v>91</v>
      </c>
    </row>
    <row r="187" spans="1:82" ht="16" x14ac:dyDescent="0.2">
      <c r="A187" t="s">
        <v>207</v>
      </c>
      <c r="B187" t="s">
        <v>208</v>
      </c>
      <c r="C187" t="s">
        <v>209</v>
      </c>
      <c r="D187" t="s">
        <v>78</v>
      </c>
      <c r="E187" t="s">
        <v>210</v>
      </c>
      <c r="F187">
        <v>2</v>
      </c>
      <c r="G187">
        <v>300</v>
      </c>
      <c r="H187" t="str">
        <f t="shared" si="15"/>
        <v>2x300</v>
      </c>
      <c r="I187">
        <v>316</v>
      </c>
      <c r="J187" s="4">
        <f t="shared" si="16"/>
        <v>8.7777777777777774E-2</v>
      </c>
      <c r="K187">
        <v>477</v>
      </c>
      <c r="L187" s="4">
        <f t="shared" si="17"/>
        <v>0.13250000000000001</v>
      </c>
      <c r="M187">
        <v>724</v>
      </c>
      <c r="N187" s="4">
        <f t="shared" si="18"/>
        <v>0.20111111111111113</v>
      </c>
      <c r="O187">
        <v>1444</v>
      </c>
      <c r="P187" s="4">
        <f t="shared" si="19"/>
        <v>0.40111111111111114</v>
      </c>
      <c r="Q187" s="6">
        <f t="shared" si="14"/>
        <v>2030</v>
      </c>
      <c r="R187" s="6">
        <f t="shared" si="20"/>
        <v>3</v>
      </c>
      <c r="S187">
        <v>156</v>
      </c>
      <c r="T187">
        <v>91</v>
      </c>
      <c r="U187">
        <v>3</v>
      </c>
      <c r="V187">
        <v>18</v>
      </c>
      <c r="W187">
        <v>-2</v>
      </c>
      <c r="X187">
        <v>85</v>
      </c>
      <c r="Y187" s="2" t="s">
        <v>211</v>
      </c>
      <c r="Z187">
        <v>43.850749999999998</v>
      </c>
      <c r="AA187">
        <v>11.166650000000001</v>
      </c>
      <c r="AB187" t="s">
        <v>78</v>
      </c>
      <c r="AC187" t="s">
        <v>81</v>
      </c>
      <c r="AD187" t="s">
        <v>82</v>
      </c>
      <c r="AE187">
        <v>202793</v>
      </c>
      <c r="AF187">
        <v>143010</v>
      </c>
      <c r="AG187">
        <v>0</v>
      </c>
      <c r="AH187">
        <v>23172</v>
      </c>
      <c r="AI187">
        <v>10149</v>
      </c>
      <c r="AJ187">
        <v>16384</v>
      </c>
      <c r="AK187">
        <v>10078</v>
      </c>
      <c r="AL187">
        <v>4216</v>
      </c>
      <c r="AM187">
        <v>19633</v>
      </c>
      <c r="AN187">
        <v>110037</v>
      </c>
      <c r="AO187">
        <v>510772</v>
      </c>
      <c r="AP187">
        <v>0</v>
      </c>
      <c r="AQ187">
        <v>0</v>
      </c>
      <c r="AR187">
        <v>3</v>
      </c>
      <c r="AS187">
        <v>3</v>
      </c>
      <c r="AT187">
        <v>4</v>
      </c>
      <c r="AU187">
        <v>12</v>
      </c>
      <c r="AV187">
        <v>0</v>
      </c>
      <c r="AW187">
        <v>1</v>
      </c>
      <c r="AX187">
        <v>2</v>
      </c>
      <c r="AY187">
        <v>0</v>
      </c>
      <c r="AZ187">
        <v>0</v>
      </c>
      <c r="BA187">
        <v>13</v>
      </c>
      <c r="BB187">
        <v>39</v>
      </c>
      <c r="BC187">
        <v>4</v>
      </c>
      <c r="BD187">
        <v>3</v>
      </c>
      <c r="BE187">
        <v>7</v>
      </c>
      <c r="BF187">
        <v>3</v>
      </c>
      <c r="BG187">
        <v>7</v>
      </c>
      <c r="BH187">
        <v>3</v>
      </c>
      <c r="BI187">
        <v>31</v>
      </c>
      <c r="BJ187">
        <v>43.851007500000001</v>
      </c>
      <c r="BK187">
        <v>11.1665563</v>
      </c>
      <c r="BL187">
        <v>600</v>
      </c>
      <c r="BM187" t="s">
        <v>83</v>
      </c>
      <c r="BN187" t="s">
        <v>84</v>
      </c>
      <c r="BO187" t="s">
        <v>85</v>
      </c>
      <c r="BP187" t="s">
        <v>86</v>
      </c>
      <c r="BQ187" t="s">
        <v>212</v>
      </c>
      <c r="BR187" t="s">
        <v>213</v>
      </c>
      <c r="BS187">
        <v>4725046</v>
      </c>
      <c r="BT187">
        <v>3529231</v>
      </c>
      <c r="BU187">
        <v>0</v>
      </c>
      <c r="BV187">
        <v>463454</v>
      </c>
      <c r="BW187">
        <v>203007</v>
      </c>
      <c r="BX187">
        <v>327741</v>
      </c>
      <c r="BY187">
        <v>201613</v>
      </c>
      <c r="BZ187">
        <v>1</v>
      </c>
      <c r="CA187" t="s">
        <v>214</v>
      </c>
      <c r="CB187" t="s">
        <v>215</v>
      </c>
      <c r="CC187" s="3">
        <v>46092.557106481479</v>
      </c>
      <c r="CD187" t="s">
        <v>91</v>
      </c>
    </row>
    <row r="188" spans="1:82" ht="16" x14ac:dyDescent="0.2">
      <c r="A188" t="s">
        <v>216</v>
      </c>
      <c r="B188" t="s">
        <v>217</v>
      </c>
      <c r="C188" t="s">
        <v>218</v>
      </c>
      <c r="D188" t="s">
        <v>78</v>
      </c>
      <c r="E188" t="s">
        <v>219</v>
      </c>
      <c r="F188">
        <v>2</v>
      </c>
      <c r="G188">
        <v>300</v>
      </c>
      <c r="H188" t="str">
        <f t="shared" si="15"/>
        <v>2x300</v>
      </c>
      <c r="I188">
        <v>292</v>
      </c>
      <c r="J188" s="4">
        <f t="shared" si="16"/>
        <v>8.111111111111112E-2</v>
      </c>
      <c r="K188">
        <v>441</v>
      </c>
      <c r="L188" s="4">
        <f t="shared" si="17"/>
        <v>0.1225</v>
      </c>
      <c r="M188">
        <v>669</v>
      </c>
      <c r="N188" s="4">
        <f t="shared" si="18"/>
        <v>0.18583333333333332</v>
      </c>
      <c r="O188">
        <v>1335</v>
      </c>
      <c r="P188" s="4">
        <f t="shared" si="19"/>
        <v>0.37083333333333335</v>
      </c>
      <c r="Q188" s="6">
        <f t="shared" si="14"/>
        <v>2030</v>
      </c>
      <c r="R188" s="6">
        <f t="shared" si="20"/>
        <v>3</v>
      </c>
      <c r="S188">
        <v>156</v>
      </c>
      <c r="T188">
        <v>17</v>
      </c>
      <c r="U188">
        <v>18</v>
      </c>
      <c r="V188">
        <v>88</v>
      </c>
      <c r="W188">
        <v>-13</v>
      </c>
      <c r="X188">
        <v>41</v>
      </c>
      <c r="Y188" s="2" t="s">
        <v>220</v>
      </c>
      <c r="Z188">
        <v>45.383009795788404</v>
      </c>
      <c r="AA188">
        <v>9.1695129950985805</v>
      </c>
      <c r="AB188" t="s">
        <v>78</v>
      </c>
      <c r="AC188" t="s">
        <v>81</v>
      </c>
      <c r="AD188" t="s">
        <v>82</v>
      </c>
      <c r="AE188">
        <v>79705</v>
      </c>
      <c r="AF188">
        <v>0</v>
      </c>
      <c r="AG188">
        <v>0</v>
      </c>
      <c r="AH188">
        <v>0</v>
      </c>
      <c r="AI188">
        <v>0</v>
      </c>
      <c r="AJ188">
        <v>79705</v>
      </c>
      <c r="AK188">
        <v>0</v>
      </c>
      <c r="AL188">
        <v>10566</v>
      </c>
      <c r="AM188">
        <v>38475</v>
      </c>
      <c r="AN188">
        <v>128963</v>
      </c>
      <c r="AO188">
        <v>867369</v>
      </c>
      <c r="AP188">
        <v>0</v>
      </c>
      <c r="AQ188">
        <v>0</v>
      </c>
      <c r="AR188">
        <v>2</v>
      </c>
      <c r="AS188">
        <v>4</v>
      </c>
      <c r="AT188">
        <v>5</v>
      </c>
      <c r="AU188">
        <v>16</v>
      </c>
      <c r="AV188">
        <v>32</v>
      </c>
      <c r="AW188">
        <v>0</v>
      </c>
      <c r="AX188">
        <v>1</v>
      </c>
      <c r="AY188">
        <v>0</v>
      </c>
      <c r="AZ188">
        <v>0</v>
      </c>
      <c r="BA188">
        <v>13</v>
      </c>
      <c r="BB188">
        <v>17</v>
      </c>
      <c r="BC188">
        <v>0</v>
      </c>
      <c r="BD188">
        <v>0</v>
      </c>
      <c r="BE188">
        <v>0</v>
      </c>
      <c r="BF188">
        <v>4</v>
      </c>
      <c r="BG188">
        <v>0</v>
      </c>
      <c r="BH188">
        <v>11</v>
      </c>
      <c r="BI188">
        <v>0</v>
      </c>
      <c r="BJ188">
        <v>45.382950000000001</v>
      </c>
      <c r="BK188">
        <v>9.1695899000000001</v>
      </c>
      <c r="BL188">
        <v>600</v>
      </c>
      <c r="BM188" t="s">
        <v>83</v>
      </c>
      <c r="BN188" t="s">
        <v>84</v>
      </c>
      <c r="BO188" t="s">
        <v>85</v>
      </c>
      <c r="BP188" t="s">
        <v>107</v>
      </c>
      <c r="BQ188" t="s">
        <v>108</v>
      </c>
      <c r="BR188" t="s">
        <v>109</v>
      </c>
      <c r="BS188">
        <v>1594168</v>
      </c>
      <c r="BT188">
        <v>0</v>
      </c>
      <c r="BU188">
        <v>0</v>
      </c>
      <c r="BV188">
        <v>0</v>
      </c>
      <c r="BW188">
        <v>0</v>
      </c>
      <c r="BX188">
        <v>1594168</v>
      </c>
      <c r="BY188">
        <v>0</v>
      </c>
      <c r="BZ188">
        <v>1</v>
      </c>
      <c r="CA188" t="s">
        <v>221</v>
      </c>
      <c r="CB188" t="s">
        <v>222</v>
      </c>
      <c r="CC188" s="3">
        <v>46092.557106481479</v>
      </c>
      <c r="CD188" t="s">
        <v>91</v>
      </c>
    </row>
    <row r="189" spans="1:82" ht="16" x14ac:dyDescent="0.2">
      <c r="A189" t="s">
        <v>223</v>
      </c>
      <c r="B189" t="s">
        <v>224</v>
      </c>
      <c r="C189" t="s">
        <v>225</v>
      </c>
      <c r="D189" t="s">
        <v>78</v>
      </c>
      <c r="E189" t="s">
        <v>226</v>
      </c>
      <c r="F189">
        <v>2</v>
      </c>
      <c r="G189">
        <v>300</v>
      </c>
      <c r="H189" t="str">
        <f t="shared" si="15"/>
        <v>2x300</v>
      </c>
      <c r="I189">
        <v>292</v>
      </c>
      <c r="J189" s="4">
        <f t="shared" si="16"/>
        <v>8.111111111111112E-2</v>
      </c>
      <c r="K189">
        <v>441</v>
      </c>
      <c r="L189" s="4">
        <f t="shared" si="17"/>
        <v>0.1225</v>
      </c>
      <c r="M189">
        <v>668</v>
      </c>
      <c r="N189" s="4">
        <f t="shared" si="18"/>
        <v>0.18555555555555556</v>
      </c>
      <c r="O189">
        <v>1334</v>
      </c>
      <c r="P189" s="4">
        <f t="shared" si="19"/>
        <v>0.37055555555555553</v>
      </c>
      <c r="Q189" s="6">
        <f t="shared" si="14"/>
        <v>2030</v>
      </c>
      <c r="R189" s="6">
        <f t="shared" si="20"/>
        <v>3</v>
      </c>
      <c r="S189">
        <v>156</v>
      </c>
      <c r="T189">
        <v>117</v>
      </c>
      <c r="U189">
        <v>-9</v>
      </c>
      <c r="V189">
        <v>-20</v>
      </c>
      <c r="W189">
        <v>-2</v>
      </c>
      <c r="X189">
        <v>85</v>
      </c>
      <c r="Y189" s="2" t="s">
        <v>227</v>
      </c>
      <c r="Z189">
        <v>45.662832350000002</v>
      </c>
      <c r="AA189">
        <v>9.21713263</v>
      </c>
      <c r="AB189" t="s">
        <v>78</v>
      </c>
      <c r="AC189" t="s">
        <v>81</v>
      </c>
      <c r="AD189" t="s">
        <v>82</v>
      </c>
      <c r="AE189">
        <v>193907</v>
      </c>
      <c r="AF189">
        <v>0</v>
      </c>
      <c r="AG189">
        <v>94890</v>
      </c>
      <c r="AH189">
        <v>0</v>
      </c>
      <c r="AI189">
        <v>13727</v>
      </c>
      <c r="AJ189">
        <v>74667</v>
      </c>
      <c r="AK189">
        <v>10623</v>
      </c>
      <c r="AL189">
        <v>5986</v>
      </c>
      <c r="AM189">
        <v>36455</v>
      </c>
      <c r="AN189">
        <v>211841</v>
      </c>
      <c r="AO189">
        <v>672437</v>
      </c>
      <c r="AP189">
        <v>0</v>
      </c>
      <c r="AQ189">
        <v>0</v>
      </c>
      <c r="AR189">
        <v>2</v>
      </c>
      <c r="AS189">
        <v>5</v>
      </c>
      <c r="AT189">
        <v>0</v>
      </c>
      <c r="AU189">
        <v>4</v>
      </c>
      <c r="AV189">
        <v>2</v>
      </c>
      <c r="AW189">
        <v>0</v>
      </c>
      <c r="AX189">
        <v>0</v>
      </c>
      <c r="AY189">
        <v>0</v>
      </c>
      <c r="AZ189">
        <v>0</v>
      </c>
      <c r="BA189">
        <v>6</v>
      </c>
      <c r="BB189">
        <v>23</v>
      </c>
      <c r="BC189">
        <v>0</v>
      </c>
      <c r="BD189">
        <v>0</v>
      </c>
      <c r="BE189">
        <v>0</v>
      </c>
      <c r="BF189">
        <v>2</v>
      </c>
      <c r="BG189">
        <v>0</v>
      </c>
      <c r="BH189">
        <v>4</v>
      </c>
      <c r="BI189">
        <v>0</v>
      </c>
      <c r="BJ189">
        <v>45.662960699999999</v>
      </c>
      <c r="BK189">
        <v>9.2171444999999999</v>
      </c>
      <c r="BL189">
        <v>600</v>
      </c>
      <c r="BM189" t="s">
        <v>83</v>
      </c>
      <c r="BN189" t="s">
        <v>84</v>
      </c>
      <c r="BO189" t="s">
        <v>85</v>
      </c>
      <c r="BP189" t="s">
        <v>107</v>
      </c>
      <c r="BQ189" t="s">
        <v>108</v>
      </c>
      <c r="BR189" t="s">
        <v>145</v>
      </c>
      <c r="BS189">
        <v>4315928</v>
      </c>
      <c r="BT189">
        <v>0</v>
      </c>
      <c r="BU189">
        <v>2409678</v>
      </c>
      <c r="BV189">
        <v>0</v>
      </c>
      <c r="BW189">
        <v>274542</v>
      </c>
      <c r="BX189">
        <v>1419143</v>
      </c>
      <c r="BY189">
        <v>212565</v>
      </c>
      <c r="BZ189">
        <v>1</v>
      </c>
      <c r="CA189" t="s">
        <v>228</v>
      </c>
      <c r="CB189" t="s">
        <v>229</v>
      </c>
      <c r="CC189" s="3">
        <v>46092.557106481479</v>
      </c>
      <c r="CD189" t="s">
        <v>91</v>
      </c>
    </row>
    <row r="190" spans="1:82" ht="16" x14ac:dyDescent="0.2">
      <c r="A190" t="s">
        <v>230</v>
      </c>
      <c r="B190" t="s">
        <v>231</v>
      </c>
      <c r="C190" t="s">
        <v>232</v>
      </c>
      <c r="D190" t="s">
        <v>78</v>
      </c>
      <c r="E190" t="s">
        <v>233</v>
      </c>
      <c r="F190">
        <v>2</v>
      </c>
      <c r="G190">
        <v>300</v>
      </c>
      <c r="H190" t="str">
        <f t="shared" si="15"/>
        <v>2x300</v>
      </c>
      <c r="I190">
        <v>290</v>
      </c>
      <c r="J190" s="4">
        <f t="shared" si="16"/>
        <v>8.0555555555555561E-2</v>
      </c>
      <c r="K190">
        <v>437</v>
      </c>
      <c r="L190" s="4">
        <f t="shared" si="17"/>
        <v>0.12138888888888889</v>
      </c>
      <c r="M190">
        <v>663</v>
      </c>
      <c r="N190" s="4">
        <f t="shared" si="18"/>
        <v>0.18416666666666667</v>
      </c>
      <c r="O190">
        <v>1324</v>
      </c>
      <c r="P190" s="4">
        <f t="shared" si="19"/>
        <v>0.36777777777777776</v>
      </c>
      <c r="Q190" s="6">
        <f t="shared" si="14"/>
        <v>2030</v>
      </c>
      <c r="R190" s="6">
        <f t="shared" si="20"/>
        <v>3</v>
      </c>
      <c r="S190">
        <v>156</v>
      </c>
      <c r="T190">
        <v>114</v>
      </c>
      <c r="U190">
        <v>-9</v>
      </c>
      <c r="V190">
        <v>-6</v>
      </c>
      <c r="W190">
        <v>-13</v>
      </c>
      <c r="X190">
        <v>82</v>
      </c>
      <c r="Y190" s="2" t="s">
        <v>234</v>
      </c>
      <c r="Z190">
        <v>45.6759010141757</v>
      </c>
      <c r="AA190">
        <v>9.2120198509229407</v>
      </c>
      <c r="AB190" t="s">
        <v>78</v>
      </c>
      <c r="AC190" t="s">
        <v>81</v>
      </c>
      <c r="AD190" t="s">
        <v>82</v>
      </c>
      <c r="AE190">
        <v>236096</v>
      </c>
      <c r="AF190">
        <v>0</v>
      </c>
      <c r="AG190">
        <v>140934</v>
      </c>
      <c r="AH190">
        <v>0</v>
      </c>
      <c r="AI190">
        <v>38782</v>
      </c>
      <c r="AJ190">
        <v>52553</v>
      </c>
      <c r="AK190">
        <v>3827</v>
      </c>
      <c r="AL190">
        <v>6463</v>
      </c>
      <c r="AM190">
        <v>34528</v>
      </c>
      <c r="AN190">
        <v>186775</v>
      </c>
      <c r="AO190">
        <v>618304</v>
      </c>
      <c r="AP190">
        <v>0</v>
      </c>
      <c r="AQ190">
        <v>1</v>
      </c>
      <c r="AR190">
        <v>3</v>
      </c>
      <c r="AS190">
        <v>6</v>
      </c>
      <c r="AT190">
        <v>0</v>
      </c>
      <c r="AU190">
        <v>18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6</v>
      </c>
      <c r="BB190">
        <v>30</v>
      </c>
      <c r="BC190">
        <v>0</v>
      </c>
      <c r="BD190">
        <v>0</v>
      </c>
      <c r="BE190">
        <v>0</v>
      </c>
      <c r="BF190">
        <v>2</v>
      </c>
      <c r="BG190">
        <v>0</v>
      </c>
      <c r="BH190">
        <v>8</v>
      </c>
      <c r="BI190">
        <v>0</v>
      </c>
      <c r="BJ190">
        <v>45.675989899999998</v>
      </c>
      <c r="BK190">
        <v>9.2120499999999996</v>
      </c>
      <c r="BL190">
        <v>600</v>
      </c>
      <c r="BM190" t="s">
        <v>83</v>
      </c>
      <c r="BN190" t="s">
        <v>84</v>
      </c>
      <c r="BO190" t="s">
        <v>85</v>
      </c>
      <c r="BP190" t="s">
        <v>107</v>
      </c>
      <c r="BQ190" t="s">
        <v>108</v>
      </c>
      <c r="BR190" t="s">
        <v>145</v>
      </c>
      <c r="BS190">
        <v>4083868</v>
      </c>
      <c r="BT190">
        <v>0</v>
      </c>
      <c r="BU190">
        <v>2268414</v>
      </c>
      <c r="BV190">
        <v>0</v>
      </c>
      <c r="BW190">
        <v>560469</v>
      </c>
      <c r="BX190">
        <v>1178418</v>
      </c>
      <c r="BY190">
        <v>76567</v>
      </c>
      <c r="BZ190">
        <v>1</v>
      </c>
      <c r="CA190" t="s">
        <v>235</v>
      </c>
      <c r="CB190" t="s">
        <v>236</v>
      </c>
      <c r="CC190" s="3">
        <v>46092.557106481479</v>
      </c>
      <c r="CD190" t="s">
        <v>91</v>
      </c>
    </row>
    <row r="191" spans="1:82" ht="16" x14ac:dyDescent="0.2">
      <c r="A191" t="s">
        <v>237</v>
      </c>
      <c r="B191" t="s">
        <v>238</v>
      </c>
      <c r="C191" t="s">
        <v>239</v>
      </c>
      <c r="D191" t="s">
        <v>78</v>
      </c>
      <c r="E191" t="s">
        <v>240</v>
      </c>
      <c r="F191">
        <v>2</v>
      </c>
      <c r="G191">
        <v>300</v>
      </c>
      <c r="H191" t="str">
        <f t="shared" si="15"/>
        <v>2x300</v>
      </c>
      <c r="I191">
        <v>284</v>
      </c>
      <c r="J191" s="4">
        <f t="shared" si="16"/>
        <v>7.8888888888888883E-2</v>
      </c>
      <c r="K191">
        <v>429</v>
      </c>
      <c r="L191" s="4">
        <f t="shared" si="17"/>
        <v>0.11916666666666666</v>
      </c>
      <c r="M191">
        <v>651</v>
      </c>
      <c r="N191" s="4">
        <f t="shared" si="18"/>
        <v>0.18083333333333332</v>
      </c>
      <c r="O191">
        <v>1299</v>
      </c>
      <c r="P191" s="4">
        <f t="shared" si="19"/>
        <v>0.36083333333333334</v>
      </c>
      <c r="Q191" s="6">
        <f t="shared" si="14"/>
        <v>2030</v>
      </c>
      <c r="R191" s="6">
        <f t="shared" si="20"/>
        <v>3</v>
      </c>
      <c r="S191">
        <v>156</v>
      </c>
      <c r="T191">
        <v>57</v>
      </c>
      <c r="U191">
        <v>32</v>
      </c>
      <c r="V191">
        <v>12</v>
      </c>
      <c r="W191">
        <v>-12</v>
      </c>
      <c r="X191">
        <v>68</v>
      </c>
      <c r="Y191" s="2" t="s">
        <v>241</v>
      </c>
      <c r="Z191">
        <v>38.149430000000002</v>
      </c>
      <c r="AA191">
        <v>13.324400000000001</v>
      </c>
      <c r="AB191" t="s">
        <v>78</v>
      </c>
      <c r="AC191" t="s">
        <v>81</v>
      </c>
      <c r="AD191" t="s">
        <v>82</v>
      </c>
      <c r="AE191">
        <v>77915</v>
      </c>
      <c r="AF191">
        <v>20753</v>
      </c>
      <c r="AG191">
        <v>19347</v>
      </c>
      <c r="AH191">
        <v>0</v>
      </c>
      <c r="AI191">
        <v>11631</v>
      </c>
      <c r="AJ191">
        <v>25337</v>
      </c>
      <c r="AK191">
        <v>847</v>
      </c>
      <c r="AL191">
        <v>26913</v>
      </c>
      <c r="AM191">
        <v>93421</v>
      </c>
      <c r="AN191">
        <v>409881</v>
      </c>
      <c r="AO191">
        <v>703780</v>
      </c>
      <c r="AP191">
        <v>0</v>
      </c>
      <c r="AQ191">
        <v>0</v>
      </c>
      <c r="AR191">
        <v>0</v>
      </c>
      <c r="AS191">
        <v>4</v>
      </c>
      <c r="AT191">
        <v>2</v>
      </c>
      <c r="AU191">
        <v>18</v>
      </c>
      <c r="AV191">
        <v>0</v>
      </c>
      <c r="AW191">
        <v>0</v>
      </c>
      <c r="AX191">
        <v>0</v>
      </c>
      <c r="AY191">
        <v>2</v>
      </c>
      <c r="AZ191">
        <v>0</v>
      </c>
      <c r="BA191">
        <v>18</v>
      </c>
      <c r="BB191">
        <v>36</v>
      </c>
      <c r="BC191">
        <v>0</v>
      </c>
      <c r="BD191">
        <v>0</v>
      </c>
      <c r="BE191">
        <v>0</v>
      </c>
      <c r="BF191">
        <v>8</v>
      </c>
      <c r="BG191">
        <v>0</v>
      </c>
      <c r="BH191">
        <v>12</v>
      </c>
      <c r="BI191">
        <v>0</v>
      </c>
      <c r="BJ191">
        <v>38.149563399999998</v>
      </c>
      <c r="BK191">
        <v>13.3241649</v>
      </c>
      <c r="BL191">
        <v>600</v>
      </c>
      <c r="BM191" t="s">
        <v>83</v>
      </c>
      <c r="BN191" t="s">
        <v>84</v>
      </c>
      <c r="BO191" t="s">
        <v>85</v>
      </c>
      <c r="BP191" t="s">
        <v>242</v>
      </c>
      <c r="BQ191" t="s">
        <v>243</v>
      </c>
      <c r="BR191" t="s">
        <v>244</v>
      </c>
      <c r="BS191">
        <v>1798940</v>
      </c>
      <c r="BT191">
        <v>539587</v>
      </c>
      <c r="BU191">
        <v>503028</v>
      </c>
      <c r="BV191">
        <v>0</v>
      </c>
      <c r="BW191">
        <v>232623</v>
      </c>
      <c r="BX191">
        <v>506761</v>
      </c>
      <c r="BY191">
        <v>16941</v>
      </c>
      <c r="BZ191">
        <v>1</v>
      </c>
      <c r="CA191" t="s">
        <v>245</v>
      </c>
      <c r="CB191" t="s">
        <v>246</v>
      </c>
      <c r="CC191" s="3">
        <v>46092.557106481479</v>
      </c>
      <c r="CD191" t="s">
        <v>91</v>
      </c>
    </row>
    <row r="192" spans="1:82" ht="16" x14ac:dyDescent="0.2">
      <c r="A192" t="s">
        <v>247</v>
      </c>
      <c r="B192" t="s">
        <v>248</v>
      </c>
      <c r="C192" t="s">
        <v>249</v>
      </c>
      <c r="D192" t="s">
        <v>78</v>
      </c>
      <c r="E192" t="s">
        <v>250</v>
      </c>
      <c r="F192">
        <v>2</v>
      </c>
      <c r="G192">
        <v>300</v>
      </c>
      <c r="H192" t="str">
        <f t="shared" si="15"/>
        <v>2x300</v>
      </c>
      <c r="I192">
        <v>283</v>
      </c>
      <c r="J192" s="4">
        <f t="shared" si="16"/>
        <v>7.8611111111111118E-2</v>
      </c>
      <c r="K192">
        <v>428</v>
      </c>
      <c r="L192" s="4">
        <f t="shared" si="17"/>
        <v>0.11888888888888889</v>
      </c>
      <c r="M192">
        <v>649</v>
      </c>
      <c r="N192" s="4">
        <f t="shared" si="18"/>
        <v>0.18027777777777779</v>
      </c>
      <c r="O192">
        <v>1294</v>
      </c>
      <c r="P192" s="4">
        <f t="shared" si="19"/>
        <v>0.35944444444444446</v>
      </c>
      <c r="Q192" s="6">
        <f t="shared" si="14"/>
        <v>2030</v>
      </c>
      <c r="R192" s="6">
        <f t="shared" si="20"/>
        <v>3</v>
      </c>
      <c r="S192">
        <v>156</v>
      </c>
      <c r="T192">
        <v>109</v>
      </c>
      <c r="U192">
        <v>0</v>
      </c>
      <c r="V192">
        <v>-29</v>
      </c>
      <c r="W192">
        <v>-4</v>
      </c>
      <c r="X192">
        <v>87</v>
      </c>
      <c r="Y192" s="2" t="s">
        <v>251</v>
      </c>
      <c r="Z192">
        <v>41.981140000000003</v>
      </c>
      <c r="AA192">
        <v>12.416320000000001</v>
      </c>
      <c r="AB192" t="s">
        <v>78</v>
      </c>
      <c r="AC192" t="s">
        <v>81</v>
      </c>
      <c r="AD192" t="s">
        <v>82</v>
      </c>
      <c r="AE192">
        <v>222440</v>
      </c>
      <c r="AF192">
        <v>165680</v>
      </c>
      <c r="AG192">
        <v>0</v>
      </c>
      <c r="AH192">
        <v>0</v>
      </c>
      <c r="AI192">
        <v>27982</v>
      </c>
      <c r="AJ192">
        <v>28778</v>
      </c>
      <c r="AK192">
        <v>0</v>
      </c>
      <c r="AL192">
        <v>5255</v>
      </c>
      <c r="AM192">
        <v>19410</v>
      </c>
      <c r="AN192">
        <v>117846</v>
      </c>
      <c r="AO192">
        <v>697284</v>
      </c>
      <c r="AP192">
        <v>2</v>
      </c>
      <c r="AQ192">
        <v>0</v>
      </c>
      <c r="AR192">
        <v>1</v>
      </c>
      <c r="AS192">
        <v>2</v>
      </c>
      <c r="AT192">
        <v>2</v>
      </c>
      <c r="AU192">
        <v>22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0</v>
      </c>
      <c r="BJ192">
        <v>41.980959900000002</v>
      </c>
      <c r="BK192">
        <v>12.416189899999999</v>
      </c>
      <c r="BL192">
        <v>600</v>
      </c>
      <c r="BM192" t="s">
        <v>83</v>
      </c>
      <c r="BN192" t="s">
        <v>84</v>
      </c>
      <c r="BO192" t="s">
        <v>85</v>
      </c>
      <c r="BP192" t="s">
        <v>86</v>
      </c>
      <c r="BQ192" t="s">
        <v>87</v>
      </c>
      <c r="BR192" t="s">
        <v>88</v>
      </c>
      <c r="BS192">
        <v>4111295</v>
      </c>
      <c r="BT192">
        <v>2976037</v>
      </c>
      <c r="BU192">
        <v>0</v>
      </c>
      <c r="BV192">
        <v>0</v>
      </c>
      <c r="BW192">
        <v>559665</v>
      </c>
      <c r="BX192">
        <v>575593</v>
      </c>
      <c r="BY192">
        <v>0</v>
      </c>
      <c r="BZ192">
        <v>1</v>
      </c>
      <c r="CA192" t="s">
        <v>252</v>
      </c>
      <c r="CB192" t="s">
        <v>253</v>
      </c>
      <c r="CC192" s="3">
        <v>46092.557106481479</v>
      </c>
      <c r="CD192" t="s">
        <v>91</v>
      </c>
    </row>
    <row r="193" spans="1:82" ht="16" x14ac:dyDescent="0.2">
      <c r="A193" t="s">
        <v>254</v>
      </c>
      <c r="B193" t="s">
        <v>255</v>
      </c>
      <c r="C193" t="s">
        <v>256</v>
      </c>
      <c r="D193" t="s">
        <v>78</v>
      </c>
      <c r="E193" t="s">
        <v>257</v>
      </c>
      <c r="F193">
        <v>2</v>
      </c>
      <c r="G193">
        <v>300</v>
      </c>
      <c r="H193" t="str">
        <f t="shared" si="15"/>
        <v>2x300</v>
      </c>
      <c r="I193">
        <v>283</v>
      </c>
      <c r="J193" s="4">
        <f t="shared" si="16"/>
        <v>7.8611111111111118E-2</v>
      </c>
      <c r="K193">
        <v>427</v>
      </c>
      <c r="L193" s="4">
        <f t="shared" si="17"/>
        <v>0.11861111111111111</v>
      </c>
      <c r="M193">
        <v>648</v>
      </c>
      <c r="N193" s="4">
        <f t="shared" si="18"/>
        <v>0.18000000000000002</v>
      </c>
      <c r="O193">
        <v>1294</v>
      </c>
      <c r="P193" s="4">
        <f t="shared" si="19"/>
        <v>0.35944444444444446</v>
      </c>
      <c r="Q193" s="6">
        <f t="shared" si="14"/>
        <v>2030</v>
      </c>
      <c r="R193" s="6">
        <f t="shared" si="20"/>
        <v>3</v>
      </c>
      <c r="S193">
        <v>156</v>
      </c>
      <c r="T193">
        <v>37</v>
      </c>
      <c r="U193">
        <v>50</v>
      </c>
      <c r="V193">
        <v>0</v>
      </c>
      <c r="W193">
        <v>1</v>
      </c>
      <c r="X193">
        <v>66</v>
      </c>
      <c r="Y193" s="2" t="s">
        <v>258</v>
      </c>
      <c r="Z193">
        <v>41.863107061810602</v>
      </c>
      <c r="AA193">
        <v>12.6276496052742</v>
      </c>
      <c r="AB193" t="s">
        <v>78</v>
      </c>
      <c r="AC193" t="s">
        <v>81</v>
      </c>
      <c r="AD193" t="s">
        <v>82</v>
      </c>
      <c r="AE193">
        <v>115196</v>
      </c>
      <c r="AF193">
        <v>0</v>
      </c>
      <c r="AG193">
        <v>0</v>
      </c>
      <c r="AH193">
        <v>0</v>
      </c>
      <c r="AI193">
        <v>10372</v>
      </c>
      <c r="AJ193">
        <v>18953</v>
      </c>
      <c r="AK193">
        <v>85871</v>
      </c>
      <c r="AL193">
        <v>20998</v>
      </c>
      <c r="AM193">
        <v>66961</v>
      </c>
      <c r="AN193">
        <v>307416</v>
      </c>
      <c r="AO193">
        <v>1080836</v>
      </c>
      <c r="AP193">
        <v>0</v>
      </c>
      <c r="AQ193">
        <v>0</v>
      </c>
      <c r="AR193">
        <v>1</v>
      </c>
      <c r="AS193">
        <v>8</v>
      </c>
      <c r="AT193">
        <v>7</v>
      </c>
      <c r="AU193">
        <v>17</v>
      </c>
      <c r="AV193">
        <v>0</v>
      </c>
      <c r="AW193">
        <v>0</v>
      </c>
      <c r="AX193">
        <v>3</v>
      </c>
      <c r="AY193">
        <v>0</v>
      </c>
      <c r="AZ193">
        <v>0</v>
      </c>
      <c r="BA193">
        <v>26</v>
      </c>
      <c r="BB193">
        <v>32</v>
      </c>
      <c r="BC193">
        <v>15</v>
      </c>
      <c r="BD193">
        <v>2</v>
      </c>
      <c r="BE193">
        <v>0</v>
      </c>
      <c r="BF193">
        <v>4</v>
      </c>
      <c r="BG193">
        <v>0</v>
      </c>
      <c r="BH193">
        <v>10</v>
      </c>
      <c r="BI193">
        <v>0</v>
      </c>
      <c r="BJ193">
        <v>41.863216700000002</v>
      </c>
      <c r="BK193">
        <v>12.627628</v>
      </c>
      <c r="BL193">
        <v>600</v>
      </c>
      <c r="BM193" t="s">
        <v>83</v>
      </c>
      <c r="BN193" t="s">
        <v>84</v>
      </c>
      <c r="BO193" t="s">
        <v>85</v>
      </c>
      <c r="BP193" t="s">
        <v>86</v>
      </c>
      <c r="BQ193" t="s">
        <v>87</v>
      </c>
      <c r="BR193" t="s">
        <v>88</v>
      </c>
      <c r="BS193">
        <v>1790821</v>
      </c>
      <c r="BT193">
        <v>0</v>
      </c>
      <c r="BU193">
        <v>0</v>
      </c>
      <c r="BV193">
        <v>0</v>
      </c>
      <c r="BW193">
        <v>207450</v>
      </c>
      <c r="BX193">
        <v>379095</v>
      </c>
      <c r="BY193">
        <v>1204276</v>
      </c>
      <c r="BZ193">
        <v>1</v>
      </c>
      <c r="CA193" t="s">
        <v>259</v>
      </c>
      <c r="CB193" t="s">
        <v>260</v>
      </c>
      <c r="CC193" s="3">
        <v>46092.557106481479</v>
      </c>
      <c r="CD193" t="s">
        <v>91</v>
      </c>
    </row>
    <row r="194" spans="1:82" ht="16" x14ac:dyDescent="0.2">
      <c r="A194" t="s">
        <v>261</v>
      </c>
      <c r="B194" t="s">
        <v>262</v>
      </c>
      <c r="C194" t="s">
        <v>263</v>
      </c>
      <c r="D194" t="s">
        <v>78</v>
      </c>
      <c r="E194" t="s">
        <v>264</v>
      </c>
      <c r="F194">
        <v>2</v>
      </c>
      <c r="G194">
        <v>300</v>
      </c>
      <c r="H194" t="str">
        <f t="shared" si="15"/>
        <v>2x300</v>
      </c>
      <c r="I194">
        <v>276</v>
      </c>
      <c r="J194" s="4">
        <f t="shared" si="16"/>
        <v>7.6666666666666675E-2</v>
      </c>
      <c r="K194">
        <v>417</v>
      </c>
      <c r="L194" s="4">
        <f t="shared" si="17"/>
        <v>0.11583333333333333</v>
      </c>
      <c r="M194">
        <v>632</v>
      </c>
      <c r="N194" s="4">
        <f t="shared" si="18"/>
        <v>0.17555555555555555</v>
      </c>
      <c r="O194">
        <v>1262</v>
      </c>
      <c r="P194" s="4">
        <f t="shared" si="19"/>
        <v>0.35055555555555556</v>
      </c>
      <c r="Q194" s="6">
        <f t="shared" ref="Q194:Q257" si="21">IF(J194&gt;=0.13,2026,IF(L194&gt;=0.14,2027,IF(N194&gt;=0.14,2030,IF(P194&gt;=0.14,2035,"later"))))</f>
        <v>2030</v>
      </c>
      <c r="R194" s="6">
        <f t="shared" si="20"/>
        <v>3</v>
      </c>
      <c r="S194">
        <v>156</v>
      </c>
      <c r="T194">
        <v>37</v>
      </c>
      <c r="U194">
        <v>12</v>
      </c>
      <c r="V194">
        <v>45</v>
      </c>
      <c r="W194">
        <v>-9</v>
      </c>
      <c r="X194">
        <v>60</v>
      </c>
      <c r="Y194" s="2" t="s">
        <v>265</v>
      </c>
      <c r="Z194">
        <v>44.491330369863803</v>
      </c>
      <c r="AA194">
        <v>11.423220410751499</v>
      </c>
      <c r="AB194" t="s">
        <v>78</v>
      </c>
      <c r="AC194" t="s">
        <v>81</v>
      </c>
      <c r="AD194" t="s">
        <v>82</v>
      </c>
      <c r="AE194">
        <v>19257</v>
      </c>
      <c r="AF194">
        <v>0</v>
      </c>
      <c r="AG194">
        <v>0</v>
      </c>
      <c r="AH194">
        <v>0</v>
      </c>
      <c r="AI194">
        <v>11817</v>
      </c>
      <c r="AJ194">
        <v>1667</v>
      </c>
      <c r="AK194">
        <v>5773</v>
      </c>
      <c r="AL194">
        <v>1585</v>
      </c>
      <c r="AM194">
        <v>7517</v>
      </c>
      <c r="AN194">
        <v>166841</v>
      </c>
      <c r="AO194">
        <v>427744</v>
      </c>
      <c r="AP194">
        <v>1</v>
      </c>
      <c r="AQ194">
        <v>1</v>
      </c>
      <c r="AR194">
        <v>6</v>
      </c>
      <c r="AS194">
        <v>39</v>
      </c>
      <c r="AT194">
        <v>2</v>
      </c>
      <c r="AU194">
        <v>10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18</v>
      </c>
      <c r="BB194">
        <v>41</v>
      </c>
      <c r="BC194">
        <v>12</v>
      </c>
      <c r="BD194">
        <v>2</v>
      </c>
      <c r="BE194">
        <v>0</v>
      </c>
      <c r="BF194">
        <v>2</v>
      </c>
      <c r="BG194">
        <v>0</v>
      </c>
      <c r="BH194">
        <v>6</v>
      </c>
      <c r="BI194">
        <v>4</v>
      </c>
      <c r="BJ194">
        <v>44.49136</v>
      </c>
      <c r="BK194">
        <v>11.423249999999999</v>
      </c>
      <c r="BL194">
        <v>600</v>
      </c>
      <c r="BM194" t="s">
        <v>83</v>
      </c>
      <c r="BN194" t="s">
        <v>84</v>
      </c>
      <c r="BO194" t="s">
        <v>85</v>
      </c>
      <c r="BP194" t="s">
        <v>160</v>
      </c>
      <c r="BQ194" t="s">
        <v>170</v>
      </c>
      <c r="BR194" t="s">
        <v>266</v>
      </c>
      <c r="BS194">
        <v>385188</v>
      </c>
      <c r="BT194">
        <v>0</v>
      </c>
      <c r="BU194">
        <v>0</v>
      </c>
      <c r="BV194">
        <v>0</v>
      </c>
      <c r="BW194">
        <v>236364</v>
      </c>
      <c r="BX194">
        <v>33346</v>
      </c>
      <c r="BY194">
        <v>115478</v>
      </c>
      <c r="BZ194">
        <v>1</v>
      </c>
      <c r="CA194" t="s">
        <v>267</v>
      </c>
      <c r="CB194" t="s">
        <v>268</v>
      </c>
      <c r="CC194" s="3">
        <v>46092.557106481479</v>
      </c>
      <c r="CD194" t="s">
        <v>91</v>
      </c>
    </row>
    <row r="195" spans="1:82" ht="16" x14ac:dyDescent="0.2">
      <c r="A195" t="s">
        <v>896</v>
      </c>
      <c r="B195" t="s">
        <v>199</v>
      </c>
      <c r="C195" t="s">
        <v>200</v>
      </c>
      <c r="D195" t="s">
        <v>78</v>
      </c>
      <c r="E195" t="s">
        <v>201</v>
      </c>
      <c r="F195">
        <v>2</v>
      </c>
      <c r="G195">
        <v>150</v>
      </c>
      <c r="H195" t="str">
        <f t="shared" ref="H195:H258" si="22">F195&amp;"x"&amp;G195</f>
        <v>2x150</v>
      </c>
      <c r="I195">
        <v>274</v>
      </c>
      <c r="J195" s="4">
        <f t="shared" ref="J195:J258" si="23">IF($G195=300,I195/75/$F195/24,IF($G195=150,I195/65/$F195/24,I195/40/$F195/24))</f>
        <v>8.7820512820512828E-2</v>
      </c>
      <c r="K195">
        <v>413</v>
      </c>
      <c r="L195" s="4">
        <f t="shared" ref="L195:L258" si="24">IF($G195=300,K195/75/$F195/24,IF($G195=150,K195/65/$F195/24,K195/40/$F195/24))</f>
        <v>0.13237179487179487</v>
      </c>
      <c r="M195">
        <v>626</v>
      </c>
      <c r="N195" s="4">
        <f t="shared" ref="N195:N258" si="25">IF($G195=300,M195/75/$F195/24,IF($G195=150,M195/65/$F195/24,M195/40/$F195/24))</f>
        <v>0.20064102564102562</v>
      </c>
      <c r="O195">
        <v>1250</v>
      </c>
      <c r="P195" s="4">
        <f t="shared" ref="P195:P258" si="26">IF($G195=300,O195/75/$F195/24,IF($G195=150,O195/65/$F195/24,O195/40/$F195/24))</f>
        <v>0.40064102564102561</v>
      </c>
      <c r="Q195" s="6">
        <f t="shared" si="21"/>
        <v>2030</v>
      </c>
      <c r="R195" s="6">
        <f t="shared" ref="R195:R258" si="27">IF(Q195=2026,1,IF(Q195=2027,2,IF(Q195=2030,3,IF(Q195=2035,4,666))))</f>
        <v>3</v>
      </c>
      <c r="S195">
        <v>135</v>
      </c>
      <c r="T195">
        <v>92</v>
      </c>
      <c r="U195">
        <v>17</v>
      </c>
      <c r="V195">
        <v>1</v>
      </c>
      <c r="W195">
        <v>-9</v>
      </c>
      <c r="X195">
        <v>65</v>
      </c>
      <c r="Y195" s="2" t="s">
        <v>202</v>
      </c>
      <c r="Z195">
        <v>45.096440000000001</v>
      </c>
      <c r="AA195">
        <v>7.5773299999999999</v>
      </c>
      <c r="AB195" t="s">
        <v>78</v>
      </c>
      <c r="AC195" t="s">
        <v>81</v>
      </c>
      <c r="AD195" t="s">
        <v>82</v>
      </c>
      <c r="AE195">
        <v>209864</v>
      </c>
      <c r="AF195">
        <v>121894</v>
      </c>
      <c r="AG195">
        <v>0</v>
      </c>
      <c r="AH195">
        <v>0</v>
      </c>
      <c r="AI195">
        <v>50905</v>
      </c>
      <c r="AJ195">
        <v>23679</v>
      </c>
      <c r="AK195">
        <v>13386</v>
      </c>
      <c r="AL195">
        <v>4127</v>
      </c>
      <c r="AM195">
        <v>14057</v>
      </c>
      <c r="AN195">
        <v>224758</v>
      </c>
      <c r="AO195">
        <v>1001900</v>
      </c>
      <c r="AP195">
        <v>0</v>
      </c>
      <c r="AQ195">
        <v>0</v>
      </c>
      <c r="AR195">
        <v>4</v>
      </c>
      <c r="AS195">
        <v>12</v>
      </c>
      <c r="AT195">
        <v>0</v>
      </c>
      <c r="AU195">
        <v>18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8</v>
      </c>
      <c r="BB195">
        <v>24</v>
      </c>
      <c r="BC195">
        <v>6</v>
      </c>
      <c r="BD195">
        <v>6</v>
      </c>
      <c r="BE195">
        <v>4</v>
      </c>
      <c r="BF195">
        <v>6</v>
      </c>
      <c r="BG195">
        <v>4</v>
      </c>
      <c r="BH195">
        <v>6</v>
      </c>
      <c r="BI195">
        <v>8</v>
      </c>
      <c r="BJ195">
        <v>45.096284300000001</v>
      </c>
      <c r="BK195">
        <v>7.5772747000000003</v>
      </c>
      <c r="BL195">
        <v>300</v>
      </c>
      <c r="BM195" t="s">
        <v>83</v>
      </c>
      <c r="BN195" t="s">
        <v>84</v>
      </c>
      <c r="BO195" t="s">
        <v>85</v>
      </c>
      <c r="BP195" t="s">
        <v>107</v>
      </c>
      <c r="BQ195" t="s">
        <v>203</v>
      </c>
      <c r="BR195" t="s">
        <v>204</v>
      </c>
      <c r="BS195">
        <v>4256363</v>
      </c>
      <c r="BT195">
        <v>2972073</v>
      </c>
      <c r="BU195">
        <v>0</v>
      </c>
      <c r="BV195">
        <v>0</v>
      </c>
      <c r="BW195">
        <v>542886</v>
      </c>
      <c r="BX195">
        <v>473642</v>
      </c>
      <c r="BY195">
        <v>267762</v>
      </c>
      <c r="BZ195">
        <v>1</v>
      </c>
      <c r="CA195" t="s">
        <v>205</v>
      </c>
      <c r="CB195" t="s">
        <v>206</v>
      </c>
      <c r="CC195" s="3">
        <v>46092.557106481479</v>
      </c>
      <c r="CD195" t="s">
        <v>91</v>
      </c>
    </row>
    <row r="196" spans="1:82" ht="16" x14ac:dyDescent="0.2">
      <c r="A196" t="s">
        <v>897</v>
      </c>
      <c r="B196" t="s">
        <v>208</v>
      </c>
      <c r="C196" t="s">
        <v>209</v>
      </c>
      <c r="D196" t="s">
        <v>78</v>
      </c>
      <c r="E196" t="s">
        <v>210</v>
      </c>
      <c r="F196">
        <v>2</v>
      </c>
      <c r="G196">
        <v>150</v>
      </c>
      <c r="H196" t="str">
        <f t="shared" si="22"/>
        <v>2x150</v>
      </c>
      <c r="I196">
        <v>272</v>
      </c>
      <c r="J196" s="4">
        <f t="shared" si="23"/>
        <v>8.7179487179487189E-2</v>
      </c>
      <c r="K196">
        <v>411</v>
      </c>
      <c r="L196" s="4">
        <f t="shared" si="24"/>
        <v>0.13173076923076923</v>
      </c>
      <c r="M196">
        <v>624</v>
      </c>
      <c r="N196" s="4">
        <f t="shared" si="25"/>
        <v>0.19999999999999998</v>
      </c>
      <c r="O196">
        <v>1245</v>
      </c>
      <c r="P196" s="4">
        <f t="shared" si="26"/>
        <v>0.39903846153846151</v>
      </c>
      <c r="Q196" s="6">
        <f t="shared" si="21"/>
        <v>2030</v>
      </c>
      <c r="R196" s="6">
        <f t="shared" si="27"/>
        <v>3</v>
      </c>
      <c r="S196">
        <v>135</v>
      </c>
      <c r="T196">
        <v>79</v>
      </c>
      <c r="U196">
        <v>3</v>
      </c>
      <c r="V196">
        <v>16</v>
      </c>
      <c r="W196">
        <v>-1</v>
      </c>
      <c r="X196">
        <v>73</v>
      </c>
      <c r="Y196" s="2" t="s">
        <v>211</v>
      </c>
      <c r="Z196">
        <v>43.850749999999998</v>
      </c>
      <c r="AA196">
        <v>11.166650000000001</v>
      </c>
      <c r="AB196" t="s">
        <v>78</v>
      </c>
      <c r="AC196" t="s">
        <v>81</v>
      </c>
      <c r="AD196" t="s">
        <v>82</v>
      </c>
      <c r="AE196">
        <v>202793</v>
      </c>
      <c r="AF196">
        <v>143010</v>
      </c>
      <c r="AG196">
        <v>0</v>
      </c>
      <c r="AH196">
        <v>23172</v>
      </c>
      <c r="AI196">
        <v>10149</v>
      </c>
      <c r="AJ196">
        <v>16384</v>
      </c>
      <c r="AK196">
        <v>10078</v>
      </c>
      <c r="AL196">
        <v>4216</v>
      </c>
      <c r="AM196">
        <v>19633</v>
      </c>
      <c r="AN196">
        <v>110037</v>
      </c>
      <c r="AO196">
        <v>510772</v>
      </c>
      <c r="AP196">
        <v>0</v>
      </c>
      <c r="AQ196">
        <v>0</v>
      </c>
      <c r="AR196">
        <v>3</v>
      </c>
      <c r="AS196">
        <v>3</v>
      </c>
      <c r="AT196">
        <v>4</v>
      </c>
      <c r="AU196">
        <v>12</v>
      </c>
      <c r="AV196">
        <v>0</v>
      </c>
      <c r="AW196">
        <v>1</v>
      </c>
      <c r="AX196">
        <v>2</v>
      </c>
      <c r="AY196">
        <v>0</v>
      </c>
      <c r="AZ196">
        <v>0</v>
      </c>
      <c r="BA196">
        <v>13</v>
      </c>
      <c r="BB196">
        <v>39</v>
      </c>
      <c r="BC196">
        <v>4</v>
      </c>
      <c r="BD196">
        <v>3</v>
      </c>
      <c r="BE196">
        <v>7</v>
      </c>
      <c r="BF196">
        <v>3</v>
      </c>
      <c r="BG196">
        <v>7</v>
      </c>
      <c r="BH196">
        <v>3</v>
      </c>
      <c r="BI196">
        <v>31</v>
      </c>
      <c r="BJ196">
        <v>43.851007500000001</v>
      </c>
      <c r="BK196">
        <v>11.1665563</v>
      </c>
      <c r="BL196">
        <v>300</v>
      </c>
      <c r="BM196" t="s">
        <v>83</v>
      </c>
      <c r="BN196" t="s">
        <v>84</v>
      </c>
      <c r="BO196" t="s">
        <v>85</v>
      </c>
      <c r="BP196" t="s">
        <v>86</v>
      </c>
      <c r="BQ196" t="s">
        <v>212</v>
      </c>
      <c r="BR196" t="s">
        <v>213</v>
      </c>
      <c r="BS196">
        <v>4725046</v>
      </c>
      <c r="BT196">
        <v>3529231</v>
      </c>
      <c r="BU196">
        <v>0</v>
      </c>
      <c r="BV196">
        <v>463454</v>
      </c>
      <c r="BW196">
        <v>203007</v>
      </c>
      <c r="BX196">
        <v>327741</v>
      </c>
      <c r="BY196">
        <v>201613</v>
      </c>
      <c r="BZ196">
        <v>1</v>
      </c>
      <c r="CA196" t="s">
        <v>214</v>
      </c>
      <c r="CB196" t="s">
        <v>215</v>
      </c>
      <c r="CC196" s="3">
        <v>46092.557106481479</v>
      </c>
      <c r="CD196" t="s">
        <v>91</v>
      </c>
    </row>
    <row r="197" spans="1:82" ht="16" x14ac:dyDescent="0.2">
      <c r="A197" t="s">
        <v>269</v>
      </c>
      <c r="B197" t="s">
        <v>270</v>
      </c>
      <c r="C197" t="s">
        <v>271</v>
      </c>
      <c r="D197" t="s">
        <v>78</v>
      </c>
      <c r="E197" t="s">
        <v>272</v>
      </c>
      <c r="F197">
        <v>2</v>
      </c>
      <c r="G197">
        <v>300</v>
      </c>
      <c r="H197" t="str">
        <f t="shared" si="22"/>
        <v>2x300</v>
      </c>
      <c r="I197">
        <v>269</v>
      </c>
      <c r="J197" s="4">
        <f t="shared" si="23"/>
        <v>7.4722222222222218E-2</v>
      </c>
      <c r="K197">
        <v>406</v>
      </c>
      <c r="L197" s="4">
        <f t="shared" si="24"/>
        <v>0.11277777777777777</v>
      </c>
      <c r="M197">
        <v>615</v>
      </c>
      <c r="N197" s="4">
        <f t="shared" si="25"/>
        <v>0.17083333333333331</v>
      </c>
      <c r="O197">
        <v>1228</v>
      </c>
      <c r="P197" s="4">
        <f t="shared" si="26"/>
        <v>0.34111111111111114</v>
      </c>
      <c r="Q197" s="6">
        <f t="shared" si="21"/>
        <v>2030</v>
      </c>
      <c r="R197" s="6">
        <f t="shared" si="27"/>
        <v>3</v>
      </c>
      <c r="S197">
        <v>156</v>
      </c>
      <c r="T197">
        <v>69</v>
      </c>
      <c r="U197">
        <v>12</v>
      </c>
      <c r="V197">
        <v>-8</v>
      </c>
      <c r="W197">
        <v>-3</v>
      </c>
      <c r="X197">
        <v>73</v>
      </c>
      <c r="Y197" s="2" t="s">
        <v>273</v>
      </c>
      <c r="Z197">
        <v>45.004628760000003</v>
      </c>
      <c r="AA197">
        <v>7.673297228</v>
      </c>
      <c r="AB197" t="s">
        <v>78</v>
      </c>
      <c r="AC197" t="s">
        <v>81</v>
      </c>
      <c r="AD197" t="s">
        <v>82</v>
      </c>
      <c r="AE197">
        <v>97999</v>
      </c>
      <c r="AF197">
        <v>22783</v>
      </c>
      <c r="AG197">
        <v>0</v>
      </c>
      <c r="AH197">
        <v>36351</v>
      </c>
      <c r="AI197">
        <v>32660</v>
      </c>
      <c r="AJ197">
        <v>2777</v>
      </c>
      <c r="AK197">
        <v>3428</v>
      </c>
      <c r="AL197">
        <v>13776</v>
      </c>
      <c r="AM197">
        <v>59105</v>
      </c>
      <c r="AN197">
        <v>274389</v>
      </c>
      <c r="AO197">
        <v>919379</v>
      </c>
      <c r="AP197">
        <v>7</v>
      </c>
      <c r="AQ197">
        <v>0</v>
      </c>
      <c r="AR197">
        <v>3</v>
      </c>
      <c r="AS197">
        <v>7</v>
      </c>
      <c r="AT197">
        <v>4</v>
      </c>
      <c r="AU197">
        <v>31</v>
      </c>
      <c r="AV197">
        <v>3</v>
      </c>
      <c r="AW197">
        <v>1</v>
      </c>
      <c r="AX197">
        <v>0</v>
      </c>
      <c r="AY197">
        <v>0</v>
      </c>
      <c r="AZ197">
        <v>0</v>
      </c>
      <c r="BA197">
        <v>3</v>
      </c>
      <c r="BB197">
        <v>60</v>
      </c>
      <c r="BC197">
        <v>1</v>
      </c>
      <c r="BD197">
        <v>2</v>
      </c>
      <c r="BE197">
        <v>0</v>
      </c>
      <c r="BF197">
        <v>2</v>
      </c>
      <c r="BG197">
        <v>0</v>
      </c>
      <c r="BH197">
        <v>14</v>
      </c>
      <c r="BI197">
        <v>0</v>
      </c>
      <c r="BJ197">
        <v>45.004663899999997</v>
      </c>
      <c r="BK197">
        <v>7.6733604</v>
      </c>
      <c r="BL197">
        <v>600</v>
      </c>
      <c r="BM197" t="s">
        <v>83</v>
      </c>
      <c r="BN197" t="s">
        <v>84</v>
      </c>
      <c r="BO197" t="s">
        <v>85</v>
      </c>
      <c r="BP197" t="s">
        <v>107</v>
      </c>
      <c r="BQ197" t="s">
        <v>203</v>
      </c>
      <c r="BR197" t="s">
        <v>204</v>
      </c>
      <c r="BS197">
        <v>2225227</v>
      </c>
      <c r="BT197">
        <v>592381</v>
      </c>
      <c r="BU197">
        <v>0</v>
      </c>
      <c r="BV197">
        <v>855461</v>
      </c>
      <c r="BW197">
        <v>653247</v>
      </c>
      <c r="BX197">
        <v>55551</v>
      </c>
      <c r="BY197">
        <v>68587</v>
      </c>
      <c r="BZ197">
        <v>1</v>
      </c>
      <c r="CA197" t="s">
        <v>274</v>
      </c>
      <c r="CB197" t="s">
        <v>275</v>
      </c>
      <c r="CC197" s="3">
        <v>46092.557106481479</v>
      </c>
      <c r="CD197" t="s">
        <v>91</v>
      </c>
    </row>
    <row r="198" spans="1:82" ht="16" x14ac:dyDescent="0.2">
      <c r="A198" t="s">
        <v>276</v>
      </c>
      <c r="B198" t="s">
        <v>277</v>
      </c>
      <c r="C198" t="s">
        <v>278</v>
      </c>
      <c r="D198" t="s">
        <v>78</v>
      </c>
      <c r="E198" t="s">
        <v>279</v>
      </c>
      <c r="F198">
        <v>2</v>
      </c>
      <c r="G198">
        <v>300</v>
      </c>
      <c r="H198" t="str">
        <f t="shared" si="22"/>
        <v>2x300</v>
      </c>
      <c r="I198">
        <v>257</v>
      </c>
      <c r="J198" s="4">
        <f t="shared" si="23"/>
        <v>7.1388888888888891E-2</v>
      </c>
      <c r="K198">
        <v>389</v>
      </c>
      <c r="L198" s="4">
        <f t="shared" si="24"/>
        <v>0.10805555555555556</v>
      </c>
      <c r="M198">
        <v>589</v>
      </c>
      <c r="N198" s="4">
        <f t="shared" si="25"/>
        <v>0.16361111111111112</v>
      </c>
      <c r="O198">
        <v>1176</v>
      </c>
      <c r="P198" s="4">
        <f t="shared" si="26"/>
        <v>0.32666666666666666</v>
      </c>
      <c r="Q198" s="6">
        <f t="shared" si="21"/>
        <v>2030</v>
      </c>
      <c r="R198" s="6">
        <f t="shared" si="27"/>
        <v>3</v>
      </c>
      <c r="S198">
        <v>156</v>
      </c>
      <c r="T198">
        <v>37</v>
      </c>
      <c r="U198">
        <v>2</v>
      </c>
      <c r="V198">
        <v>14</v>
      </c>
      <c r="W198">
        <v>8</v>
      </c>
      <c r="X198">
        <v>70</v>
      </c>
      <c r="Y198" s="2" t="s">
        <v>280</v>
      </c>
      <c r="Z198">
        <v>45.726508951397797</v>
      </c>
      <c r="AA198">
        <v>9.06701614907705</v>
      </c>
      <c r="AB198" t="s">
        <v>78</v>
      </c>
      <c r="AC198" t="s">
        <v>81</v>
      </c>
      <c r="AD198" t="s">
        <v>82</v>
      </c>
      <c r="AE198">
        <v>46743</v>
      </c>
      <c r="AF198">
        <v>0</v>
      </c>
      <c r="AG198">
        <v>0</v>
      </c>
      <c r="AH198">
        <v>16238</v>
      </c>
      <c r="AI198">
        <v>18056</v>
      </c>
      <c r="AJ198">
        <v>8349</v>
      </c>
      <c r="AK198">
        <v>4100</v>
      </c>
      <c r="AL198">
        <v>4046</v>
      </c>
      <c r="AM198">
        <v>10944</v>
      </c>
      <c r="AN198">
        <v>87536</v>
      </c>
      <c r="AO198">
        <v>383559</v>
      </c>
      <c r="AP198">
        <v>0</v>
      </c>
      <c r="AQ198">
        <v>1</v>
      </c>
      <c r="AR198">
        <v>4</v>
      </c>
      <c r="AS198">
        <v>8</v>
      </c>
      <c r="AT198">
        <v>2</v>
      </c>
      <c r="AU198">
        <v>6</v>
      </c>
      <c r="AV198">
        <v>2</v>
      </c>
      <c r="AW198">
        <v>1</v>
      </c>
      <c r="AX198">
        <v>1</v>
      </c>
      <c r="AY198">
        <v>0</v>
      </c>
      <c r="AZ198">
        <v>0</v>
      </c>
      <c r="BA198">
        <v>9</v>
      </c>
      <c r="BB198">
        <v>9</v>
      </c>
      <c r="BC198">
        <v>7</v>
      </c>
      <c r="BD198">
        <v>0</v>
      </c>
      <c r="BE198">
        <v>0</v>
      </c>
      <c r="BF198">
        <v>2</v>
      </c>
      <c r="BG198">
        <v>0</v>
      </c>
      <c r="BH198">
        <v>2</v>
      </c>
      <c r="BI198">
        <v>0</v>
      </c>
      <c r="BJ198">
        <v>45.726507400000003</v>
      </c>
      <c r="BK198">
        <v>9.0669971</v>
      </c>
      <c r="BL198">
        <v>600</v>
      </c>
      <c r="BM198" t="s">
        <v>83</v>
      </c>
      <c r="BN198" t="s">
        <v>84</v>
      </c>
      <c r="BO198" t="s">
        <v>85</v>
      </c>
      <c r="BP198" t="s">
        <v>107</v>
      </c>
      <c r="BQ198" t="s">
        <v>108</v>
      </c>
      <c r="BR198" t="s">
        <v>281</v>
      </c>
      <c r="BS198">
        <v>934986</v>
      </c>
      <c r="BT198">
        <v>0</v>
      </c>
      <c r="BU198">
        <v>0</v>
      </c>
      <c r="BV198">
        <v>324781</v>
      </c>
      <c r="BW198">
        <v>361151</v>
      </c>
      <c r="BX198">
        <v>167013</v>
      </c>
      <c r="BY198">
        <v>82041</v>
      </c>
      <c r="BZ198">
        <v>1</v>
      </c>
      <c r="CA198" t="s">
        <v>282</v>
      </c>
      <c r="CB198" t="s">
        <v>283</v>
      </c>
      <c r="CC198" s="3">
        <v>46092.557106481479</v>
      </c>
      <c r="CD198" t="s">
        <v>91</v>
      </c>
    </row>
    <row r="199" spans="1:82" ht="16" x14ac:dyDescent="0.2">
      <c r="A199" t="s">
        <v>958</v>
      </c>
      <c r="B199" t="s">
        <v>217</v>
      </c>
      <c r="C199" t="s">
        <v>218</v>
      </c>
      <c r="D199" t="s">
        <v>78</v>
      </c>
      <c r="E199" t="s">
        <v>219</v>
      </c>
      <c r="F199">
        <v>2</v>
      </c>
      <c r="G199">
        <v>150</v>
      </c>
      <c r="H199" t="str">
        <f t="shared" si="22"/>
        <v>2x150</v>
      </c>
      <c r="I199">
        <v>252</v>
      </c>
      <c r="J199" s="4">
        <f t="shared" si="23"/>
        <v>8.0769230769230774E-2</v>
      </c>
      <c r="K199">
        <v>380</v>
      </c>
      <c r="L199" s="4">
        <f t="shared" si="24"/>
        <v>0.12179487179487179</v>
      </c>
      <c r="M199">
        <v>577</v>
      </c>
      <c r="N199" s="4">
        <f t="shared" si="25"/>
        <v>0.18493589743589745</v>
      </c>
      <c r="O199">
        <v>1151</v>
      </c>
      <c r="P199" s="4">
        <f t="shared" si="26"/>
        <v>0.36891025641025643</v>
      </c>
      <c r="Q199" s="6">
        <f t="shared" si="21"/>
        <v>2030</v>
      </c>
      <c r="R199" s="6">
        <f t="shared" si="27"/>
        <v>3</v>
      </c>
      <c r="S199">
        <v>135</v>
      </c>
      <c r="T199">
        <v>15</v>
      </c>
      <c r="U199">
        <v>16</v>
      </c>
      <c r="V199">
        <v>76</v>
      </c>
      <c r="W199">
        <v>-11</v>
      </c>
      <c r="X199">
        <v>35</v>
      </c>
      <c r="Y199" s="2" t="s">
        <v>220</v>
      </c>
      <c r="Z199">
        <v>45.383009795788404</v>
      </c>
      <c r="AA199">
        <v>9.1695129950985805</v>
      </c>
      <c r="AB199" t="s">
        <v>78</v>
      </c>
      <c r="AC199" t="s">
        <v>81</v>
      </c>
      <c r="AD199" t="s">
        <v>82</v>
      </c>
      <c r="AE199">
        <v>79705</v>
      </c>
      <c r="AF199">
        <v>0</v>
      </c>
      <c r="AG199">
        <v>0</v>
      </c>
      <c r="AH199">
        <v>0</v>
      </c>
      <c r="AI199">
        <v>0</v>
      </c>
      <c r="AJ199">
        <v>79705</v>
      </c>
      <c r="AK199">
        <v>0</v>
      </c>
      <c r="AL199">
        <v>10566</v>
      </c>
      <c r="AM199">
        <v>38475</v>
      </c>
      <c r="AN199">
        <v>128963</v>
      </c>
      <c r="AO199">
        <v>867369</v>
      </c>
      <c r="AP199">
        <v>0</v>
      </c>
      <c r="AQ199">
        <v>0</v>
      </c>
      <c r="AR199">
        <v>2</v>
      </c>
      <c r="AS199">
        <v>4</v>
      </c>
      <c r="AT199">
        <v>5</v>
      </c>
      <c r="AU199">
        <v>16</v>
      </c>
      <c r="AV199">
        <v>32</v>
      </c>
      <c r="AW199">
        <v>0</v>
      </c>
      <c r="AX199">
        <v>1</v>
      </c>
      <c r="AY199">
        <v>0</v>
      </c>
      <c r="AZ199">
        <v>0</v>
      </c>
      <c r="BA199">
        <v>13</v>
      </c>
      <c r="BB199">
        <v>17</v>
      </c>
      <c r="BC199">
        <v>0</v>
      </c>
      <c r="BD199">
        <v>0</v>
      </c>
      <c r="BE199">
        <v>0</v>
      </c>
      <c r="BF199">
        <v>4</v>
      </c>
      <c r="BG199">
        <v>0</v>
      </c>
      <c r="BH199">
        <v>11</v>
      </c>
      <c r="BI199">
        <v>0</v>
      </c>
      <c r="BJ199">
        <v>45.382950000000001</v>
      </c>
      <c r="BK199">
        <v>9.1695899000000001</v>
      </c>
      <c r="BL199">
        <v>300</v>
      </c>
      <c r="BM199" t="s">
        <v>83</v>
      </c>
      <c r="BN199" t="s">
        <v>84</v>
      </c>
      <c r="BO199" t="s">
        <v>85</v>
      </c>
      <c r="BP199" t="s">
        <v>107</v>
      </c>
      <c r="BQ199" t="s">
        <v>108</v>
      </c>
      <c r="BR199" t="s">
        <v>109</v>
      </c>
      <c r="BS199">
        <v>1594168</v>
      </c>
      <c r="BT199">
        <v>0</v>
      </c>
      <c r="BU199">
        <v>0</v>
      </c>
      <c r="BV199">
        <v>0</v>
      </c>
      <c r="BW199">
        <v>0</v>
      </c>
      <c r="BX199">
        <v>1594168</v>
      </c>
      <c r="BY199">
        <v>0</v>
      </c>
      <c r="BZ199">
        <v>1</v>
      </c>
      <c r="CA199" t="s">
        <v>221</v>
      </c>
      <c r="CB199" t="s">
        <v>222</v>
      </c>
      <c r="CC199" s="3">
        <v>46092.557106481479</v>
      </c>
      <c r="CD199" t="s">
        <v>91</v>
      </c>
    </row>
    <row r="200" spans="1:82" ht="16" x14ac:dyDescent="0.2">
      <c r="A200" t="s">
        <v>959</v>
      </c>
      <c r="B200" t="s">
        <v>224</v>
      </c>
      <c r="C200" t="s">
        <v>225</v>
      </c>
      <c r="D200" t="s">
        <v>78</v>
      </c>
      <c r="E200" t="s">
        <v>226</v>
      </c>
      <c r="F200">
        <v>2</v>
      </c>
      <c r="G200">
        <v>150</v>
      </c>
      <c r="H200" t="str">
        <f t="shared" si="22"/>
        <v>2x150</v>
      </c>
      <c r="I200">
        <v>252</v>
      </c>
      <c r="J200" s="4">
        <f t="shared" si="23"/>
        <v>8.0769230769230774E-2</v>
      </c>
      <c r="K200">
        <v>380</v>
      </c>
      <c r="L200" s="4">
        <f t="shared" si="24"/>
        <v>0.12179487179487179</v>
      </c>
      <c r="M200">
        <v>576</v>
      </c>
      <c r="N200" s="4">
        <f t="shared" si="25"/>
        <v>0.18461538461538463</v>
      </c>
      <c r="O200">
        <v>1150</v>
      </c>
      <c r="P200" s="4">
        <f t="shared" si="26"/>
        <v>0.36858974358974361</v>
      </c>
      <c r="Q200" s="6">
        <f t="shared" si="21"/>
        <v>2030</v>
      </c>
      <c r="R200" s="6">
        <f t="shared" si="27"/>
        <v>3</v>
      </c>
      <c r="S200">
        <v>135</v>
      </c>
      <c r="T200">
        <v>101</v>
      </c>
      <c r="U200">
        <v>-8</v>
      </c>
      <c r="V200">
        <v>-17</v>
      </c>
      <c r="W200">
        <v>-1</v>
      </c>
      <c r="X200">
        <v>73</v>
      </c>
      <c r="Y200" s="2" t="s">
        <v>227</v>
      </c>
      <c r="Z200">
        <v>45.662832350000002</v>
      </c>
      <c r="AA200">
        <v>9.21713263</v>
      </c>
      <c r="AB200" t="s">
        <v>78</v>
      </c>
      <c r="AC200" t="s">
        <v>81</v>
      </c>
      <c r="AD200" t="s">
        <v>82</v>
      </c>
      <c r="AE200">
        <v>193907</v>
      </c>
      <c r="AF200">
        <v>0</v>
      </c>
      <c r="AG200">
        <v>94890</v>
      </c>
      <c r="AH200">
        <v>0</v>
      </c>
      <c r="AI200">
        <v>13727</v>
      </c>
      <c r="AJ200">
        <v>74667</v>
      </c>
      <c r="AK200">
        <v>10623</v>
      </c>
      <c r="AL200">
        <v>5986</v>
      </c>
      <c r="AM200">
        <v>36455</v>
      </c>
      <c r="AN200">
        <v>211841</v>
      </c>
      <c r="AO200">
        <v>672437</v>
      </c>
      <c r="AP200">
        <v>0</v>
      </c>
      <c r="AQ200">
        <v>0</v>
      </c>
      <c r="AR200">
        <v>2</v>
      </c>
      <c r="AS200">
        <v>5</v>
      </c>
      <c r="AT200">
        <v>0</v>
      </c>
      <c r="AU200">
        <v>4</v>
      </c>
      <c r="AV200">
        <v>2</v>
      </c>
      <c r="AW200">
        <v>0</v>
      </c>
      <c r="AX200">
        <v>0</v>
      </c>
      <c r="AY200">
        <v>0</v>
      </c>
      <c r="AZ200">
        <v>0</v>
      </c>
      <c r="BA200">
        <v>6</v>
      </c>
      <c r="BB200">
        <v>23</v>
      </c>
      <c r="BC200">
        <v>0</v>
      </c>
      <c r="BD200">
        <v>0</v>
      </c>
      <c r="BE200">
        <v>0</v>
      </c>
      <c r="BF200">
        <v>2</v>
      </c>
      <c r="BG200">
        <v>0</v>
      </c>
      <c r="BH200">
        <v>4</v>
      </c>
      <c r="BI200">
        <v>0</v>
      </c>
      <c r="BJ200">
        <v>45.662960699999999</v>
      </c>
      <c r="BK200">
        <v>9.2171444999999999</v>
      </c>
      <c r="BL200">
        <v>300</v>
      </c>
      <c r="BM200" t="s">
        <v>83</v>
      </c>
      <c r="BN200" t="s">
        <v>84</v>
      </c>
      <c r="BO200" t="s">
        <v>85</v>
      </c>
      <c r="BP200" t="s">
        <v>107</v>
      </c>
      <c r="BQ200" t="s">
        <v>108</v>
      </c>
      <c r="BR200" t="s">
        <v>145</v>
      </c>
      <c r="BS200">
        <v>4315928</v>
      </c>
      <c r="BT200">
        <v>0</v>
      </c>
      <c r="BU200">
        <v>2409678</v>
      </c>
      <c r="BV200">
        <v>0</v>
      </c>
      <c r="BW200">
        <v>274542</v>
      </c>
      <c r="BX200">
        <v>1419143</v>
      </c>
      <c r="BY200">
        <v>212565</v>
      </c>
      <c r="BZ200">
        <v>1</v>
      </c>
      <c r="CA200" t="s">
        <v>228</v>
      </c>
      <c r="CB200" t="s">
        <v>229</v>
      </c>
      <c r="CC200" s="3">
        <v>46092.557106481479</v>
      </c>
      <c r="CD200" t="s">
        <v>91</v>
      </c>
    </row>
    <row r="201" spans="1:82" ht="16" x14ac:dyDescent="0.2">
      <c r="A201" t="s">
        <v>284</v>
      </c>
      <c r="B201" t="s">
        <v>285</v>
      </c>
      <c r="C201" t="s">
        <v>286</v>
      </c>
      <c r="D201" t="s">
        <v>78</v>
      </c>
      <c r="E201" t="s">
        <v>287</v>
      </c>
      <c r="F201">
        <v>2</v>
      </c>
      <c r="G201">
        <v>300</v>
      </c>
      <c r="H201" t="str">
        <f t="shared" si="22"/>
        <v>2x300</v>
      </c>
      <c r="I201">
        <v>251</v>
      </c>
      <c r="J201" s="4">
        <f t="shared" si="23"/>
        <v>6.9722222222222227E-2</v>
      </c>
      <c r="K201">
        <v>379</v>
      </c>
      <c r="L201" s="4">
        <f t="shared" si="24"/>
        <v>0.10527777777777779</v>
      </c>
      <c r="M201">
        <v>575</v>
      </c>
      <c r="N201" s="4">
        <f t="shared" si="25"/>
        <v>0.15972222222222224</v>
      </c>
      <c r="O201">
        <v>1147</v>
      </c>
      <c r="P201" s="4">
        <f t="shared" si="26"/>
        <v>0.31861111111111112</v>
      </c>
      <c r="Q201" s="6">
        <f t="shared" si="21"/>
        <v>2030</v>
      </c>
      <c r="R201" s="6">
        <f t="shared" si="27"/>
        <v>3</v>
      </c>
      <c r="S201">
        <v>156</v>
      </c>
      <c r="T201">
        <v>88</v>
      </c>
      <c r="U201">
        <v>-18</v>
      </c>
      <c r="V201">
        <v>-10</v>
      </c>
      <c r="W201">
        <v>-13</v>
      </c>
      <c r="X201">
        <v>79</v>
      </c>
      <c r="Y201" s="2" t="s">
        <v>288</v>
      </c>
      <c r="Z201">
        <v>45.166981</v>
      </c>
      <c r="AA201">
        <v>10.85084</v>
      </c>
      <c r="AB201" t="s">
        <v>78</v>
      </c>
      <c r="AC201" t="s">
        <v>81</v>
      </c>
      <c r="AD201" t="s">
        <v>82</v>
      </c>
      <c r="AE201">
        <v>121884</v>
      </c>
      <c r="AF201">
        <v>76247</v>
      </c>
      <c r="AG201">
        <v>16807</v>
      </c>
      <c r="AH201">
        <v>23765</v>
      </c>
      <c r="AI201">
        <v>0</v>
      </c>
      <c r="AJ201">
        <v>5065</v>
      </c>
      <c r="AK201">
        <v>0</v>
      </c>
      <c r="AL201">
        <v>3572</v>
      </c>
      <c r="AM201">
        <v>9539</v>
      </c>
      <c r="AN201">
        <v>39378</v>
      </c>
      <c r="AO201">
        <v>115707</v>
      </c>
      <c r="AP201">
        <v>1</v>
      </c>
      <c r="AQ201">
        <v>3</v>
      </c>
      <c r="AR201">
        <v>4</v>
      </c>
      <c r="AS201">
        <v>7</v>
      </c>
      <c r="AT201">
        <v>1</v>
      </c>
      <c r="AU201">
        <v>12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4</v>
      </c>
      <c r="BB201">
        <v>11</v>
      </c>
      <c r="BC201">
        <v>4</v>
      </c>
      <c r="BD201">
        <v>4</v>
      </c>
      <c r="BE201">
        <v>8</v>
      </c>
      <c r="BF201">
        <v>4</v>
      </c>
      <c r="BG201">
        <v>8</v>
      </c>
      <c r="BH201">
        <v>6</v>
      </c>
      <c r="BI201">
        <v>8</v>
      </c>
      <c r="BJ201">
        <v>45.166930000000001</v>
      </c>
      <c r="BK201">
        <v>10.850869899999999</v>
      </c>
      <c r="BL201">
        <v>600</v>
      </c>
      <c r="BM201" t="s">
        <v>83</v>
      </c>
      <c r="BN201" t="s">
        <v>84</v>
      </c>
      <c r="BO201" t="s">
        <v>85</v>
      </c>
      <c r="BP201" t="s">
        <v>107</v>
      </c>
      <c r="BQ201" t="s">
        <v>108</v>
      </c>
      <c r="BR201" t="s">
        <v>289</v>
      </c>
      <c r="BS201">
        <v>2895299</v>
      </c>
      <c r="BT201">
        <v>1982461</v>
      </c>
      <c r="BU201">
        <v>336162</v>
      </c>
      <c r="BV201">
        <v>475320</v>
      </c>
      <c r="BW201">
        <v>0</v>
      </c>
      <c r="BX201">
        <v>101356</v>
      </c>
      <c r="BY201">
        <v>0</v>
      </c>
      <c r="BZ201">
        <v>1</v>
      </c>
      <c r="CA201" t="s">
        <v>290</v>
      </c>
      <c r="CB201" t="s">
        <v>291</v>
      </c>
      <c r="CC201" s="3">
        <v>46092.557106481479</v>
      </c>
      <c r="CD201" t="s">
        <v>91</v>
      </c>
    </row>
    <row r="202" spans="1:82" ht="16" x14ac:dyDescent="0.2">
      <c r="A202" t="s">
        <v>292</v>
      </c>
      <c r="B202" t="s">
        <v>293</v>
      </c>
      <c r="C202" t="s">
        <v>294</v>
      </c>
      <c r="D202" t="s">
        <v>78</v>
      </c>
      <c r="E202" t="s">
        <v>295</v>
      </c>
      <c r="F202">
        <v>2</v>
      </c>
      <c r="G202">
        <v>300</v>
      </c>
      <c r="H202" t="str">
        <f t="shared" si="22"/>
        <v>2x300</v>
      </c>
      <c r="I202">
        <v>250</v>
      </c>
      <c r="J202" s="4">
        <f t="shared" si="23"/>
        <v>6.9444444444444448E-2</v>
      </c>
      <c r="K202">
        <v>378</v>
      </c>
      <c r="L202" s="4">
        <f t="shared" si="24"/>
        <v>0.105</v>
      </c>
      <c r="M202">
        <v>573</v>
      </c>
      <c r="N202" s="4">
        <f t="shared" si="25"/>
        <v>0.15916666666666665</v>
      </c>
      <c r="O202">
        <v>1144</v>
      </c>
      <c r="P202" s="4">
        <f t="shared" si="26"/>
        <v>0.31777777777777777</v>
      </c>
      <c r="Q202" s="6">
        <f t="shared" si="21"/>
        <v>2030</v>
      </c>
      <c r="R202" s="6">
        <f t="shared" si="27"/>
        <v>3</v>
      </c>
      <c r="S202">
        <v>156</v>
      </c>
      <c r="T202">
        <v>60</v>
      </c>
      <c r="U202">
        <v>-2</v>
      </c>
      <c r="V202">
        <v>17</v>
      </c>
      <c r="W202">
        <v>-21</v>
      </c>
      <c r="X202">
        <v>67</v>
      </c>
      <c r="Y202" s="2" t="s">
        <v>296</v>
      </c>
      <c r="Z202">
        <v>45.640895228938</v>
      </c>
      <c r="AA202">
        <v>9.6128151914067903</v>
      </c>
      <c r="AB202" t="s">
        <v>78</v>
      </c>
      <c r="AC202" t="s">
        <v>81</v>
      </c>
      <c r="AD202" t="s">
        <v>82</v>
      </c>
      <c r="AE202">
        <v>88728</v>
      </c>
      <c r="AF202">
        <v>0</v>
      </c>
      <c r="AG202">
        <v>0</v>
      </c>
      <c r="AH202">
        <v>35237</v>
      </c>
      <c r="AI202">
        <v>41167</v>
      </c>
      <c r="AJ202">
        <v>9460</v>
      </c>
      <c r="AK202">
        <v>2864</v>
      </c>
      <c r="AL202">
        <v>3951</v>
      </c>
      <c r="AM202">
        <v>18639</v>
      </c>
      <c r="AN202">
        <v>110547</v>
      </c>
      <c r="AO202">
        <v>433309</v>
      </c>
      <c r="AP202">
        <v>0</v>
      </c>
      <c r="AQ202">
        <v>0</v>
      </c>
      <c r="AR202">
        <v>3</v>
      </c>
      <c r="AS202">
        <v>4</v>
      </c>
      <c r="AT202">
        <v>3</v>
      </c>
      <c r="AU202">
        <v>8</v>
      </c>
      <c r="AV202">
        <v>2</v>
      </c>
      <c r="AW202">
        <v>0</v>
      </c>
      <c r="AX202">
        <v>1</v>
      </c>
      <c r="AY202">
        <v>0</v>
      </c>
      <c r="AZ202">
        <v>0</v>
      </c>
      <c r="BA202">
        <v>5</v>
      </c>
      <c r="BB202">
        <v>29</v>
      </c>
      <c r="BC202">
        <v>1</v>
      </c>
      <c r="BD202">
        <v>2</v>
      </c>
      <c r="BE202">
        <v>0</v>
      </c>
      <c r="BF202">
        <v>2</v>
      </c>
      <c r="BG202">
        <v>0</v>
      </c>
      <c r="BH202">
        <v>11</v>
      </c>
      <c r="BI202">
        <v>33</v>
      </c>
      <c r="BJ202">
        <v>45.641003499999997</v>
      </c>
      <c r="BK202">
        <v>9.6129010000000008</v>
      </c>
      <c r="BL202">
        <v>600</v>
      </c>
      <c r="BM202" t="s">
        <v>83</v>
      </c>
      <c r="BN202" t="s">
        <v>84</v>
      </c>
      <c r="BO202" t="s">
        <v>85</v>
      </c>
      <c r="BP202" t="s">
        <v>107</v>
      </c>
      <c r="BQ202" t="s">
        <v>108</v>
      </c>
      <c r="BR202" t="s">
        <v>297</v>
      </c>
      <c r="BS202">
        <v>2035930</v>
      </c>
      <c r="BT202">
        <v>0</v>
      </c>
      <c r="BU202">
        <v>0</v>
      </c>
      <c r="BV202">
        <v>821166</v>
      </c>
      <c r="BW202">
        <v>968225</v>
      </c>
      <c r="BX202">
        <v>189235</v>
      </c>
      <c r="BY202">
        <v>57304</v>
      </c>
      <c r="BZ202">
        <v>1</v>
      </c>
      <c r="CA202" t="s">
        <v>298</v>
      </c>
      <c r="CB202" t="s">
        <v>299</v>
      </c>
      <c r="CC202" s="3">
        <v>46092.557106481479</v>
      </c>
      <c r="CD202" t="s">
        <v>91</v>
      </c>
    </row>
    <row r="203" spans="1:82" ht="16" x14ac:dyDescent="0.2">
      <c r="A203" t="s">
        <v>960</v>
      </c>
      <c r="B203" t="s">
        <v>231</v>
      </c>
      <c r="C203" t="s">
        <v>232</v>
      </c>
      <c r="D203" t="s">
        <v>78</v>
      </c>
      <c r="E203" t="s">
        <v>233</v>
      </c>
      <c r="F203">
        <v>2</v>
      </c>
      <c r="G203">
        <v>150</v>
      </c>
      <c r="H203" t="str">
        <f t="shared" si="22"/>
        <v>2x150</v>
      </c>
      <c r="I203">
        <v>250</v>
      </c>
      <c r="J203" s="4">
        <f t="shared" si="23"/>
        <v>8.0128205128205135E-2</v>
      </c>
      <c r="K203">
        <v>377</v>
      </c>
      <c r="L203" s="4">
        <f t="shared" si="24"/>
        <v>0.12083333333333333</v>
      </c>
      <c r="M203">
        <v>572</v>
      </c>
      <c r="N203" s="4">
        <f t="shared" si="25"/>
        <v>0.18333333333333335</v>
      </c>
      <c r="O203">
        <v>1141</v>
      </c>
      <c r="P203" s="4">
        <f t="shared" si="26"/>
        <v>0.36570512820512824</v>
      </c>
      <c r="Q203" s="6">
        <f t="shared" si="21"/>
        <v>2030</v>
      </c>
      <c r="R203" s="6">
        <f t="shared" si="27"/>
        <v>3</v>
      </c>
      <c r="S203">
        <v>135</v>
      </c>
      <c r="T203">
        <v>98</v>
      </c>
      <c r="U203">
        <v>-7</v>
      </c>
      <c r="V203">
        <v>-6</v>
      </c>
      <c r="W203">
        <v>-11</v>
      </c>
      <c r="X203">
        <v>71</v>
      </c>
      <c r="Y203" s="2" t="s">
        <v>234</v>
      </c>
      <c r="Z203">
        <v>45.6759010141757</v>
      </c>
      <c r="AA203">
        <v>9.2120198509229407</v>
      </c>
      <c r="AB203" t="s">
        <v>78</v>
      </c>
      <c r="AC203" t="s">
        <v>81</v>
      </c>
      <c r="AD203" t="s">
        <v>82</v>
      </c>
      <c r="AE203">
        <v>236096</v>
      </c>
      <c r="AF203">
        <v>0</v>
      </c>
      <c r="AG203">
        <v>140934</v>
      </c>
      <c r="AH203">
        <v>0</v>
      </c>
      <c r="AI203">
        <v>38782</v>
      </c>
      <c r="AJ203">
        <v>52553</v>
      </c>
      <c r="AK203">
        <v>3827</v>
      </c>
      <c r="AL203">
        <v>6463</v>
      </c>
      <c r="AM203">
        <v>34528</v>
      </c>
      <c r="AN203">
        <v>186775</v>
      </c>
      <c r="AO203">
        <v>618304</v>
      </c>
      <c r="AP203">
        <v>0</v>
      </c>
      <c r="AQ203">
        <v>1</v>
      </c>
      <c r="AR203">
        <v>3</v>
      </c>
      <c r="AS203">
        <v>6</v>
      </c>
      <c r="AT203">
        <v>0</v>
      </c>
      <c r="AU203">
        <v>18</v>
      </c>
      <c r="AV203">
        <v>1</v>
      </c>
      <c r="AW203">
        <v>1</v>
      </c>
      <c r="AX203">
        <v>0</v>
      </c>
      <c r="AY203">
        <v>0</v>
      </c>
      <c r="AZ203">
        <v>0</v>
      </c>
      <c r="BA203">
        <v>6</v>
      </c>
      <c r="BB203">
        <v>30</v>
      </c>
      <c r="BC203">
        <v>0</v>
      </c>
      <c r="BD203">
        <v>0</v>
      </c>
      <c r="BE203">
        <v>0</v>
      </c>
      <c r="BF203">
        <v>2</v>
      </c>
      <c r="BG203">
        <v>0</v>
      </c>
      <c r="BH203">
        <v>8</v>
      </c>
      <c r="BI203">
        <v>0</v>
      </c>
      <c r="BJ203">
        <v>45.675989899999998</v>
      </c>
      <c r="BK203">
        <v>9.2120499999999996</v>
      </c>
      <c r="BL203">
        <v>300</v>
      </c>
      <c r="BM203" t="s">
        <v>83</v>
      </c>
      <c r="BN203" t="s">
        <v>84</v>
      </c>
      <c r="BO203" t="s">
        <v>85</v>
      </c>
      <c r="BP203" t="s">
        <v>107</v>
      </c>
      <c r="BQ203" t="s">
        <v>108</v>
      </c>
      <c r="BR203" t="s">
        <v>145</v>
      </c>
      <c r="BS203">
        <v>4083868</v>
      </c>
      <c r="BT203">
        <v>0</v>
      </c>
      <c r="BU203">
        <v>2268414</v>
      </c>
      <c r="BV203">
        <v>0</v>
      </c>
      <c r="BW203">
        <v>560469</v>
      </c>
      <c r="BX203">
        <v>1178418</v>
      </c>
      <c r="BY203">
        <v>76567</v>
      </c>
      <c r="BZ203">
        <v>1</v>
      </c>
      <c r="CA203" t="s">
        <v>235</v>
      </c>
      <c r="CB203" t="s">
        <v>236</v>
      </c>
      <c r="CC203" s="3">
        <v>46092.557106481479</v>
      </c>
      <c r="CD203" t="s">
        <v>91</v>
      </c>
    </row>
    <row r="204" spans="1:82" ht="16" x14ac:dyDescent="0.2">
      <c r="A204" t="s">
        <v>300</v>
      </c>
      <c r="B204" t="s">
        <v>301</v>
      </c>
      <c r="C204" t="s">
        <v>302</v>
      </c>
      <c r="D204" t="s">
        <v>78</v>
      </c>
      <c r="E204" t="s">
        <v>303</v>
      </c>
      <c r="F204">
        <v>2</v>
      </c>
      <c r="G204">
        <v>300</v>
      </c>
      <c r="H204" t="str">
        <f t="shared" si="22"/>
        <v>2x300</v>
      </c>
      <c r="I204">
        <v>249</v>
      </c>
      <c r="J204" s="4">
        <f t="shared" si="23"/>
        <v>6.9166666666666668E-2</v>
      </c>
      <c r="K204">
        <v>377</v>
      </c>
      <c r="L204" s="4">
        <f t="shared" si="24"/>
        <v>0.10472222222222222</v>
      </c>
      <c r="M204">
        <v>571</v>
      </c>
      <c r="N204" s="4">
        <f t="shared" si="25"/>
        <v>0.15861111111111112</v>
      </c>
      <c r="O204">
        <v>1140</v>
      </c>
      <c r="P204" s="4">
        <f t="shared" si="26"/>
        <v>0.31666666666666665</v>
      </c>
      <c r="Q204" s="6">
        <f t="shared" si="21"/>
        <v>2030</v>
      </c>
      <c r="R204" s="6">
        <f t="shared" si="27"/>
        <v>3</v>
      </c>
      <c r="S204">
        <v>156</v>
      </c>
      <c r="T204">
        <v>53</v>
      </c>
      <c r="U204">
        <v>-14</v>
      </c>
      <c r="V204">
        <v>-1</v>
      </c>
      <c r="W204">
        <v>6</v>
      </c>
      <c r="X204">
        <v>79</v>
      </c>
      <c r="Y204" s="2" t="s">
        <v>304</v>
      </c>
      <c r="Z204">
        <v>45.721255977942903</v>
      </c>
      <c r="AA204">
        <v>8.6899832509229409</v>
      </c>
      <c r="AB204" t="s">
        <v>78</v>
      </c>
      <c r="AC204" t="s">
        <v>81</v>
      </c>
      <c r="AD204" t="s">
        <v>82</v>
      </c>
      <c r="AE204">
        <v>49341</v>
      </c>
      <c r="AF204">
        <v>0</v>
      </c>
      <c r="AG204">
        <v>39961</v>
      </c>
      <c r="AH204">
        <v>0</v>
      </c>
      <c r="AI204">
        <v>4000</v>
      </c>
      <c r="AJ204">
        <v>5380</v>
      </c>
      <c r="AK204">
        <v>0</v>
      </c>
      <c r="AL204">
        <v>3571</v>
      </c>
      <c r="AM204">
        <v>6126</v>
      </c>
      <c r="AN204">
        <v>44773</v>
      </c>
      <c r="AO204">
        <v>177081</v>
      </c>
      <c r="AP204">
        <v>1</v>
      </c>
      <c r="AQ204">
        <v>1</v>
      </c>
      <c r="AR204">
        <v>2</v>
      </c>
      <c r="AS204">
        <v>7</v>
      </c>
      <c r="AT204">
        <v>0</v>
      </c>
      <c r="AU204">
        <v>13</v>
      </c>
      <c r="AV204">
        <v>6</v>
      </c>
      <c r="AW204">
        <v>4</v>
      </c>
      <c r="AX204">
        <v>0</v>
      </c>
      <c r="AY204">
        <v>0</v>
      </c>
      <c r="AZ204">
        <v>2</v>
      </c>
      <c r="BA204">
        <v>6</v>
      </c>
      <c r="BB204">
        <v>6</v>
      </c>
      <c r="BC204">
        <v>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45.721320800000001</v>
      </c>
      <c r="BK204">
        <v>8.6899504000000007</v>
      </c>
      <c r="BL204">
        <v>600</v>
      </c>
      <c r="BM204" t="s">
        <v>83</v>
      </c>
      <c r="BN204" t="s">
        <v>84</v>
      </c>
      <c r="BO204" t="s">
        <v>85</v>
      </c>
      <c r="BP204" t="s">
        <v>107</v>
      </c>
      <c r="BQ204" t="s">
        <v>108</v>
      </c>
      <c r="BR204" t="s">
        <v>305</v>
      </c>
      <c r="BS204">
        <v>986867</v>
      </c>
      <c r="BT204">
        <v>0</v>
      </c>
      <c r="BU204">
        <v>799228</v>
      </c>
      <c r="BV204">
        <v>0</v>
      </c>
      <c r="BW204">
        <v>80009</v>
      </c>
      <c r="BX204">
        <v>107630</v>
      </c>
      <c r="BY204">
        <v>0</v>
      </c>
      <c r="BZ204">
        <v>1</v>
      </c>
      <c r="CA204" t="s">
        <v>306</v>
      </c>
      <c r="CB204" t="s">
        <v>307</v>
      </c>
      <c r="CC204" s="3">
        <v>46092.557106481479</v>
      </c>
      <c r="CD204" t="s">
        <v>91</v>
      </c>
    </row>
    <row r="205" spans="1:82" ht="16" x14ac:dyDescent="0.2">
      <c r="A205" t="s">
        <v>308</v>
      </c>
      <c r="B205" t="s">
        <v>309</v>
      </c>
      <c r="C205" t="s">
        <v>310</v>
      </c>
      <c r="D205" t="s">
        <v>78</v>
      </c>
      <c r="E205" t="s">
        <v>311</v>
      </c>
      <c r="F205">
        <v>2</v>
      </c>
      <c r="G205">
        <v>300</v>
      </c>
      <c r="H205" t="str">
        <f t="shared" si="22"/>
        <v>2x300</v>
      </c>
      <c r="I205">
        <v>249</v>
      </c>
      <c r="J205" s="4">
        <f t="shared" si="23"/>
        <v>6.9166666666666668E-2</v>
      </c>
      <c r="K205">
        <v>376</v>
      </c>
      <c r="L205" s="4">
        <f t="shared" si="24"/>
        <v>0.10444444444444445</v>
      </c>
      <c r="M205">
        <v>570</v>
      </c>
      <c r="N205" s="4">
        <f t="shared" si="25"/>
        <v>0.15833333333333333</v>
      </c>
      <c r="O205">
        <v>1137</v>
      </c>
      <c r="P205" s="4">
        <f t="shared" si="26"/>
        <v>0.31583333333333335</v>
      </c>
      <c r="Q205" s="6">
        <f t="shared" si="21"/>
        <v>2030</v>
      </c>
      <c r="R205" s="6">
        <f t="shared" si="27"/>
        <v>3</v>
      </c>
      <c r="S205">
        <v>156</v>
      </c>
      <c r="T205">
        <v>64</v>
      </c>
      <c r="U205">
        <v>-20</v>
      </c>
      <c r="V205">
        <v>5</v>
      </c>
      <c r="W205">
        <v>-3</v>
      </c>
      <c r="X205">
        <v>76</v>
      </c>
      <c r="Y205" s="2" t="s">
        <v>312</v>
      </c>
      <c r="Z205">
        <v>45.426282578926099</v>
      </c>
      <c r="AA205">
        <v>8.6426109428872397</v>
      </c>
      <c r="AB205" t="s">
        <v>78</v>
      </c>
      <c r="AC205" t="s">
        <v>81</v>
      </c>
      <c r="AD205" t="s">
        <v>82</v>
      </c>
      <c r="AE205">
        <v>53017</v>
      </c>
      <c r="AF205">
        <v>0</v>
      </c>
      <c r="AG205">
        <v>28404</v>
      </c>
      <c r="AH205">
        <v>601</v>
      </c>
      <c r="AI205">
        <v>18814</v>
      </c>
      <c r="AJ205">
        <v>2916</v>
      </c>
      <c r="AK205">
        <v>2282</v>
      </c>
      <c r="AL205">
        <v>3890</v>
      </c>
      <c r="AM205">
        <v>18819</v>
      </c>
      <c r="AN205">
        <v>97732</v>
      </c>
      <c r="AO205">
        <v>167377</v>
      </c>
      <c r="AP205">
        <v>2</v>
      </c>
      <c r="AQ205">
        <v>0</v>
      </c>
      <c r="AR205">
        <v>4</v>
      </c>
      <c r="AS205">
        <v>10</v>
      </c>
      <c r="AT205">
        <v>2</v>
      </c>
      <c r="AU205">
        <v>15</v>
      </c>
      <c r="AV205">
        <v>0</v>
      </c>
      <c r="AW205">
        <v>1</v>
      </c>
      <c r="AX205">
        <v>1</v>
      </c>
      <c r="AY205">
        <v>0</v>
      </c>
      <c r="AZ205">
        <v>1</v>
      </c>
      <c r="BA205">
        <v>6</v>
      </c>
      <c r="BB205">
        <v>15</v>
      </c>
      <c r="BC205">
        <v>5</v>
      </c>
      <c r="BD205">
        <v>0</v>
      </c>
      <c r="BE205">
        <v>0</v>
      </c>
      <c r="BF205">
        <v>2</v>
      </c>
      <c r="BG205">
        <v>0</v>
      </c>
      <c r="BH205">
        <v>4</v>
      </c>
      <c r="BI205">
        <v>0</v>
      </c>
      <c r="BJ205">
        <v>45.426397199999997</v>
      </c>
      <c r="BK205">
        <v>8.6429290999999999</v>
      </c>
      <c r="BL205">
        <v>600</v>
      </c>
      <c r="BM205" t="s">
        <v>83</v>
      </c>
      <c r="BN205" t="s">
        <v>84</v>
      </c>
      <c r="BO205" t="s">
        <v>85</v>
      </c>
      <c r="BP205" t="s">
        <v>107</v>
      </c>
      <c r="BQ205" t="s">
        <v>203</v>
      </c>
      <c r="BR205" t="s">
        <v>310</v>
      </c>
      <c r="BS205">
        <v>1060490</v>
      </c>
      <c r="BT205">
        <v>0</v>
      </c>
      <c r="BU205">
        <v>568112</v>
      </c>
      <c r="BV205">
        <v>12037</v>
      </c>
      <c r="BW205">
        <v>376346</v>
      </c>
      <c r="BX205">
        <v>58345</v>
      </c>
      <c r="BY205">
        <v>45650</v>
      </c>
      <c r="BZ205">
        <v>1</v>
      </c>
      <c r="CA205" t="s">
        <v>313</v>
      </c>
      <c r="CB205" t="s">
        <v>314</v>
      </c>
      <c r="CC205" s="3">
        <v>46092.557106481479</v>
      </c>
      <c r="CD205" t="s">
        <v>91</v>
      </c>
    </row>
    <row r="206" spans="1:82" ht="16" x14ac:dyDescent="0.2">
      <c r="A206" t="s">
        <v>315</v>
      </c>
      <c r="B206" t="s">
        <v>316</v>
      </c>
      <c r="C206" t="s">
        <v>317</v>
      </c>
      <c r="D206" t="s">
        <v>78</v>
      </c>
      <c r="E206" t="s">
        <v>318</v>
      </c>
      <c r="F206">
        <v>2</v>
      </c>
      <c r="G206">
        <v>300</v>
      </c>
      <c r="H206" t="str">
        <f t="shared" si="22"/>
        <v>2x300</v>
      </c>
      <c r="I206">
        <v>247</v>
      </c>
      <c r="J206" s="4">
        <f t="shared" si="23"/>
        <v>6.8611111111111109E-2</v>
      </c>
      <c r="K206">
        <v>372</v>
      </c>
      <c r="L206" s="4">
        <f t="shared" si="24"/>
        <v>0.10333333333333333</v>
      </c>
      <c r="M206">
        <v>565</v>
      </c>
      <c r="N206" s="4">
        <f t="shared" si="25"/>
        <v>0.15694444444444444</v>
      </c>
      <c r="O206">
        <v>1127</v>
      </c>
      <c r="P206" s="4">
        <f t="shared" si="26"/>
        <v>0.31305555555555559</v>
      </c>
      <c r="Q206" s="6">
        <f t="shared" si="21"/>
        <v>2030</v>
      </c>
      <c r="R206" s="6">
        <f t="shared" si="27"/>
        <v>3</v>
      </c>
      <c r="S206">
        <v>156</v>
      </c>
      <c r="T206">
        <v>5</v>
      </c>
      <c r="U206">
        <v>3</v>
      </c>
      <c r="V206">
        <v>22</v>
      </c>
      <c r="W206">
        <v>25</v>
      </c>
      <c r="X206">
        <v>61</v>
      </c>
      <c r="Y206" s="2" t="s">
        <v>319</v>
      </c>
      <c r="Z206">
        <v>44.975902499999997</v>
      </c>
      <c r="AA206">
        <v>7.7123622000000003</v>
      </c>
      <c r="AB206" t="s">
        <v>78</v>
      </c>
      <c r="AC206" t="s">
        <v>81</v>
      </c>
      <c r="AD206" t="s">
        <v>82</v>
      </c>
      <c r="AE206">
        <v>40219</v>
      </c>
      <c r="AF206">
        <v>0</v>
      </c>
      <c r="AG206">
        <v>0</v>
      </c>
      <c r="AH206">
        <v>30060</v>
      </c>
      <c r="AI206">
        <v>7546</v>
      </c>
      <c r="AJ206">
        <v>2613</v>
      </c>
      <c r="AK206">
        <v>0</v>
      </c>
      <c r="AL206">
        <v>604</v>
      </c>
      <c r="AM206">
        <v>6239</v>
      </c>
      <c r="AN206">
        <v>69559</v>
      </c>
      <c r="AO206">
        <v>493323</v>
      </c>
      <c r="AP206">
        <v>0</v>
      </c>
      <c r="AQ206">
        <v>0</v>
      </c>
      <c r="AR206">
        <v>7</v>
      </c>
      <c r="AS206">
        <v>2</v>
      </c>
      <c r="AT206">
        <v>1</v>
      </c>
      <c r="AU206">
        <v>19</v>
      </c>
      <c r="AV206">
        <v>0</v>
      </c>
      <c r="AW206">
        <v>0</v>
      </c>
      <c r="AX206">
        <v>2</v>
      </c>
      <c r="AY206">
        <v>0</v>
      </c>
      <c r="AZ206">
        <v>2</v>
      </c>
      <c r="BA206">
        <v>14</v>
      </c>
      <c r="BB206">
        <v>28</v>
      </c>
      <c r="BC206">
        <v>13</v>
      </c>
      <c r="BD206">
        <v>8</v>
      </c>
      <c r="BE206">
        <v>8</v>
      </c>
      <c r="BF206">
        <v>10</v>
      </c>
      <c r="BG206">
        <v>16</v>
      </c>
      <c r="BH206">
        <v>18</v>
      </c>
      <c r="BI206">
        <v>16</v>
      </c>
      <c r="BJ206">
        <v>44.97589</v>
      </c>
      <c r="BK206">
        <v>7.7122298999999996</v>
      </c>
      <c r="BL206">
        <v>600</v>
      </c>
      <c r="BM206" t="s">
        <v>83</v>
      </c>
      <c r="BN206" t="s">
        <v>84</v>
      </c>
      <c r="BO206" t="s">
        <v>85</v>
      </c>
      <c r="BP206" t="s">
        <v>107</v>
      </c>
      <c r="BQ206" t="s">
        <v>203</v>
      </c>
      <c r="BR206" t="s">
        <v>204</v>
      </c>
      <c r="BS206">
        <v>804447</v>
      </c>
      <c r="BT206">
        <v>0</v>
      </c>
      <c r="BU206">
        <v>0</v>
      </c>
      <c r="BV206">
        <v>601260</v>
      </c>
      <c r="BW206">
        <v>150926</v>
      </c>
      <c r="BX206">
        <v>52261</v>
      </c>
      <c r="BY206">
        <v>0</v>
      </c>
      <c r="BZ206">
        <v>1</v>
      </c>
      <c r="CA206" t="s">
        <v>320</v>
      </c>
      <c r="CB206" t="s">
        <v>321</v>
      </c>
      <c r="CC206" s="3">
        <v>46092.557106481479</v>
      </c>
      <c r="CD206" t="s">
        <v>91</v>
      </c>
    </row>
    <row r="207" spans="1:82" ht="16" x14ac:dyDescent="0.2">
      <c r="A207" t="s">
        <v>969</v>
      </c>
      <c r="B207" t="s">
        <v>238</v>
      </c>
      <c r="C207" t="s">
        <v>239</v>
      </c>
      <c r="D207" t="s">
        <v>78</v>
      </c>
      <c r="E207" t="s">
        <v>240</v>
      </c>
      <c r="F207">
        <v>2</v>
      </c>
      <c r="G207">
        <v>150</v>
      </c>
      <c r="H207" t="str">
        <f t="shared" si="22"/>
        <v>2x150</v>
      </c>
      <c r="I207">
        <v>245</v>
      </c>
      <c r="J207" s="4">
        <f t="shared" si="23"/>
        <v>7.8525641025641024E-2</v>
      </c>
      <c r="K207">
        <v>370</v>
      </c>
      <c r="L207" s="4">
        <f t="shared" si="24"/>
        <v>0.1185897435897436</v>
      </c>
      <c r="M207">
        <v>561</v>
      </c>
      <c r="N207" s="4">
        <f t="shared" si="25"/>
        <v>0.17980769230769231</v>
      </c>
      <c r="O207">
        <v>1120</v>
      </c>
      <c r="P207" s="4">
        <f t="shared" si="26"/>
        <v>0.35897435897435898</v>
      </c>
      <c r="Q207" s="6">
        <f t="shared" si="21"/>
        <v>2030</v>
      </c>
      <c r="R207" s="6">
        <f t="shared" si="27"/>
        <v>3</v>
      </c>
      <c r="S207">
        <v>135</v>
      </c>
      <c r="T207">
        <v>49</v>
      </c>
      <c r="U207">
        <v>27</v>
      </c>
      <c r="V207">
        <v>10</v>
      </c>
      <c r="W207">
        <v>-11</v>
      </c>
      <c r="X207">
        <v>58</v>
      </c>
      <c r="Y207" s="2" t="s">
        <v>241</v>
      </c>
      <c r="Z207">
        <v>38.149430000000002</v>
      </c>
      <c r="AA207">
        <v>13.324400000000001</v>
      </c>
      <c r="AB207" t="s">
        <v>78</v>
      </c>
      <c r="AC207" t="s">
        <v>81</v>
      </c>
      <c r="AD207" t="s">
        <v>82</v>
      </c>
      <c r="AE207">
        <v>77915</v>
      </c>
      <c r="AF207">
        <v>20753</v>
      </c>
      <c r="AG207">
        <v>19347</v>
      </c>
      <c r="AH207">
        <v>0</v>
      </c>
      <c r="AI207">
        <v>11631</v>
      </c>
      <c r="AJ207">
        <v>25337</v>
      </c>
      <c r="AK207">
        <v>847</v>
      </c>
      <c r="AL207">
        <v>26913</v>
      </c>
      <c r="AM207">
        <v>93421</v>
      </c>
      <c r="AN207">
        <v>409881</v>
      </c>
      <c r="AO207">
        <v>703780</v>
      </c>
      <c r="AP207">
        <v>0</v>
      </c>
      <c r="AQ207">
        <v>0</v>
      </c>
      <c r="AR207">
        <v>0</v>
      </c>
      <c r="AS207">
        <v>4</v>
      </c>
      <c r="AT207">
        <v>2</v>
      </c>
      <c r="AU207">
        <v>18</v>
      </c>
      <c r="AV207">
        <v>0</v>
      </c>
      <c r="AW207">
        <v>0</v>
      </c>
      <c r="AX207">
        <v>0</v>
      </c>
      <c r="AY207">
        <v>2</v>
      </c>
      <c r="AZ207">
        <v>0</v>
      </c>
      <c r="BA207">
        <v>18</v>
      </c>
      <c r="BB207">
        <v>36</v>
      </c>
      <c r="BC207">
        <v>0</v>
      </c>
      <c r="BD207">
        <v>0</v>
      </c>
      <c r="BE207">
        <v>0</v>
      </c>
      <c r="BF207">
        <v>8</v>
      </c>
      <c r="BG207">
        <v>0</v>
      </c>
      <c r="BH207">
        <v>12</v>
      </c>
      <c r="BI207">
        <v>0</v>
      </c>
      <c r="BJ207">
        <v>38.149563399999998</v>
      </c>
      <c r="BK207">
        <v>13.3241649</v>
      </c>
      <c r="BL207">
        <v>300</v>
      </c>
      <c r="BM207" t="s">
        <v>83</v>
      </c>
      <c r="BN207" t="s">
        <v>84</v>
      </c>
      <c r="BO207" t="s">
        <v>85</v>
      </c>
      <c r="BP207" t="s">
        <v>242</v>
      </c>
      <c r="BQ207" t="s">
        <v>243</v>
      </c>
      <c r="BR207" t="s">
        <v>244</v>
      </c>
      <c r="BS207">
        <v>1798940</v>
      </c>
      <c r="BT207">
        <v>539587</v>
      </c>
      <c r="BU207">
        <v>503028</v>
      </c>
      <c r="BV207">
        <v>0</v>
      </c>
      <c r="BW207">
        <v>232623</v>
      </c>
      <c r="BX207">
        <v>506761</v>
      </c>
      <c r="BY207">
        <v>16941</v>
      </c>
      <c r="BZ207">
        <v>1</v>
      </c>
      <c r="CA207" t="s">
        <v>245</v>
      </c>
      <c r="CB207" t="s">
        <v>246</v>
      </c>
      <c r="CC207" s="3">
        <v>46092.557106481479</v>
      </c>
      <c r="CD207" t="s">
        <v>91</v>
      </c>
    </row>
    <row r="208" spans="1:82" ht="16" x14ac:dyDescent="0.2">
      <c r="A208" t="s">
        <v>970</v>
      </c>
      <c r="B208" t="s">
        <v>248</v>
      </c>
      <c r="C208" t="s">
        <v>249</v>
      </c>
      <c r="D208" t="s">
        <v>78</v>
      </c>
      <c r="E208" t="s">
        <v>250</v>
      </c>
      <c r="F208">
        <v>2</v>
      </c>
      <c r="G208">
        <v>150</v>
      </c>
      <c r="H208" t="str">
        <f t="shared" si="22"/>
        <v>2x150</v>
      </c>
      <c r="I208">
        <v>244</v>
      </c>
      <c r="J208" s="4">
        <f t="shared" si="23"/>
        <v>7.8205128205128205E-2</v>
      </c>
      <c r="K208">
        <v>369</v>
      </c>
      <c r="L208" s="4">
        <f t="shared" si="24"/>
        <v>0.11826923076923078</v>
      </c>
      <c r="M208">
        <v>559</v>
      </c>
      <c r="N208" s="4">
        <f t="shared" si="25"/>
        <v>0.17916666666666667</v>
      </c>
      <c r="O208">
        <v>1116</v>
      </c>
      <c r="P208" s="4">
        <f t="shared" si="26"/>
        <v>0.3576923076923077</v>
      </c>
      <c r="Q208" s="6">
        <f t="shared" si="21"/>
        <v>2030</v>
      </c>
      <c r="R208" s="6">
        <f t="shared" si="27"/>
        <v>3</v>
      </c>
      <c r="S208">
        <v>135</v>
      </c>
      <c r="T208">
        <v>94</v>
      </c>
      <c r="U208">
        <v>0</v>
      </c>
      <c r="V208">
        <v>-25</v>
      </c>
      <c r="W208">
        <v>-3</v>
      </c>
      <c r="X208">
        <v>75</v>
      </c>
      <c r="Y208" s="2" t="s">
        <v>251</v>
      </c>
      <c r="Z208">
        <v>41.981140000000003</v>
      </c>
      <c r="AA208">
        <v>12.416320000000001</v>
      </c>
      <c r="AB208" t="s">
        <v>78</v>
      </c>
      <c r="AC208" t="s">
        <v>81</v>
      </c>
      <c r="AD208" t="s">
        <v>82</v>
      </c>
      <c r="AE208">
        <v>222440</v>
      </c>
      <c r="AF208">
        <v>165680</v>
      </c>
      <c r="AG208">
        <v>0</v>
      </c>
      <c r="AH208">
        <v>0</v>
      </c>
      <c r="AI208">
        <v>27982</v>
      </c>
      <c r="AJ208">
        <v>28778</v>
      </c>
      <c r="AK208">
        <v>0</v>
      </c>
      <c r="AL208">
        <v>5255</v>
      </c>
      <c r="AM208">
        <v>19410</v>
      </c>
      <c r="AN208">
        <v>117846</v>
      </c>
      <c r="AO208">
        <v>697284</v>
      </c>
      <c r="AP208">
        <v>2</v>
      </c>
      <c r="AQ208">
        <v>0</v>
      </c>
      <c r="AR208">
        <v>1</v>
      </c>
      <c r="AS208">
        <v>2</v>
      </c>
      <c r="AT208">
        <v>2</v>
      </c>
      <c r="AU208">
        <v>22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5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2</v>
      </c>
      <c r="BI208">
        <v>0</v>
      </c>
      <c r="BJ208">
        <v>41.980959900000002</v>
      </c>
      <c r="BK208">
        <v>12.416189899999999</v>
      </c>
      <c r="BL208">
        <v>300</v>
      </c>
      <c r="BM208" t="s">
        <v>83</v>
      </c>
      <c r="BN208" t="s">
        <v>84</v>
      </c>
      <c r="BO208" t="s">
        <v>85</v>
      </c>
      <c r="BP208" t="s">
        <v>86</v>
      </c>
      <c r="BQ208" t="s">
        <v>87</v>
      </c>
      <c r="BR208" t="s">
        <v>88</v>
      </c>
      <c r="BS208">
        <v>4111295</v>
      </c>
      <c r="BT208">
        <v>2976037</v>
      </c>
      <c r="BU208">
        <v>0</v>
      </c>
      <c r="BV208">
        <v>0</v>
      </c>
      <c r="BW208">
        <v>559665</v>
      </c>
      <c r="BX208">
        <v>575593</v>
      </c>
      <c r="BY208">
        <v>0</v>
      </c>
      <c r="BZ208">
        <v>1</v>
      </c>
      <c r="CA208" t="s">
        <v>252</v>
      </c>
      <c r="CB208" t="s">
        <v>253</v>
      </c>
      <c r="CC208" s="3">
        <v>46092.557106481479</v>
      </c>
      <c r="CD208" t="s">
        <v>91</v>
      </c>
    </row>
    <row r="209" spans="1:82" ht="16" x14ac:dyDescent="0.2">
      <c r="A209" t="s">
        <v>978</v>
      </c>
      <c r="B209" t="s">
        <v>255</v>
      </c>
      <c r="C209" t="s">
        <v>256</v>
      </c>
      <c r="D209" t="s">
        <v>78</v>
      </c>
      <c r="E209" t="s">
        <v>257</v>
      </c>
      <c r="F209">
        <v>2</v>
      </c>
      <c r="G209">
        <v>150</v>
      </c>
      <c r="H209" t="str">
        <f t="shared" si="22"/>
        <v>2x150</v>
      </c>
      <c r="I209">
        <v>244</v>
      </c>
      <c r="J209" s="4">
        <f t="shared" si="23"/>
        <v>7.8205128205128205E-2</v>
      </c>
      <c r="K209">
        <v>368</v>
      </c>
      <c r="L209" s="4">
        <f t="shared" si="24"/>
        <v>0.11794871794871796</v>
      </c>
      <c r="M209">
        <v>559</v>
      </c>
      <c r="N209" s="4">
        <f t="shared" si="25"/>
        <v>0.17916666666666667</v>
      </c>
      <c r="O209">
        <v>1115</v>
      </c>
      <c r="P209" s="4">
        <f t="shared" si="26"/>
        <v>0.35737179487179488</v>
      </c>
      <c r="Q209" s="6">
        <f t="shared" si="21"/>
        <v>2030</v>
      </c>
      <c r="R209" s="6">
        <f t="shared" si="27"/>
        <v>3</v>
      </c>
      <c r="S209">
        <v>135</v>
      </c>
      <c r="T209">
        <v>32</v>
      </c>
      <c r="U209">
        <v>43</v>
      </c>
      <c r="V209">
        <v>0</v>
      </c>
      <c r="W209">
        <v>0</v>
      </c>
      <c r="X209">
        <v>57</v>
      </c>
      <c r="Y209" s="2" t="s">
        <v>258</v>
      </c>
      <c r="Z209">
        <v>41.863107061810602</v>
      </c>
      <c r="AA209">
        <v>12.6276496052742</v>
      </c>
      <c r="AB209" t="s">
        <v>78</v>
      </c>
      <c r="AC209" t="s">
        <v>81</v>
      </c>
      <c r="AD209" t="s">
        <v>82</v>
      </c>
      <c r="AE209">
        <v>115196</v>
      </c>
      <c r="AF209">
        <v>0</v>
      </c>
      <c r="AG209">
        <v>0</v>
      </c>
      <c r="AH209">
        <v>0</v>
      </c>
      <c r="AI209">
        <v>10372</v>
      </c>
      <c r="AJ209">
        <v>18953</v>
      </c>
      <c r="AK209">
        <v>85871</v>
      </c>
      <c r="AL209">
        <v>20998</v>
      </c>
      <c r="AM209">
        <v>66961</v>
      </c>
      <c r="AN209">
        <v>307416</v>
      </c>
      <c r="AO209">
        <v>1080836</v>
      </c>
      <c r="AP209">
        <v>0</v>
      </c>
      <c r="AQ209">
        <v>0</v>
      </c>
      <c r="AR209">
        <v>1</v>
      </c>
      <c r="AS209">
        <v>8</v>
      </c>
      <c r="AT209">
        <v>7</v>
      </c>
      <c r="AU209">
        <v>17</v>
      </c>
      <c r="AV209">
        <v>0</v>
      </c>
      <c r="AW209">
        <v>0</v>
      </c>
      <c r="AX209">
        <v>3</v>
      </c>
      <c r="AY209">
        <v>0</v>
      </c>
      <c r="AZ209">
        <v>0</v>
      </c>
      <c r="BA209">
        <v>26</v>
      </c>
      <c r="BB209">
        <v>32</v>
      </c>
      <c r="BC209">
        <v>15</v>
      </c>
      <c r="BD209">
        <v>2</v>
      </c>
      <c r="BE209">
        <v>0</v>
      </c>
      <c r="BF209">
        <v>4</v>
      </c>
      <c r="BG209">
        <v>0</v>
      </c>
      <c r="BH209">
        <v>10</v>
      </c>
      <c r="BI209">
        <v>0</v>
      </c>
      <c r="BJ209">
        <v>41.863216700000002</v>
      </c>
      <c r="BK209">
        <v>12.627628</v>
      </c>
      <c r="BL209">
        <v>300</v>
      </c>
      <c r="BM209" t="s">
        <v>83</v>
      </c>
      <c r="BN209" t="s">
        <v>84</v>
      </c>
      <c r="BO209" t="s">
        <v>85</v>
      </c>
      <c r="BP209" t="s">
        <v>86</v>
      </c>
      <c r="BQ209" t="s">
        <v>87</v>
      </c>
      <c r="BR209" t="s">
        <v>88</v>
      </c>
      <c r="BS209">
        <v>1790821</v>
      </c>
      <c r="BT209">
        <v>0</v>
      </c>
      <c r="BU209">
        <v>0</v>
      </c>
      <c r="BV209">
        <v>0</v>
      </c>
      <c r="BW209">
        <v>207450</v>
      </c>
      <c r="BX209">
        <v>379095</v>
      </c>
      <c r="BY209">
        <v>1204276</v>
      </c>
      <c r="BZ209">
        <v>1</v>
      </c>
      <c r="CA209" t="s">
        <v>259</v>
      </c>
      <c r="CB209" t="s">
        <v>260</v>
      </c>
      <c r="CC209" s="3">
        <v>46092.557106481479</v>
      </c>
      <c r="CD209" t="s">
        <v>91</v>
      </c>
    </row>
    <row r="210" spans="1:82" ht="16" x14ac:dyDescent="0.2">
      <c r="A210" t="s">
        <v>322</v>
      </c>
      <c r="B210" t="s">
        <v>323</v>
      </c>
      <c r="C210" t="s">
        <v>324</v>
      </c>
      <c r="D210" t="s">
        <v>78</v>
      </c>
      <c r="E210" t="s">
        <v>325</v>
      </c>
      <c r="F210">
        <v>2</v>
      </c>
      <c r="G210">
        <v>300</v>
      </c>
      <c r="H210" t="str">
        <f t="shared" si="22"/>
        <v>2x300</v>
      </c>
      <c r="I210">
        <v>240</v>
      </c>
      <c r="J210" s="4">
        <f t="shared" si="23"/>
        <v>6.6666666666666666E-2</v>
      </c>
      <c r="K210">
        <v>363</v>
      </c>
      <c r="L210" s="4">
        <f t="shared" si="24"/>
        <v>0.10083333333333333</v>
      </c>
      <c r="M210">
        <v>550</v>
      </c>
      <c r="N210" s="4">
        <f t="shared" si="25"/>
        <v>0.15277777777777776</v>
      </c>
      <c r="O210">
        <v>1098</v>
      </c>
      <c r="P210" s="4">
        <f t="shared" si="26"/>
        <v>0.30499999999999999</v>
      </c>
      <c r="Q210" s="6">
        <f t="shared" si="21"/>
        <v>2030</v>
      </c>
      <c r="R210" s="6">
        <f t="shared" si="27"/>
        <v>3</v>
      </c>
      <c r="S210">
        <v>156</v>
      </c>
      <c r="T210">
        <v>77</v>
      </c>
      <c r="U210">
        <v>-23</v>
      </c>
      <c r="V210">
        <v>-4</v>
      </c>
      <c r="W210">
        <v>-16</v>
      </c>
      <c r="X210">
        <v>81</v>
      </c>
      <c r="Y210" s="2" t="s">
        <v>326</v>
      </c>
      <c r="Z210">
        <v>44.423740000000002</v>
      </c>
      <c r="AA210">
        <v>12.167870000000001</v>
      </c>
      <c r="AB210" t="s">
        <v>78</v>
      </c>
      <c r="AC210" t="s">
        <v>81</v>
      </c>
      <c r="AD210" t="s">
        <v>82</v>
      </c>
      <c r="AE210">
        <v>94705</v>
      </c>
      <c r="AF210">
        <v>21725</v>
      </c>
      <c r="AG210">
        <v>47117</v>
      </c>
      <c r="AH210">
        <v>7441</v>
      </c>
      <c r="AI210">
        <v>16873</v>
      </c>
      <c r="AJ210">
        <v>1549</v>
      </c>
      <c r="AK210">
        <v>0</v>
      </c>
      <c r="AL210">
        <v>3819</v>
      </c>
      <c r="AM210">
        <v>19880</v>
      </c>
      <c r="AN210">
        <v>84496</v>
      </c>
      <c r="AO210">
        <v>121551</v>
      </c>
      <c r="AP210">
        <v>0</v>
      </c>
      <c r="AQ210">
        <v>1</v>
      </c>
      <c r="AR210">
        <v>4</v>
      </c>
      <c r="AS210">
        <v>6</v>
      </c>
      <c r="AT210">
        <v>0</v>
      </c>
      <c r="AU210">
        <v>10</v>
      </c>
      <c r="AV210">
        <v>2</v>
      </c>
      <c r="AW210">
        <v>3</v>
      </c>
      <c r="AX210">
        <v>0</v>
      </c>
      <c r="AY210">
        <v>0</v>
      </c>
      <c r="AZ210">
        <v>0</v>
      </c>
      <c r="BA210">
        <v>5</v>
      </c>
      <c r="BB210">
        <v>22</v>
      </c>
      <c r="BC210">
        <v>3</v>
      </c>
      <c r="BD210">
        <v>2</v>
      </c>
      <c r="BE210">
        <v>4</v>
      </c>
      <c r="BF210">
        <v>2</v>
      </c>
      <c r="BG210">
        <v>4</v>
      </c>
      <c r="BH210">
        <v>10</v>
      </c>
      <c r="BI210">
        <v>4</v>
      </c>
      <c r="BJ210">
        <v>44.423812900000001</v>
      </c>
      <c r="BK210">
        <v>12.167848299999999</v>
      </c>
      <c r="BL210">
        <v>600</v>
      </c>
      <c r="BM210" t="s">
        <v>83</v>
      </c>
      <c r="BN210" t="s">
        <v>84</v>
      </c>
      <c r="BO210" t="s">
        <v>85</v>
      </c>
      <c r="BP210" t="s">
        <v>160</v>
      </c>
      <c r="BQ210" t="s">
        <v>170</v>
      </c>
      <c r="BR210" t="s">
        <v>327</v>
      </c>
      <c r="BS210">
        <v>1894209</v>
      </c>
      <c r="BT210">
        <v>434511</v>
      </c>
      <c r="BU210">
        <v>942374</v>
      </c>
      <c r="BV210">
        <v>148829</v>
      </c>
      <c r="BW210">
        <v>337513</v>
      </c>
      <c r="BX210">
        <v>30982</v>
      </c>
      <c r="BY210">
        <v>0</v>
      </c>
      <c r="BZ210">
        <v>1</v>
      </c>
      <c r="CA210" t="s">
        <v>328</v>
      </c>
      <c r="CB210" t="s">
        <v>329</v>
      </c>
      <c r="CC210" s="3">
        <v>46092.557106481479</v>
      </c>
      <c r="CD210" t="s">
        <v>91</v>
      </c>
    </row>
    <row r="211" spans="1:82" ht="16" x14ac:dyDescent="0.2">
      <c r="A211" t="s">
        <v>330</v>
      </c>
      <c r="B211" t="s">
        <v>331</v>
      </c>
      <c r="C211" t="s">
        <v>332</v>
      </c>
      <c r="D211" t="s">
        <v>78</v>
      </c>
      <c r="E211" t="s">
        <v>333</v>
      </c>
      <c r="F211">
        <v>2</v>
      </c>
      <c r="G211">
        <v>300</v>
      </c>
      <c r="H211" t="str">
        <f t="shared" si="22"/>
        <v>2x300</v>
      </c>
      <c r="I211">
        <v>239</v>
      </c>
      <c r="J211" s="4">
        <f t="shared" si="23"/>
        <v>6.6388888888888886E-2</v>
      </c>
      <c r="K211">
        <v>361</v>
      </c>
      <c r="L211" s="4">
        <f t="shared" si="24"/>
        <v>0.10027777777777779</v>
      </c>
      <c r="M211">
        <v>548</v>
      </c>
      <c r="N211" s="4">
        <f t="shared" si="25"/>
        <v>0.15222222222222223</v>
      </c>
      <c r="O211">
        <v>1093</v>
      </c>
      <c r="P211" s="4">
        <f t="shared" si="26"/>
        <v>0.30361111111111111</v>
      </c>
      <c r="Q211" s="6">
        <f t="shared" si="21"/>
        <v>2030</v>
      </c>
      <c r="R211" s="6">
        <f t="shared" si="27"/>
        <v>3</v>
      </c>
      <c r="S211">
        <v>156</v>
      </c>
      <c r="T211">
        <v>47</v>
      </c>
      <c r="U211">
        <v>4</v>
      </c>
      <c r="V211">
        <v>-4</v>
      </c>
      <c r="W211">
        <v>-4</v>
      </c>
      <c r="X211">
        <v>66</v>
      </c>
      <c r="Y211" s="2" t="s">
        <v>334</v>
      </c>
      <c r="Z211">
        <v>39.238190000000003</v>
      </c>
      <c r="AA211">
        <v>9.1237300000000001</v>
      </c>
      <c r="AB211" t="s">
        <v>78</v>
      </c>
      <c r="AC211" t="s">
        <v>81</v>
      </c>
      <c r="AD211" t="s">
        <v>82</v>
      </c>
      <c r="AE211">
        <v>69309</v>
      </c>
      <c r="AF211">
        <v>0</v>
      </c>
      <c r="AG211">
        <v>0</v>
      </c>
      <c r="AH211">
        <v>0</v>
      </c>
      <c r="AI211">
        <v>42701</v>
      </c>
      <c r="AJ211">
        <v>16678</v>
      </c>
      <c r="AK211">
        <v>9930</v>
      </c>
      <c r="AL211">
        <v>19024</v>
      </c>
      <c r="AM211">
        <v>79447</v>
      </c>
      <c r="AN211">
        <v>213403</v>
      </c>
      <c r="AO211">
        <v>318435</v>
      </c>
      <c r="AP211">
        <v>4</v>
      </c>
      <c r="AQ211">
        <v>0</v>
      </c>
      <c r="AR211">
        <v>6</v>
      </c>
      <c r="AS211">
        <v>11</v>
      </c>
      <c r="AT211">
        <v>2</v>
      </c>
      <c r="AU211">
        <v>30</v>
      </c>
      <c r="AV211">
        <v>4</v>
      </c>
      <c r="AW211">
        <v>1</v>
      </c>
      <c r="AX211">
        <v>1</v>
      </c>
      <c r="AY211">
        <v>0</v>
      </c>
      <c r="AZ211">
        <v>1</v>
      </c>
      <c r="BA211">
        <v>6</v>
      </c>
      <c r="BB211">
        <v>22</v>
      </c>
      <c r="BC211">
        <v>3</v>
      </c>
      <c r="BD211">
        <v>3</v>
      </c>
      <c r="BE211">
        <v>0</v>
      </c>
      <c r="BF211">
        <v>3</v>
      </c>
      <c r="BG211">
        <v>0</v>
      </c>
      <c r="BH211">
        <v>9</v>
      </c>
      <c r="BI211">
        <v>0</v>
      </c>
      <c r="BJ211">
        <v>39.238198699999998</v>
      </c>
      <c r="BK211">
        <v>9.1237288999999997</v>
      </c>
      <c r="BL211">
        <v>600</v>
      </c>
      <c r="BM211" t="s">
        <v>83</v>
      </c>
      <c r="BN211" t="s">
        <v>84</v>
      </c>
      <c r="BO211" t="s">
        <v>85</v>
      </c>
      <c r="BP211" t="s">
        <v>242</v>
      </c>
      <c r="BQ211" t="s">
        <v>335</v>
      </c>
      <c r="BR211" t="s">
        <v>332</v>
      </c>
      <c r="BS211">
        <v>1386340</v>
      </c>
      <c r="BT211">
        <v>0</v>
      </c>
      <c r="BU211">
        <v>0</v>
      </c>
      <c r="BV211">
        <v>0</v>
      </c>
      <c r="BW211">
        <v>854069</v>
      </c>
      <c r="BX211">
        <v>333617</v>
      </c>
      <c r="BY211">
        <v>198654</v>
      </c>
      <c r="BZ211">
        <v>1</v>
      </c>
      <c r="CA211" t="s">
        <v>336</v>
      </c>
      <c r="CB211" t="s">
        <v>337</v>
      </c>
      <c r="CC211" s="3">
        <v>46092.557106481479</v>
      </c>
      <c r="CD211" t="s">
        <v>91</v>
      </c>
    </row>
    <row r="212" spans="1:82" ht="16" x14ac:dyDescent="0.2">
      <c r="A212" t="s">
        <v>338</v>
      </c>
      <c r="B212" t="s">
        <v>339</v>
      </c>
      <c r="C212" t="s">
        <v>340</v>
      </c>
      <c r="D212" t="s">
        <v>78</v>
      </c>
      <c r="E212" t="s">
        <v>341</v>
      </c>
      <c r="F212">
        <v>2</v>
      </c>
      <c r="G212">
        <v>300</v>
      </c>
      <c r="H212" t="str">
        <f t="shared" si="22"/>
        <v>2x300</v>
      </c>
      <c r="I212">
        <v>239</v>
      </c>
      <c r="J212" s="4">
        <f t="shared" si="23"/>
        <v>6.6388888888888886E-2</v>
      </c>
      <c r="K212">
        <v>360</v>
      </c>
      <c r="L212" s="4">
        <f t="shared" si="24"/>
        <v>9.9999999999999992E-2</v>
      </c>
      <c r="M212">
        <v>547</v>
      </c>
      <c r="N212" s="4">
        <f t="shared" si="25"/>
        <v>0.15194444444444444</v>
      </c>
      <c r="O212">
        <v>1091</v>
      </c>
      <c r="P212" s="4">
        <f t="shared" si="26"/>
        <v>0.30305555555555558</v>
      </c>
      <c r="Q212" s="6">
        <f t="shared" si="21"/>
        <v>2030</v>
      </c>
      <c r="R212" s="6">
        <f t="shared" si="27"/>
        <v>3</v>
      </c>
      <c r="S212">
        <v>156</v>
      </c>
      <c r="T212">
        <v>82</v>
      </c>
      <c r="U212">
        <v>-32</v>
      </c>
      <c r="V212">
        <v>-2</v>
      </c>
      <c r="W212">
        <v>-9</v>
      </c>
      <c r="X212">
        <v>74</v>
      </c>
      <c r="Y212" s="2" t="s">
        <v>342</v>
      </c>
      <c r="Z212">
        <v>45.517616099999998</v>
      </c>
      <c r="AA212">
        <v>12.237434800000001</v>
      </c>
      <c r="AB212" t="s">
        <v>78</v>
      </c>
      <c r="AC212" t="s">
        <v>81</v>
      </c>
      <c r="AD212" t="s">
        <v>82</v>
      </c>
      <c r="AE212">
        <v>133452</v>
      </c>
      <c r="AF212">
        <v>95408</v>
      </c>
      <c r="AG212">
        <v>0</v>
      </c>
      <c r="AH212">
        <v>18512</v>
      </c>
      <c r="AI212">
        <v>1403</v>
      </c>
      <c r="AJ212">
        <v>15919</v>
      </c>
      <c r="AK212">
        <v>2210</v>
      </c>
      <c r="AL212">
        <v>2043</v>
      </c>
      <c r="AM212">
        <v>18156</v>
      </c>
      <c r="AN212">
        <v>161291</v>
      </c>
      <c r="AO212">
        <v>312009</v>
      </c>
      <c r="AP212">
        <v>0</v>
      </c>
      <c r="AQ212">
        <v>0</v>
      </c>
      <c r="AR212">
        <v>1</v>
      </c>
      <c r="AS212">
        <v>2</v>
      </c>
      <c r="AT212">
        <v>4</v>
      </c>
      <c r="AU212">
        <v>11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14</v>
      </c>
      <c r="BB212">
        <v>39</v>
      </c>
      <c r="BC212">
        <v>11</v>
      </c>
      <c r="BD212">
        <v>0</v>
      </c>
      <c r="BE212">
        <v>0</v>
      </c>
      <c r="BF212">
        <v>2</v>
      </c>
      <c r="BG212">
        <v>0</v>
      </c>
      <c r="BH212">
        <v>8</v>
      </c>
      <c r="BI212">
        <v>0</v>
      </c>
      <c r="BJ212">
        <v>45.517622799999998</v>
      </c>
      <c r="BK212">
        <v>12.237425699999999</v>
      </c>
      <c r="BL212">
        <v>600</v>
      </c>
      <c r="BM212" t="s">
        <v>83</v>
      </c>
      <c r="BN212" t="s">
        <v>84</v>
      </c>
      <c r="BO212" t="s">
        <v>85</v>
      </c>
      <c r="BP212" t="s">
        <v>160</v>
      </c>
      <c r="BQ212" t="s">
        <v>161</v>
      </c>
      <c r="BR212" t="s">
        <v>343</v>
      </c>
      <c r="BS212">
        <v>3146222</v>
      </c>
      <c r="BT212">
        <v>2385226</v>
      </c>
      <c r="BU212">
        <v>0</v>
      </c>
      <c r="BV212">
        <v>370254</v>
      </c>
      <c r="BW212">
        <v>28076</v>
      </c>
      <c r="BX212">
        <v>318425</v>
      </c>
      <c r="BY212">
        <v>44241</v>
      </c>
      <c r="BZ212">
        <v>1</v>
      </c>
      <c r="CA212" t="s">
        <v>344</v>
      </c>
      <c r="CB212" t="s">
        <v>345</v>
      </c>
      <c r="CC212" s="3">
        <v>46092.557106481479</v>
      </c>
      <c r="CD212" t="s">
        <v>91</v>
      </c>
    </row>
    <row r="213" spans="1:82" ht="16" x14ac:dyDescent="0.2">
      <c r="A213" t="s">
        <v>346</v>
      </c>
      <c r="B213" t="s">
        <v>347</v>
      </c>
      <c r="C213" t="s">
        <v>348</v>
      </c>
      <c r="D213" t="s">
        <v>78</v>
      </c>
      <c r="E213" t="s">
        <v>349</v>
      </c>
      <c r="F213">
        <v>2</v>
      </c>
      <c r="G213">
        <v>300</v>
      </c>
      <c r="H213" t="str">
        <f t="shared" si="22"/>
        <v>2x300</v>
      </c>
      <c r="I213">
        <v>239</v>
      </c>
      <c r="J213" s="4">
        <f t="shared" si="23"/>
        <v>6.6388888888888886E-2</v>
      </c>
      <c r="K213">
        <v>360</v>
      </c>
      <c r="L213" s="4">
        <f t="shared" si="24"/>
        <v>9.9999999999999992E-2</v>
      </c>
      <c r="M213">
        <v>547</v>
      </c>
      <c r="N213" s="4">
        <f t="shared" si="25"/>
        <v>0.15194444444444444</v>
      </c>
      <c r="O213">
        <v>1091</v>
      </c>
      <c r="P213" s="4">
        <f t="shared" si="26"/>
        <v>0.30305555555555558</v>
      </c>
      <c r="Q213" s="6">
        <f t="shared" si="21"/>
        <v>2030</v>
      </c>
      <c r="R213" s="6">
        <f t="shared" si="27"/>
        <v>3</v>
      </c>
      <c r="S213">
        <v>156</v>
      </c>
      <c r="T213">
        <v>40</v>
      </c>
      <c r="U213">
        <v>1</v>
      </c>
      <c r="V213">
        <v>1</v>
      </c>
      <c r="W213">
        <v>3</v>
      </c>
      <c r="X213">
        <v>65</v>
      </c>
      <c r="Y213" s="2" t="s">
        <v>350</v>
      </c>
      <c r="Z213">
        <v>45.518430665843702</v>
      </c>
      <c r="AA213">
        <v>9.3526549641985497</v>
      </c>
      <c r="AB213" t="s">
        <v>78</v>
      </c>
      <c r="AC213" t="s">
        <v>81</v>
      </c>
      <c r="AD213" t="s">
        <v>82</v>
      </c>
      <c r="AE213">
        <v>66059</v>
      </c>
      <c r="AF213">
        <v>0</v>
      </c>
      <c r="AG213">
        <v>0</v>
      </c>
      <c r="AH213">
        <v>15443</v>
      </c>
      <c r="AI213">
        <v>20420</v>
      </c>
      <c r="AJ213">
        <v>25439</v>
      </c>
      <c r="AK213">
        <v>4757</v>
      </c>
      <c r="AL213">
        <v>6771</v>
      </c>
      <c r="AM213">
        <v>36038</v>
      </c>
      <c r="AN213">
        <v>163620</v>
      </c>
      <c r="AO213">
        <v>673893</v>
      </c>
      <c r="AP213">
        <v>0</v>
      </c>
      <c r="AQ213">
        <v>0</v>
      </c>
      <c r="AR213">
        <v>3</v>
      </c>
      <c r="AS213">
        <v>5</v>
      </c>
      <c r="AT213">
        <v>2</v>
      </c>
      <c r="AU213">
        <v>20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3</v>
      </c>
      <c r="BB213">
        <v>7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45.518380000000001</v>
      </c>
      <c r="BK213">
        <v>9.3526100000000003</v>
      </c>
      <c r="BL213">
        <v>600</v>
      </c>
      <c r="BM213" t="s">
        <v>83</v>
      </c>
      <c r="BN213" t="s">
        <v>84</v>
      </c>
      <c r="BO213" t="s">
        <v>85</v>
      </c>
      <c r="BP213" t="s">
        <v>107</v>
      </c>
      <c r="BQ213" t="s">
        <v>108</v>
      </c>
      <c r="BR213" t="s">
        <v>109</v>
      </c>
      <c r="BS213">
        <v>1321307</v>
      </c>
      <c r="BT213">
        <v>0</v>
      </c>
      <c r="BU213">
        <v>0</v>
      </c>
      <c r="BV213">
        <v>308890</v>
      </c>
      <c r="BW213">
        <v>408405</v>
      </c>
      <c r="BX213">
        <v>508840</v>
      </c>
      <c r="BY213">
        <v>95172</v>
      </c>
      <c r="BZ213">
        <v>1</v>
      </c>
      <c r="CA213" t="s">
        <v>351</v>
      </c>
      <c r="CB213" t="s">
        <v>352</v>
      </c>
      <c r="CC213" s="3">
        <v>46092.557106481479</v>
      </c>
      <c r="CD213" t="s">
        <v>91</v>
      </c>
    </row>
    <row r="214" spans="1:82" ht="16" x14ac:dyDescent="0.2">
      <c r="A214" t="s">
        <v>993</v>
      </c>
      <c r="B214" t="s">
        <v>262</v>
      </c>
      <c r="C214" t="s">
        <v>263</v>
      </c>
      <c r="D214" t="s">
        <v>78</v>
      </c>
      <c r="E214" t="s">
        <v>264</v>
      </c>
      <c r="F214">
        <v>2</v>
      </c>
      <c r="G214">
        <v>150</v>
      </c>
      <c r="H214" t="str">
        <f t="shared" si="22"/>
        <v>2x150</v>
      </c>
      <c r="I214">
        <v>238</v>
      </c>
      <c r="J214" s="4">
        <f t="shared" si="23"/>
        <v>7.6282051282051275E-2</v>
      </c>
      <c r="K214">
        <v>359</v>
      </c>
      <c r="L214" s="4">
        <f t="shared" si="24"/>
        <v>0.11506410256410256</v>
      </c>
      <c r="M214">
        <v>545</v>
      </c>
      <c r="N214" s="4">
        <f t="shared" si="25"/>
        <v>0.1746794871794872</v>
      </c>
      <c r="O214">
        <v>1088</v>
      </c>
      <c r="P214" s="4">
        <f t="shared" si="26"/>
        <v>0.34871794871794876</v>
      </c>
      <c r="Q214" s="6">
        <f t="shared" si="21"/>
        <v>2030</v>
      </c>
      <c r="R214" s="6">
        <f t="shared" si="27"/>
        <v>3</v>
      </c>
      <c r="S214">
        <v>135</v>
      </c>
      <c r="T214">
        <v>32</v>
      </c>
      <c r="U214">
        <v>10</v>
      </c>
      <c r="V214">
        <v>39</v>
      </c>
      <c r="W214">
        <v>-7</v>
      </c>
      <c r="X214">
        <v>51</v>
      </c>
      <c r="Y214" s="2" t="s">
        <v>265</v>
      </c>
      <c r="Z214">
        <v>44.491330369863803</v>
      </c>
      <c r="AA214">
        <v>11.423220410751499</v>
      </c>
      <c r="AB214" t="s">
        <v>78</v>
      </c>
      <c r="AC214" t="s">
        <v>81</v>
      </c>
      <c r="AD214" t="s">
        <v>82</v>
      </c>
      <c r="AE214">
        <v>19257</v>
      </c>
      <c r="AF214">
        <v>0</v>
      </c>
      <c r="AG214">
        <v>0</v>
      </c>
      <c r="AH214">
        <v>0</v>
      </c>
      <c r="AI214">
        <v>11817</v>
      </c>
      <c r="AJ214">
        <v>1667</v>
      </c>
      <c r="AK214">
        <v>5773</v>
      </c>
      <c r="AL214">
        <v>1585</v>
      </c>
      <c r="AM214">
        <v>7517</v>
      </c>
      <c r="AN214">
        <v>166841</v>
      </c>
      <c r="AO214">
        <v>427744</v>
      </c>
      <c r="AP214">
        <v>1</v>
      </c>
      <c r="AQ214">
        <v>1</v>
      </c>
      <c r="AR214">
        <v>6</v>
      </c>
      <c r="AS214">
        <v>39</v>
      </c>
      <c r="AT214">
        <v>2</v>
      </c>
      <c r="AU214">
        <v>10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18</v>
      </c>
      <c r="BB214">
        <v>41</v>
      </c>
      <c r="BC214">
        <v>12</v>
      </c>
      <c r="BD214">
        <v>2</v>
      </c>
      <c r="BE214">
        <v>0</v>
      </c>
      <c r="BF214">
        <v>2</v>
      </c>
      <c r="BG214">
        <v>0</v>
      </c>
      <c r="BH214">
        <v>6</v>
      </c>
      <c r="BI214">
        <v>4</v>
      </c>
      <c r="BJ214">
        <v>44.49136</v>
      </c>
      <c r="BK214">
        <v>11.423249999999999</v>
      </c>
      <c r="BL214">
        <v>300</v>
      </c>
      <c r="BM214" t="s">
        <v>83</v>
      </c>
      <c r="BN214" t="s">
        <v>84</v>
      </c>
      <c r="BO214" t="s">
        <v>85</v>
      </c>
      <c r="BP214" t="s">
        <v>160</v>
      </c>
      <c r="BQ214" t="s">
        <v>170</v>
      </c>
      <c r="BR214" t="s">
        <v>266</v>
      </c>
      <c r="BS214">
        <v>385188</v>
      </c>
      <c r="BT214">
        <v>0</v>
      </c>
      <c r="BU214">
        <v>0</v>
      </c>
      <c r="BV214">
        <v>0</v>
      </c>
      <c r="BW214">
        <v>236364</v>
      </c>
      <c r="BX214">
        <v>33346</v>
      </c>
      <c r="BY214">
        <v>115478</v>
      </c>
      <c r="BZ214">
        <v>1</v>
      </c>
      <c r="CA214" t="s">
        <v>267</v>
      </c>
      <c r="CB214" t="s">
        <v>268</v>
      </c>
      <c r="CC214" s="3">
        <v>46092.557106481479</v>
      </c>
      <c r="CD214" t="s">
        <v>91</v>
      </c>
    </row>
    <row r="215" spans="1:82" ht="16" x14ac:dyDescent="0.2">
      <c r="A215" t="s">
        <v>353</v>
      </c>
      <c r="B215" t="s">
        <v>354</v>
      </c>
      <c r="C215" t="s">
        <v>355</v>
      </c>
      <c r="D215" t="s">
        <v>78</v>
      </c>
      <c r="E215" t="s">
        <v>356</v>
      </c>
      <c r="F215">
        <v>2</v>
      </c>
      <c r="G215">
        <v>300</v>
      </c>
      <c r="H215" t="str">
        <f t="shared" si="22"/>
        <v>2x300</v>
      </c>
      <c r="I215">
        <v>235</v>
      </c>
      <c r="J215" s="4">
        <f t="shared" si="23"/>
        <v>6.5277777777777782E-2</v>
      </c>
      <c r="K215">
        <v>355</v>
      </c>
      <c r="L215" s="4">
        <f t="shared" si="24"/>
        <v>9.8611111111111108E-2</v>
      </c>
      <c r="M215">
        <v>538</v>
      </c>
      <c r="N215" s="4">
        <f t="shared" si="25"/>
        <v>0.14944444444444444</v>
      </c>
      <c r="O215">
        <v>1074</v>
      </c>
      <c r="P215" s="4">
        <f t="shared" si="26"/>
        <v>0.29833333333333334</v>
      </c>
      <c r="Q215" s="6">
        <f t="shared" si="21"/>
        <v>2030</v>
      </c>
      <c r="R215" s="6">
        <f t="shared" si="27"/>
        <v>3</v>
      </c>
      <c r="S215">
        <v>156</v>
      </c>
      <c r="T215">
        <v>42</v>
      </c>
      <c r="U215">
        <v>-17</v>
      </c>
      <c r="V215">
        <v>28</v>
      </c>
      <c r="W215">
        <v>-12</v>
      </c>
      <c r="X215">
        <v>64</v>
      </c>
      <c r="Y215" s="2" t="s">
        <v>357</v>
      </c>
      <c r="Z215">
        <v>45.508908091499897</v>
      </c>
      <c r="AA215">
        <v>10.3238094594935</v>
      </c>
      <c r="AB215" t="s">
        <v>78</v>
      </c>
      <c r="AC215" t="s">
        <v>81</v>
      </c>
      <c r="AD215" t="s">
        <v>82</v>
      </c>
      <c r="AE215">
        <v>63041</v>
      </c>
      <c r="AF215">
        <v>0</v>
      </c>
      <c r="AG215">
        <v>39287</v>
      </c>
      <c r="AH215">
        <v>7496</v>
      </c>
      <c r="AI215">
        <v>0</v>
      </c>
      <c r="AJ215">
        <v>15229</v>
      </c>
      <c r="AK215">
        <v>1029</v>
      </c>
      <c r="AL215">
        <v>6403</v>
      </c>
      <c r="AM215">
        <v>14060</v>
      </c>
      <c r="AN215">
        <v>59617</v>
      </c>
      <c r="AO215">
        <v>247710</v>
      </c>
      <c r="AP215">
        <v>6</v>
      </c>
      <c r="AQ215">
        <v>0</v>
      </c>
      <c r="AR215">
        <v>7</v>
      </c>
      <c r="AS215">
        <v>16</v>
      </c>
      <c r="AT215">
        <v>0</v>
      </c>
      <c r="AU215">
        <v>19</v>
      </c>
      <c r="AV215">
        <v>9</v>
      </c>
      <c r="AW215">
        <v>1</v>
      </c>
      <c r="AX215">
        <v>0</v>
      </c>
      <c r="AY215">
        <v>0</v>
      </c>
      <c r="AZ215">
        <v>2</v>
      </c>
      <c r="BA215">
        <v>11</v>
      </c>
      <c r="BB215">
        <v>23</v>
      </c>
      <c r="BC215">
        <v>7</v>
      </c>
      <c r="BD215">
        <v>6</v>
      </c>
      <c r="BE215">
        <v>0</v>
      </c>
      <c r="BF215">
        <v>6</v>
      </c>
      <c r="BG215">
        <v>0</v>
      </c>
      <c r="BH215">
        <v>6</v>
      </c>
      <c r="BI215">
        <v>0</v>
      </c>
      <c r="BJ215">
        <v>45.508969899999997</v>
      </c>
      <c r="BK215">
        <v>10.32385</v>
      </c>
      <c r="BL215">
        <v>600</v>
      </c>
      <c r="BM215" t="s">
        <v>83</v>
      </c>
      <c r="BN215" t="s">
        <v>84</v>
      </c>
      <c r="BO215" t="s">
        <v>85</v>
      </c>
      <c r="BP215" t="s">
        <v>107</v>
      </c>
      <c r="BQ215" t="s">
        <v>108</v>
      </c>
      <c r="BR215" t="s">
        <v>179</v>
      </c>
      <c r="BS215">
        <v>1342650</v>
      </c>
      <c r="BT215">
        <v>0</v>
      </c>
      <c r="BU215">
        <v>902853</v>
      </c>
      <c r="BV215">
        <v>149938</v>
      </c>
      <c r="BW215">
        <v>0</v>
      </c>
      <c r="BX215">
        <v>269263</v>
      </c>
      <c r="BY215">
        <v>20596</v>
      </c>
      <c r="BZ215">
        <v>1</v>
      </c>
      <c r="CA215" t="s">
        <v>358</v>
      </c>
      <c r="CB215" t="s">
        <v>359</v>
      </c>
      <c r="CC215" s="3">
        <v>46092.557106481479</v>
      </c>
      <c r="CD215" t="s">
        <v>91</v>
      </c>
    </row>
    <row r="216" spans="1:82" ht="16" x14ac:dyDescent="0.2">
      <c r="A216" t="s">
        <v>360</v>
      </c>
      <c r="B216" t="s">
        <v>361</v>
      </c>
      <c r="C216" t="s">
        <v>362</v>
      </c>
      <c r="D216" t="s">
        <v>78</v>
      </c>
      <c r="E216" t="s">
        <v>363</v>
      </c>
      <c r="F216">
        <v>2</v>
      </c>
      <c r="G216">
        <v>300</v>
      </c>
      <c r="H216" t="str">
        <f t="shared" si="22"/>
        <v>2x300</v>
      </c>
      <c r="I216">
        <v>234</v>
      </c>
      <c r="J216" s="4">
        <f t="shared" si="23"/>
        <v>6.5000000000000002E-2</v>
      </c>
      <c r="K216">
        <v>354</v>
      </c>
      <c r="L216" s="4">
        <f t="shared" si="24"/>
        <v>9.8333333333333328E-2</v>
      </c>
      <c r="M216">
        <v>536</v>
      </c>
      <c r="N216" s="4">
        <f t="shared" si="25"/>
        <v>0.14888888888888888</v>
      </c>
      <c r="O216">
        <v>1070</v>
      </c>
      <c r="P216" s="4">
        <f t="shared" si="26"/>
        <v>0.29722222222222222</v>
      </c>
      <c r="Q216" s="6">
        <f t="shared" si="21"/>
        <v>2030</v>
      </c>
      <c r="R216" s="6">
        <f t="shared" si="27"/>
        <v>3</v>
      </c>
      <c r="S216">
        <v>156</v>
      </c>
      <c r="T216">
        <v>56</v>
      </c>
      <c r="U216">
        <v>1</v>
      </c>
      <c r="V216">
        <v>-13</v>
      </c>
      <c r="W216">
        <v>-1</v>
      </c>
      <c r="X216">
        <v>61</v>
      </c>
      <c r="Y216" s="2" t="s">
        <v>364</v>
      </c>
      <c r="Z216">
        <v>45.692639999999997</v>
      </c>
      <c r="AA216">
        <v>9.1022800000000004</v>
      </c>
      <c r="AB216" t="s">
        <v>78</v>
      </c>
      <c r="AC216" t="s">
        <v>81</v>
      </c>
      <c r="AD216" t="s">
        <v>82</v>
      </c>
      <c r="AE216">
        <v>114840</v>
      </c>
      <c r="AF216">
        <v>21704</v>
      </c>
      <c r="AG216">
        <v>0</v>
      </c>
      <c r="AH216">
        <v>37140</v>
      </c>
      <c r="AI216">
        <v>23760</v>
      </c>
      <c r="AJ216">
        <v>32236</v>
      </c>
      <c r="AK216">
        <v>0</v>
      </c>
      <c r="AL216">
        <v>4237</v>
      </c>
      <c r="AM216">
        <v>18208</v>
      </c>
      <c r="AN216">
        <v>93407</v>
      </c>
      <c r="AO216">
        <v>516459</v>
      </c>
      <c r="AP216">
        <v>1</v>
      </c>
      <c r="AQ216">
        <v>0</v>
      </c>
      <c r="AR216">
        <v>2</v>
      </c>
      <c r="AS216">
        <v>16</v>
      </c>
      <c r="AT216">
        <v>1</v>
      </c>
      <c r="AU216">
        <v>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26</v>
      </c>
      <c r="BB216">
        <v>37</v>
      </c>
      <c r="BC216">
        <v>24</v>
      </c>
      <c r="BD216">
        <v>0</v>
      </c>
      <c r="BE216">
        <v>0</v>
      </c>
      <c r="BF216">
        <v>0</v>
      </c>
      <c r="BG216">
        <v>0</v>
      </c>
      <c r="BH216">
        <v>4</v>
      </c>
      <c r="BI216">
        <v>0</v>
      </c>
      <c r="BJ216">
        <v>45.692601500000002</v>
      </c>
      <c r="BK216">
        <v>9.1022406999999994</v>
      </c>
      <c r="BL216">
        <v>600</v>
      </c>
      <c r="BM216" t="s">
        <v>83</v>
      </c>
      <c r="BN216" t="s">
        <v>84</v>
      </c>
      <c r="BO216" t="s">
        <v>85</v>
      </c>
      <c r="BP216" t="s">
        <v>107</v>
      </c>
      <c r="BQ216" t="s">
        <v>108</v>
      </c>
      <c r="BR216" t="s">
        <v>145</v>
      </c>
      <c r="BS216">
        <v>2595079</v>
      </c>
      <c r="BT216">
        <v>564329</v>
      </c>
      <c r="BU216">
        <v>0</v>
      </c>
      <c r="BV216">
        <v>910723</v>
      </c>
      <c r="BW216">
        <v>475217</v>
      </c>
      <c r="BX216">
        <v>644810</v>
      </c>
      <c r="BY216">
        <v>0</v>
      </c>
      <c r="BZ216">
        <v>1</v>
      </c>
      <c r="CA216" t="s">
        <v>365</v>
      </c>
      <c r="CB216" t="s">
        <v>366</v>
      </c>
      <c r="CC216" s="3">
        <v>46092.557106481479</v>
      </c>
      <c r="CD216" t="s">
        <v>91</v>
      </c>
    </row>
    <row r="217" spans="1:82" ht="16" x14ac:dyDescent="0.2">
      <c r="A217" t="s">
        <v>367</v>
      </c>
      <c r="B217" t="s">
        <v>368</v>
      </c>
      <c r="C217" t="s">
        <v>369</v>
      </c>
      <c r="D217" t="s">
        <v>78</v>
      </c>
      <c r="E217" t="s">
        <v>370</v>
      </c>
      <c r="F217">
        <v>2</v>
      </c>
      <c r="G217">
        <v>300</v>
      </c>
      <c r="H217" t="str">
        <f t="shared" si="22"/>
        <v>2x300</v>
      </c>
      <c r="I217">
        <v>233</v>
      </c>
      <c r="J217" s="4">
        <f t="shared" si="23"/>
        <v>6.4722222222222223E-2</v>
      </c>
      <c r="K217">
        <v>351</v>
      </c>
      <c r="L217" s="4">
        <f t="shared" si="24"/>
        <v>9.7499999999999989E-2</v>
      </c>
      <c r="M217">
        <v>533</v>
      </c>
      <c r="N217" s="4">
        <f t="shared" si="25"/>
        <v>0.14805555555555555</v>
      </c>
      <c r="O217">
        <v>1064</v>
      </c>
      <c r="P217" s="4">
        <f t="shared" si="26"/>
        <v>0.29555555555555557</v>
      </c>
      <c r="Q217" s="6">
        <f t="shared" si="21"/>
        <v>2030</v>
      </c>
      <c r="R217" s="6">
        <f t="shared" si="27"/>
        <v>3</v>
      </c>
      <c r="S217">
        <v>156</v>
      </c>
      <c r="T217">
        <v>40</v>
      </c>
      <c r="U217">
        <v>-21</v>
      </c>
      <c r="V217">
        <v>9</v>
      </c>
      <c r="W217">
        <v>-3</v>
      </c>
      <c r="X217">
        <v>84</v>
      </c>
      <c r="Y217" s="2" t="s">
        <v>371</v>
      </c>
      <c r="Z217">
        <v>43.549818000000002</v>
      </c>
      <c r="AA217">
        <v>13.511400099999999</v>
      </c>
      <c r="AB217" t="s">
        <v>78</v>
      </c>
      <c r="AC217" t="s">
        <v>81</v>
      </c>
      <c r="AD217" t="s">
        <v>82</v>
      </c>
      <c r="AE217">
        <v>78966</v>
      </c>
      <c r="AF217">
        <v>0</v>
      </c>
      <c r="AG217">
        <v>0</v>
      </c>
      <c r="AH217">
        <v>34317</v>
      </c>
      <c r="AI217">
        <v>12688</v>
      </c>
      <c r="AJ217">
        <v>31961</v>
      </c>
      <c r="AK217">
        <v>0</v>
      </c>
      <c r="AL217">
        <v>301</v>
      </c>
      <c r="AM217">
        <v>3178</v>
      </c>
      <c r="AN217">
        <v>35232</v>
      </c>
      <c r="AO217">
        <v>158297</v>
      </c>
      <c r="AP217">
        <v>0</v>
      </c>
      <c r="AQ217">
        <v>0</v>
      </c>
      <c r="AR217">
        <v>2</v>
      </c>
      <c r="AS217">
        <v>15</v>
      </c>
      <c r="AT217">
        <v>0</v>
      </c>
      <c r="AU217">
        <v>36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7</v>
      </c>
      <c r="BB217">
        <v>19</v>
      </c>
      <c r="BC217">
        <v>1</v>
      </c>
      <c r="BD217">
        <v>2</v>
      </c>
      <c r="BE217">
        <v>0</v>
      </c>
      <c r="BF217">
        <v>2</v>
      </c>
      <c r="BG217">
        <v>2</v>
      </c>
      <c r="BH217">
        <v>2</v>
      </c>
      <c r="BI217">
        <v>2</v>
      </c>
      <c r="BJ217">
        <v>43.549857299999999</v>
      </c>
      <c r="BK217">
        <v>13.511385799999999</v>
      </c>
      <c r="BL217">
        <v>600</v>
      </c>
      <c r="BM217" t="s">
        <v>83</v>
      </c>
      <c r="BN217" t="s">
        <v>84</v>
      </c>
      <c r="BO217" t="s">
        <v>85</v>
      </c>
      <c r="BP217" t="s">
        <v>86</v>
      </c>
      <c r="BQ217" t="s">
        <v>372</v>
      </c>
      <c r="BR217" t="s">
        <v>369</v>
      </c>
      <c r="BS217">
        <v>1579407</v>
      </c>
      <c r="BT217">
        <v>0</v>
      </c>
      <c r="BU217">
        <v>0</v>
      </c>
      <c r="BV217">
        <v>686356</v>
      </c>
      <c r="BW217">
        <v>253776</v>
      </c>
      <c r="BX217">
        <v>639275</v>
      </c>
      <c r="BY217">
        <v>0</v>
      </c>
      <c r="BZ217">
        <v>1</v>
      </c>
      <c r="CA217" t="s">
        <v>373</v>
      </c>
      <c r="CB217" t="s">
        <v>374</v>
      </c>
      <c r="CC217" s="3">
        <v>46092.557106481479</v>
      </c>
      <c r="CD217" t="s">
        <v>91</v>
      </c>
    </row>
    <row r="218" spans="1:82" ht="16" x14ac:dyDescent="0.2">
      <c r="A218" t="s">
        <v>1001</v>
      </c>
      <c r="B218" t="s">
        <v>270</v>
      </c>
      <c r="C218" t="s">
        <v>271</v>
      </c>
      <c r="D218" t="s">
        <v>78</v>
      </c>
      <c r="E218" t="s">
        <v>272</v>
      </c>
      <c r="F218">
        <v>2</v>
      </c>
      <c r="G218">
        <v>150</v>
      </c>
      <c r="H218" t="str">
        <f t="shared" si="22"/>
        <v>2x150</v>
      </c>
      <c r="I218">
        <v>232</v>
      </c>
      <c r="J218" s="4">
        <f t="shared" si="23"/>
        <v>7.4358974358974358E-2</v>
      </c>
      <c r="K218">
        <v>350</v>
      </c>
      <c r="L218" s="4">
        <f t="shared" si="24"/>
        <v>0.11217948717948718</v>
      </c>
      <c r="M218">
        <v>530</v>
      </c>
      <c r="N218" s="4">
        <f t="shared" si="25"/>
        <v>0.16987179487179485</v>
      </c>
      <c r="O218">
        <v>1059</v>
      </c>
      <c r="P218" s="4">
        <f t="shared" si="26"/>
        <v>0.33942307692307688</v>
      </c>
      <c r="Q218" s="6">
        <f t="shared" si="21"/>
        <v>2030</v>
      </c>
      <c r="R218" s="6">
        <f t="shared" si="27"/>
        <v>3</v>
      </c>
      <c r="S218">
        <v>135</v>
      </c>
      <c r="T218">
        <v>59</v>
      </c>
      <c r="U218">
        <v>10</v>
      </c>
      <c r="V218">
        <v>-7</v>
      </c>
      <c r="W218">
        <v>-2</v>
      </c>
      <c r="X218">
        <v>63</v>
      </c>
      <c r="Y218" s="2" t="s">
        <v>273</v>
      </c>
      <c r="Z218">
        <v>45.004628760000003</v>
      </c>
      <c r="AA218">
        <v>7.673297228</v>
      </c>
      <c r="AB218" t="s">
        <v>78</v>
      </c>
      <c r="AC218" t="s">
        <v>81</v>
      </c>
      <c r="AD218" t="s">
        <v>82</v>
      </c>
      <c r="AE218">
        <v>97999</v>
      </c>
      <c r="AF218">
        <v>22783</v>
      </c>
      <c r="AG218">
        <v>0</v>
      </c>
      <c r="AH218">
        <v>36351</v>
      </c>
      <c r="AI218">
        <v>32660</v>
      </c>
      <c r="AJ218">
        <v>2777</v>
      </c>
      <c r="AK218">
        <v>3428</v>
      </c>
      <c r="AL218">
        <v>13776</v>
      </c>
      <c r="AM218">
        <v>59105</v>
      </c>
      <c r="AN218">
        <v>274389</v>
      </c>
      <c r="AO218">
        <v>919379</v>
      </c>
      <c r="AP218">
        <v>7</v>
      </c>
      <c r="AQ218">
        <v>0</v>
      </c>
      <c r="AR218">
        <v>3</v>
      </c>
      <c r="AS218">
        <v>7</v>
      </c>
      <c r="AT218">
        <v>4</v>
      </c>
      <c r="AU218">
        <v>31</v>
      </c>
      <c r="AV218">
        <v>3</v>
      </c>
      <c r="AW218">
        <v>1</v>
      </c>
      <c r="AX218">
        <v>0</v>
      </c>
      <c r="AY218">
        <v>0</v>
      </c>
      <c r="AZ218">
        <v>0</v>
      </c>
      <c r="BA218">
        <v>3</v>
      </c>
      <c r="BB218">
        <v>60</v>
      </c>
      <c r="BC218">
        <v>1</v>
      </c>
      <c r="BD218">
        <v>2</v>
      </c>
      <c r="BE218">
        <v>0</v>
      </c>
      <c r="BF218">
        <v>2</v>
      </c>
      <c r="BG218">
        <v>0</v>
      </c>
      <c r="BH218">
        <v>14</v>
      </c>
      <c r="BI218">
        <v>0</v>
      </c>
      <c r="BJ218">
        <v>45.004663899999997</v>
      </c>
      <c r="BK218">
        <v>7.6733604</v>
      </c>
      <c r="BL218">
        <v>300</v>
      </c>
      <c r="BM218" t="s">
        <v>83</v>
      </c>
      <c r="BN218" t="s">
        <v>84</v>
      </c>
      <c r="BO218" t="s">
        <v>85</v>
      </c>
      <c r="BP218" t="s">
        <v>107</v>
      </c>
      <c r="BQ218" t="s">
        <v>203</v>
      </c>
      <c r="BR218" t="s">
        <v>204</v>
      </c>
      <c r="BS218">
        <v>2225227</v>
      </c>
      <c r="BT218">
        <v>592381</v>
      </c>
      <c r="BU218">
        <v>0</v>
      </c>
      <c r="BV218">
        <v>855461</v>
      </c>
      <c r="BW218">
        <v>653247</v>
      </c>
      <c r="BX218">
        <v>55551</v>
      </c>
      <c r="BY218">
        <v>68587</v>
      </c>
      <c r="BZ218">
        <v>1</v>
      </c>
      <c r="CA218" t="s">
        <v>274</v>
      </c>
      <c r="CB218" t="s">
        <v>275</v>
      </c>
      <c r="CC218" s="3">
        <v>46092.557106481479</v>
      </c>
      <c r="CD218" t="s">
        <v>91</v>
      </c>
    </row>
    <row r="219" spans="1:82" ht="16" x14ac:dyDescent="0.2">
      <c r="A219" t="s">
        <v>375</v>
      </c>
      <c r="B219" t="s">
        <v>376</v>
      </c>
      <c r="C219" t="s">
        <v>377</v>
      </c>
      <c r="D219" t="s">
        <v>78</v>
      </c>
      <c r="E219" t="s">
        <v>378</v>
      </c>
      <c r="F219">
        <v>2</v>
      </c>
      <c r="G219">
        <v>300</v>
      </c>
      <c r="H219" t="str">
        <f t="shared" si="22"/>
        <v>2x300</v>
      </c>
      <c r="I219">
        <v>231</v>
      </c>
      <c r="J219" s="4">
        <f t="shared" si="23"/>
        <v>6.4166666666666664E-2</v>
      </c>
      <c r="K219">
        <v>348</v>
      </c>
      <c r="L219" s="4">
        <f t="shared" si="24"/>
        <v>9.6666666666666665E-2</v>
      </c>
      <c r="M219">
        <v>528</v>
      </c>
      <c r="N219" s="4">
        <f t="shared" si="25"/>
        <v>0.14666666666666667</v>
      </c>
      <c r="O219">
        <v>1055</v>
      </c>
      <c r="P219" s="4">
        <f t="shared" si="26"/>
        <v>0.29305555555555557</v>
      </c>
      <c r="Q219" s="6">
        <f t="shared" si="21"/>
        <v>2030</v>
      </c>
      <c r="R219" s="6">
        <f t="shared" si="27"/>
        <v>3</v>
      </c>
      <c r="S219">
        <v>156</v>
      </c>
      <c r="T219">
        <v>41</v>
      </c>
      <c r="U219">
        <v>6</v>
      </c>
      <c r="V219">
        <v>-4</v>
      </c>
      <c r="W219">
        <v>-6</v>
      </c>
      <c r="X219">
        <v>63</v>
      </c>
      <c r="Y219" s="2" t="s">
        <v>379</v>
      </c>
      <c r="Z219">
        <v>43.735779999999998</v>
      </c>
      <c r="AA219">
        <v>11.29599</v>
      </c>
      <c r="AB219" t="s">
        <v>78</v>
      </c>
      <c r="AC219" t="s">
        <v>81</v>
      </c>
      <c r="AD219" t="s">
        <v>82</v>
      </c>
      <c r="AE219">
        <v>107998</v>
      </c>
      <c r="AF219">
        <v>47825</v>
      </c>
      <c r="AG219">
        <v>0</v>
      </c>
      <c r="AH219">
        <v>46119</v>
      </c>
      <c r="AI219">
        <v>0</v>
      </c>
      <c r="AJ219">
        <v>14054</v>
      </c>
      <c r="AK219">
        <v>0</v>
      </c>
      <c r="AL219">
        <v>4389</v>
      </c>
      <c r="AM219">
        <v>16210</v>
      </c>
      <c r="AN219">
        <v>126571</v>
      </c>
      <c r="AO219">
        <v>439266</v>
      </c>
      <c r="AP219">
        <v>0</v>
      </c>
      <c r="AQ219">
        <v>1</v>
      </c>
      <c r="AR219">
        <v>3</v>
      </c>
      <c r="AS219">
        <v>10</v>
      </c>
      <c r="AT219">
        <v>2</v>
      </c>
      <c r="AU219">
        <v>24</v>
      </c>
      <c r="AV219">
        <v>1</v>
      </c>
      <c r="AW219">
        <v>0</v>
      </c>
      <c r="AX219">
        <v>0</v>
      </c>
      <c r="AY219">
        <v>2</v>
      </c>
      <c r="AZ219">
        <v>0</v>
      </c>
      <c r="BA219">
        <v>10</v>
      </c>
      <c r="BB219">
        <v>22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4</v>
      </c>
      <c r="BJ219">
        <v>43.735883800000003</v>
      </c>
      <c r="BK219">
        <v>11.296255199999999</v>
      </c>
      <c r="BL219">
        <v>600</v>
      </c>
      <c r="BM219" t="s">
        <v>83</v>
      </c>
      <c r="BN219" t="s">
        <v>84</v>
      </c>
      <c r="BO219" t="s">
        <v>85</v>
      </c>
      <c r="BP219" t="s">
        <v>86</v>
      </c>
      <c r="BQ219" t="s">
        <v>212</v>
      </c>
      <c r="BR219" t="s">
        <v>213</v>
      </c>
      <c r="BS219">
        <v>2542112</v>
      </c>
      <c r="BT219">
        <v>1195645</v>
      </c>
      <c r="BU219">
        <v>0</v>
      </c>
      <c r="BV219">
        <v>1065330</v>
      </c>
      <c r="BW219">
        <v>0</v>
      </c>
      <c r="BX219">
        <v>281137</v>
      </c>
      <c r="BY219">
        <v>0</v>
      </c>
      <c r="BZ219">
        <v>1</v>
      </c>
      <c r="CA219" t="s">
        <v>380</v>
      </c>
      <c r="CB219" t="s">
        <v>381</v>
      </c>
      <c r="CC219" s="3">
        <v>46092.557106481479</v>
      </c>
      <c r="CD219" t="s">
        <v>91</v>
      </c>
    </row>
    <row r="220" spans="1:82" ht="16" x14ac:dyDescent="0.2">
      <c r="A220" t="s">
        <v>382</v>
      </c>
      <c r="B220" t="s">
        <v>383</v>
      </c>
      <c r="C220" t="s">
        <v>384</v>
      </c>
      <c r="D220" t="s">
        <v>78</v>
      </c>
      <c r="E220" t="s">
        <v>385</v>
      </c>
      <c r="F220">
        <v>2</v>
      </c>
      <c r="G220">
        <v>300</v>
      </c>
      <c r="H220" t="str">
        <f t="shared" si="22"/>
        <v>2x300</v>
      </c>
      <c r="I220">
        <v>230</v>
      </c>
      <c r="J220" s="4">
        <f t="shared" si="23"/>
        <v>6.3888888888888898E-2</v>
      </c>
      <c r="K220">
        <v>347</v>
      </c>
      <c r="L220" s="4">
        <f t="shared" si="24"/>
        <v>9.6388888888888899E-2</v>
      </c>
      <c r="M220">
        <v>526</v>
      </c>
      <c r="N220" s="4">
        <f t="shared" si="25"/>
        <v>0.14611111111111111</v>
      </c>
      <c r="O220">
        <v>1049</v>
      </c>
      <c r="P220" s="4">
        <f t="shared" si="26"/>
        <v>0.29138888888888886</v>
      </c>
      <c r="Q220" s="6">
        <f t="shared" si="21"/>
        <v>2030</v>
      </c>
      <c r="R220" s="6">
        <f t="shared" si="27"/>
        <v>3</v>
      </c>
      <c r="S220">
        <v>156</v>
      </c>
      <c r="T220">
        <v>36</v>
      </c>
      <c r="U220">
        <v>-4</v>
      </c>
      <c r="V220">
        <v>5</v>
      </c>
      <c r="W220">
        <v>-2</v>
      </c>
      <c r="X220">
        <v>61</v>
      </c>
      <c r="Y220" s="2" t="s">
        <v>386</v>
      </c>
      <c r="Z220">
        <v>45.542691599016301</v>
      </c>
      <c r="AA220">
        <v>9.0104153595161502</v>
      </c>
      <c r="AB220" t="s">
        <v>78</v>
      </c>
      <c r="AC220" t="s">
        <v>81</v>
      </c>
      <c r="AD220" t="s">
        <v>82</v>
      </c>
      <c r="AE220">
        <v>74194</v>
      </c>
      <c r="AF220">
        <v>0</v>
      </c>
      <c r="AG220">
        <v>0</v>
      </c>
      <c r="AH220">
        <v>28734</v>
      </c>
      <c r="AI220">
        <v>27593</v>
      </c>
      <c r="AJ220">
        <v>17081</v>
      </c>
      <c r="AK220">
        <v>786</v>
      </c>
      <c r="AL220">
        <v>8574</v>
      </c>
      <c r="AM220">
        <v>30058</v>
      </c>
      <c r="AN220">
        <v>144477</v>
      </c>
      <c r="AO220">
        <v>608045</v>
      </c>
      <c r="AP220">
        <v>3</v>
      </c>
      <c r="AQ220">
        <v>0</v>
      </c>
      <c r="AR220">
        <v>2</v>
      </c>
      <c r="AS220">
        <v>18</v>
      </c>
      <c r="AT220">
        <v>5</v>
      </c>
      <c r="AU220">
        <v>29</v>
      </c>
      <c r="AV220">
        <v>1</v>
      </c>
      <c r="AW220">
        <v>0</v>
      </c>
      <c r="AX220">
        <v>2</v>
      </c>
      <c r="AY220">
        <v>0</v>
      </c>
      <c r="AZ220">
        <v>0</v>
      </c>
      <c r="BA220">
        <v>5</v>
      </c>
      <c r="BB220">
        <v>20</v>
      </c>
      <c r="BC220">
        <v>4</v>
      </c>
      <c r="BD220">
        <v>2</v>
      </c>
      <c r="BE220">
        <v>0</v>
      </c>
      <c r="BF220">
        <v>3</v>
      </c>
      <c r="BG220">
        <v>0</v>
      </c>
      <c r="BH220">
        <v>13</v>
      </c>
      <c r="BI220">
        <v>4</v>
      </c>
      <c r="BJ220">
        <v>45.542679300000003</v>
      </c>
      <c r="BK220">
        <v>9.0103826999999992</v>
      </c>
      <c r="BL220">
        <v>600</v>
      </c>
      <c r="BM220" t="s">
        <v>83</v>
      </c>
      <c r="BN220" t="s">
        <v>84</v>
      </c>
      <c r="BO220" t="s">
        <v>85</v>
      </c>
      <c r="BP220" t="s">
        <v>107</v>
      </c>
      <c r="BQ220" t="s">
        <v>108</v>
      </c>
      <c r="BR220" t="s">
        <v>109</v>
      </c>
      <c r="BS220">
        <v>1483989</v>
      </c>
      <c r="BT220">
        <v>0</v>
      </c>
      <c r="BU220">
        <v>0</v>
      </c>
      <c r="BV220">
        <v>574704</v>
      </c>
      <c r="BW220">
        <v>551894</v>
      </c>
      <c r="BX220">
        <v>341668</v>
      </c>
      <c r="BY220">
        <v>15723</v>
      </c>
      <c r="BZ220">
        <v>1</v>
      </c>
      <c r="CA220" t="s">
        <v>387</v>
      </c>
      <c r="CB220" t="s">
        <v>388</v>
      </c>
      <c r="CC220" s="3">
        <v>46092.557106481479</v>
      </c>
      <c r="CD220" t="s">
        <v>91</v>
      </c>
    </row>
    <row r="221" spans="1:82" ht="16" x14ac:dyDescent="0.2">
      <c r="A221" t="s">
        <v>389</v>
      </c>
      <c r="B221" t="s">
        <v>390</v>
      </c>
      <c r="C221" t="s">
        <v>391</v>
      </c>
      <c r="D221" t="s">
        <v>78</v>
      </c>
      <c r="E221" t="s">
        <v>392</v>
      </c>
      <c r="F221">
        <v>2</v>
      </c>
      <c r="G221">
        <v>300</v>
      </c>
      <c r="H221" t="str">
        <f t="shared" si="22"/>
        <v>2x300</v>
      </c>
      <c r="I221">
        <v>228</v>
      </c>
      <c r="J221" s="4">
        <f t="shared" si="23"/>
        <v>6.3333333333333339E-2</v>
      </c>
      <c r="K221">
        <v>345</v>
      </c>
      <c r="L221" s="4">
        <f t="shared" si="24"/>
        <v>9.5833333333333326E-2</v>
      </c>
      <c r="M221">
        <v>523</v>
      </c>
      <c r="N221" s="4">
        <f t="shared" si="25"/>
        <v>0.14527777777777778</v>
      </c>
      <c r="O221">
        <v>1044</v>
      </c>
      <c r="P221" s="4">
        <f t="shared" si="26"/>
        <v>0.28999999999999998</v>
      </c>
      <c r="Q221" s="6">
        <f t="shared" si="21"/>
        <v>2030</v>
      </c>
      <c r="R221" s="6">
        <f t="shared" si="27"/>
        <v>3</v>
      </c>
      <c r="S221">
        <v>156</v>
      </c>
      <c r="T221">
        <v>33</v>
      </c>
      <c r="U221">
        <v>6</v>
      </c>
      <c r="V221">
        <v>2</v>
      </c>
      <c r="W221">
        <v>-3</v>
      </c>
      <c r="X221">
        <v>63</v>
      </c>
      <c r="Y221" s="2" t="s">
        <v>393</v>
      </c>
      <c r="Z221">
        <v>43.805397399999997</v>
      </c>
      <c r="AA221">
        <v>11.1132697</v>
      </c>
      <c r="AB221" t="s">
        <v>78</v>
      </c>
      <c r="AC221" t="s">
        <v>81</v>
      </c>
      <c r="AD221" t="s">
        <v>82</v>
      </c>
      <c r="AE221">
        <v>26906</v>
      </c>
      <c r="AF221">
        <v>0</v>
      </c>
      <c r="AG221">
        <v>0</v>
      </c>
      <c r="AH221">
        <v>0</v>
      </c>
      <c r="AI221">
        <v>16760</v>
      </c>
      <c r="AJ221">
        <v>8904</v>
      </c>
      <c r="AK221">
        <v>1242</v>
      </c>
      <c r="AL221">
        <v>3756</v>
      </c>
      <c r="AM221">
        <v>15914</v>
      </c>
      <c r="AN221">
        <v>103128</v>
      </c>
      <c r="AO221">
        <v>503984</v>
      </c>
      <c r="AP221">
        <v>3</v>
      </c>
      <c r="AQ221">
        <v>1</v>
      </c>
      <c r="AR221">
        <v>4</v>
      </c>
      <c r="AS221">
        <v>15</v>
      </c>
      <c r="AT221">
        <v>4</v>
      </c>
      <c r="AU221">
        <v>20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4</v>
      </c>
      <c r="BI221">
        <v>0</v>
      </c>
      <c r="BJ221">
        <v>43.8054299</v>
      </c>
      <c r="BK221">
        <v>11.113152400000001</v>
      </c>
      <c r="BL221">
        <v>600</v>
      </c>
      <c r="BM221" t="s">
        <v>83</v>
      </c>
      <c r="BN221" t="s">
        <v>84</v>
      </c>
      <c r="BO221" t="s">
        <v>85</v>
      </c>
      <c r="BP221" t="s">
        <v>86</v>
      </c>
      <c r="BQ221" t="s">
        <v>212</v>
      </c>
      <c r="BR221" t="s">
        <v>213</v>
      </c>
      <c r="BS221">
        <v>538175</v>
      </c>
      <c r="BT221">
        <v>0</v>
      </c>
      <c r="BU221">
        <v>0</v>
      </c>
      <c r="BV221">
        <v>0</v>
      </c>
      <c r="BW221">
        <v>335221</v>
      </c>
      <c r="BX221">
        <v>178098</v>
      </c>
      <c r="BY221">
        <v>24856</v>
      </c>
      <c r="BZ221">
        <v>1</v>
      </c>
      <c r="CA221" t="s">
        <v>394</v>
      </c>
      <c r="CB221" t="s">
        <v>395</v>
      </c>
      <c r="CC221" s="3">
        <v>46092.557106481479</v>
      </c>
      <c r="CD221" t="s">
        <v>91</v>
      </c>
    </row>
    <row r="222" spans="1:82" ht="16" x14ac:dyDescent="0.2">
      <c r="A222" t="s">
        <v>396</v>
      </c>
      <c r="B222" t="s">
        <v>397</v>
      </c>
      <c r="C222" t="s">
        <v>398</v>
      </c>
      <c r="D222" t="s">
        <v>78</v>
      </c>
      <c r="E222" t="s">
        <v>399</v>
      </c>
      <c r="F222">
        <v>2</v>
      </c>
      <c r="G222">
        <v>300</v>
      </c>
      <c r="H222" t="str">
        <f t="shared" si="22"/>
        <v>2x300</v>
      </c>
      <c r="I222">
        <v>227</v>
      </c>
      <c r="J222" s="4">
        <f t="shared" si="23"/>
        <v>6.3055555555555559E-2</v>
      </c>
      <c r="K222">
        <v>342</v>
      </c>
      <c r="L222" s="4">
        <f t="shared" si="24"/>
        <v>9.4999999999999987E-2</v>
      </c>
      <c r="M222">
        <v>519</v>
      </c>
      <c r="N222" s="4">
        <f t="shared" si="25"/>
        <v>0.14416666666666667</v>
      </c>
      <c r="O222">
        <v>1036</v>
      </c>
      <c r="P222" s="4">
        <f t="shared" si="26"/>
        <v>0.28777777777777774</v>
      </c>
      <c r="Q222" s="6">
        <f t="shared" si="21"/>
        <v>2030</v>
      </c>
      <c r="R222" s="6">
        <f t="shared" si="27"/>
        <v>3</v>
      </c>
      <c r="S222">
        <v>156</v>
      </c>
      <c r="T222">
        <v>69</v>
      </c>
      <c r="U222">
        <v>-21</v>
      </c>
      <c r="V222">
        <v>-6</v>
      </c>
      <c r="W222">
        <v>-19</v>
      </c>
      <c r="X222">
        <v>74</v>
      </c>
      <c r="Y222" s="2" t="s">
        <v>400</v>
      </c>
      <c r="Z222">
        <v>41.6770861878679</v>
      </c>
      <c r="AA222">
        <v>12.500755177912099</v>
      </c>
      <c r="AB222" t="s">
        <v>78</v>
      </c>
      <c r="AC222" t="s">
        <v>81</v>
      </c>
      <c r="AD222" t="s">
        <v>82</v>
      </c>
      <c r="AE222">
        <v>99459</v>
      </c>
      <c r="AF222">
        <v>0</v>
      </c>
      <c r="AG222">
        <v>66148</v>
      </c>
      <c r="AH222">
        <v>0</v>
      </c>
      <c r="AI222">
        <v>0</v>
      </c>
      <c r="AJ222">
        <v>23420</v>
      </c>
      <c r="AK222">
        <v>9891</v>
      </c>
      <c r="AL222">
        <v>9326</v>
      </c>
      <c r="AM222">
        <v>25111</v>
      </c>
      <c r="AN222">
        <v>41559</v>
      </c>
      <c r="AO222">
        <v>110995</v>
      </c>
      <c r="AP222">
        <v>6</v>
      </c>
      <c r="AQ222">
        <v>1</v>
      </c>
      <c r="AR222">
        <v>4</v>
      </c>
      <c r="AS222">
        <v>7</v>
      </c>
      <c r="AT222">
        <v>2</v>
      </c>
      <c r="AU222">
        <v>21</v>
      </c>
      <c r="AV222">
        <v>17</v>
      </c>
      <c r="AW222">
        <v>1</v>
      </c>
      <c r="AX222">
        <v>0</v>
      </c>
      <c r="AY222">
        <v>1</v>
      </c>
      <c r="AZ222">
        <v>0</v>
      </c>
      <c r="BA222">
        <v>26</v>
      </c>
      <c r="BB222">
        <v>40</v>
      </c>
      <c r="BC222">
        <v>8</v>
      </c>
      <c r="BD222">
        <v>2</v>
      </c>
      <c r="BE222">
        <v>0</v>
      </c>
      <c r="BF222">
        <v>6</v>
      </c>
      <c r="BG222">
        <v>4</v>
      </c>
      <c r="BH222">
        <v>14</v>
      </c>
      <c r="BI222">
        <v>4</v>
      </c>
      <c r="BJ222">
        <v>41.6772834</v>
      </c>
      <c r="BK222">
        <v>12.500575700000001</v>
      </c>
      <c r="BL222">
        <v>600</v>
      </c>
      <c r="BM222" t="s">
        <v>83</v>
      </c>
      <c r="BN222" t="s">
        <v>84</v>
      </c>
      <c r="BO222" t="s">
        <v>85</v>
      </c>
      <c r="BP222" t="s">
        <v>86</v>
      </c>
      <c r="BQ222" t="s">
        <v>87</v>
      </c>
      <c r="BR222" t="s">
        <v>88</v>
      </c>
      <c r="BS222">
        <v>2319199</v>
      </c>
      <c r="BT222">
        <v>0</v>
      </c>
      <c r="BU222">
        <v>1719870</v>
      </c>
      <c r="BV222">
        <v>0</v>
      </c>
      <c r="BW222">
        <v>0</v>
      </c>
      <c r="BX222">
        <v>401454</v>
      </c>
      <c r="BY222">
        <v>197875</v>
      </c>
      <c r="BZ222">
        <v>1</v>
      </c>
      <c r="CA222" t="s">
        <v>401</v>
      </c>
      <c r="CB222" t="s">
        <v>402</v>
      </c>
      <c r="CC222" s="3">
        <v>46092.557106481479</v>
      </c>
      <c r="CD222" t="s">
        <v>91</v>
      </c>
    </row>
    <row r="223" spans="1:82" ht="16" x14ac:dyDescent="0.2">
      <c r="A223" t="s">
        <v>403</v>
      </c>
      <c r="B223" t="s">
        <v>404</v>
      </c>
      <c r="C223" t="s">
        <v>405</v>
      </c>
      <c r="D223" t="s">
        <v>78</v>
      </c>
      <c r="E223" t="s">
        <v>406</v>
      </c>
      <c r="F223">
        <v>2</v>
      </c>
      <c r="G223">
        <v>300</v>
      </c>
      <c r="H223" t="str">
        <f t="shared" si="22"/>
        <v>2x300</v>
      </c>
      <c r="I223">
        <v>225</v>
      </c>
      <c r="J223" s="4">
        <f t="shared" si="23"/>
        <v>6.25E-2</v>
      </c>
      <c r="K223">
        <v>340</v>
      </c>
      <c r="L223" s="4">
        <f t="shared" si="24"/>
        <v>9.4444444444444442E-2</v>
      </c>
      <c r="M223">
        <v>516</v>
      </c>
      <c r="N223" s="4">
        <f t="shared" si="25"/>
        <v>0.14333333333333334</v>
      </c>
      <c r="O223">
        <v>1030</v>
      </c>
      <c r="P223" s="4">
        <f t="shared" si="26"/>
        <v>0.28611111111111109</v>
      </c>
      <c r="Q223" s="6">
        <f t="shared" si="21"/>
        <v>2030</v>
      </c>
      <c r="R223" s="6">
        <f t="shared" si="27"/>
        <v>3</v>
      </c>
      <c r="S223">
        <v>156</v>
      </c>
      <c r="T223">
        <v>69</v>
      </c>
      <c r="U223">
        <v>-20</v>
      </c>
      <c r="V223">
        <v>-3</v>
      </c>
      <c r="W223">
        <v>-9</v>
      </c>
      <c r="X223">
        <v>53</v>
      </c>
      <c r="Y223" s="2" t="s">
        <v>407</v>
      </c>
      <c r="Z223">
        <v>43.996139999999997</v>
      </c>
      <c r="AA223">
        <v>12.645759999999999</v>
      </c>
      <c r="AB223" t="s">
        <v>78</v>
      </c>
      <c r="AC223" t="s">
        <v>81</v>
      </c>
      <c r="AD223" t="s">
        <v>82</v>
      </c>
      <c r="AE223">
        <v>75496</v>
      </c>
      <c r="AF223">
        <v>40126</v>
      </c>
      <c r="AG223">
        <v>0</v>
      </c>
      <c r="AH223">
        <v>7125</v>
      </c>
      <c r="AI223">
        <v>0</v>
      </c>
      <c r="AJ223">
        <v>13436</v>
      </c>
      <c r="AK223">
        <v>14809</v>
      </c>
      <c r="AL223">
        <v>8591</v>
      </c>
      <c r="AM223">
        <v>23990</v>
      </c>
      <c r="AN223">
        <v>57288</v>
      </c>
      <c r="AO223">
        <v>185551</v>
      </c>
      <c r="AP223">
        <v>0</v>
      </c>
      <c r="AQ223">
        <v>2</v>
      </c>
      <c r="AR223">
        <v>3</v>
      </c>
      <c r="AS223">
        <v>11</v>
      </c>
      <c r="AT223">
        <v>5</v>
      </c>
      <c r="AU223">
        <v>14</v>
      </c>
      <c r="AV223">
        <v>5</v>
      </c>
      <c r="AW223">
        <v>2</v>
      </c>
      <c r="AX223">
        <v>0</v>
      </c>
      <c r="AY223">
        <v>1</v>
      </c>
      <c r="AZ223">
        <v>0</v>
      </c>
      <c r="BA223">
        <v>13</v>
      </c>
      <c r="BB223">
        <v>46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6</v>
      </c>
      <c r="BI223">
        <v>0</v>
      </c>
      <c r="BJ223">
        <v>43.996139900000003</v>
      </c>
      <c r="BK223">
        <v>12.645739900000001</v>
      </c>
      <c r="BL223">
        <v>600</v>
      </c>
      <c r="BM223" t="s">
        <v>83</v>
      </c>
      <c r="BN223" t="s">
        <v>84</v>
      </c>
      <c r="BO223" t="s">
        <v>85</v>
      </c>
      <c r="BP223" t="s">
        <v>160</v>
      </c>
      <c r="BQ223" t="s">
        <v>170</v>
      </c>
      <c r="BR223" t="s">
        <v>408</v>
      </c>
      <c r="BS223">
        <v>1710627</v>
      </c>
      <c r="BT223">
        <v>1003151</v>
      </c>
      <c r="BU223">
        <v>0</v>
      </c>
      <c r="BV223">
        <v>142511</v>
      </c>
      <c r="BW223">
        <v>0</v>
      </c>
      <c r="BX223">
        <v>268733</v>
      </c>
      <c r="BY223">
        <v>296232</v>
      </c>
      <c r="BZ223">
        <v>1</v>
      </c>
      <c r="CA223" t="s">
        <v>409</v>
      </c>
      <c r="CB223" t="s">
        <v>410</v>
      </c>
      <c r="CC223" s="3">
        <v>46092.557106481479</v>
      </c>
      <c r="CD223" t="s">
        <v>91</v>
      </c>
    </row>
    <row r="224" spans="1:82" ht="16" x14ac:dyDescent="0.2">
      <c r="A224" t="s">
        <v>411</v>
      </c>
      <c r="B224" t="s">
        <v>412</v>
      </c>
      <c r="C224" t="s">
        <v>413</v>
      </c>
      <c r="D224" t="s">
        <v>78</v>
      </c>
      <c r="E224" t="s">
        <v>414</v>
      </c>
      <c r="F224">
        <v>2</v>
      </c>
      <c r="G224">
        <v>300</v>
      </c>
      <c r="H224" t="str">
        <f t="shared" si="22"/>
        <v>2x300</v>
      </c>
      <c r="I224">
        <v>225</v>
      </c>
      <c r="J224" s="4">
        <f t="shared" si="23"/>
        <v>6.25E-2</v>
      </c>
      <c r="K224">
        <v>339</v>
      </c>
      <c r="L224" s="4">
        <f t="shared" si="24"/>
        <v>9.4166666666666662E-2</v>
      </c>
      <c r="M224">
        <v>514</v>
      </c>
      <c r="N224" s="4">
        <f t="shared" si="25"/>
        <v>0.14277777777777778</v>
      </c>
      <c r="O224">
        <v>1026</v>
      </c>
      <c r="P224" s="4">
        <f t="shared" si="26"/>
        <v>0.28499999999999998</v>
      </c>
      <c r="Q224" s="6">
        <f t="shared" si="21"/>
        <v>2030</v>
      </c>
      <c r="R224" s="6">
        <f t="shared" si="27"/>
        <v>3</v>
      </c>
      <c r="S224">
        <v>156</v>
      </c>
      <c r="T224">
        <v>33</v>
      </c>
      <c r="U224">
        <v>-18</v>
      </c>
      <c r="V224">
        <v>-5</v>
      </c>
      <c r="W224">
        <v>12</v>
      </c>
      <c r="X224">
        <v>76</v>
      </c>
      <c r="Y224" s="2" t="s">
        <v>415</v>
      </c>
      <c r="Z224">
        <v>40.900849999999998</v>
      </c>
      <c r="AA224">
        <v>14.040596000000001</v>
      </c>
      <c r="AB224" t="s">
        <v>78</v>
      </c>
      <c r="AC224" t="s">
        <v>81</v>
      </c>
      <c r="AD224" t="s">
        <v>82</v>
      </c>
      <c r="AE224">
        <v>19160</v>
      </c>
      <c r="AF224">
        <v>0</v>
      </c>
      <c r="AG224">
        <v>0</v>
      </c>
      <c r="AH224">
        <v>0</v>
      </c>
      <c r="AI224">
        <v>12088</v>
      </c>
      <c r="AJ224">
        <v>5580</v>
      </c>
      <c r="AK224">
        <v>1492</v>
      </c>
      <c r="AL224">
        <v>1799</v>
      </c>
      <c r="AM224">
        <v>8336</v>
      </c>
      <c r="AN224">
        <v>42529</v>
      </c>
      <c r="AO224">
        <v>187729</v>
      </c>
      <c r="AP224">
        <v>3</v>
      </c>
      <c r="AQ224">
        <v>0</v>
      </c>
      <c r="AR224">
        <v>3</v>
      </c>
      <c r="AS224">
        <v>12</v>
      </c>
      <c r="AT224">
        <v>2</v>
      </c>
      <c r="AU224">
        <v>21</v>
      </c>
      <c r="AV224">
        <v>0</v>
      </c>
      <c r="AW224">
        <v>0</v>
      </c>
      <c r="AX224">
        <v>5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2</v>
      </c>
      <c r="BE224">
        <v>0</v>
      </c>
      <c r="BF224">
        <v>2</v>
      </c>
      <c r="BG224">
        <v>0</v>
      </c>
      <c r="BH224">
        <v>2</v>
      </c>
      <c r="BI224">
        <v>0</v>
      </c>
      <c r="BJ224">
        <v>40.900739999999999</v>
      </c>
      <c r="BK224">
        <v>14.040509999999999</v>
      </c>
      <c r="BL224">
        <v>600</v>
      </c>
      <c r="BM224" t="s">
        <v>83</v>
      </c>
      <c r="BN224" t="s">
        <v>84</v>
      </c>
      <c r="BO224" t="s">
        <v>85</v>
      </c>
      <c r="BP224" t="s">
        <v>97</v>
      </c>
      <c r="BQ224" t="s">
        <v>98</v>
      </c>
      <c r="BR224" t="s">
        <v>99</v>
      </c>
      <c r="BS224">
        <v>383320</v>
      </c>
      <c r="BT224">
        <v>0</v>
      </c>
      <c r="BU224">
        <v>0</v>
      </c>
      <c r="BV224">
        <v>0</v>
      </c>
      <c r="BW224">
        <v>241817</v>
      </c>
      <c r="BX224">
        <v>111626</v>
      </c>
      <c r="BY224">
        <v>29877</v>
      </c>
      <c r="BZ224">
        <v>1</v>
      </c>
      <c r="CA224" t="s">
        <v>416</v>
      </c>
      <c r="CB224" t="s">
        <v>417</v>
      </c>
      <c r="CC224" s="3">
        <v>46092.557106481479</v>
      </c>
      <c r="CD224" t="s">
        <v>91</v>
      </c>
    </row>
    <row r="225" spans="1:82" ht="16" x14ac:dyDescent="0.2">
      <c r="A225" t="s">
        <v>418</v>
      </c>
      <c r="B225" t="s">
        <v>419</v>
      </c>
      <c r="C225" t="s">
        <v>420</v>
      </c>
      <c r="D225" t="s">
        <v>78</v>
      </c>
      <c r="E225" t="s">
        <v>421</v>
      </c>
      <c r="F225">
        <v>2</v>
      </c>
      <c r="G225">
        <v>300</v>
      </c>
      <c r="H225" t="str">
        <f t="shared" si="22"/>
        <v>2x300</v>
      </c>
      <c r="I225">
        <v>222</v>
      </c>
      <c r="J225" s="4">
        <f t="shared" si="23"/>
        <v>6.1666666666666668E-2</v>
      </c>
      <c r="K225">
        <v>336</v>
      </c>
      <c r="L225" s="4">
        <f t="shared" si="24"/>
        <v>9.3333333333333338E-2</v>
      </c>
      <c r="M225">
        <v>509</v>
      </c>
      <c r="N225" s="4">
        <f t="shared" si="25"/>
        <v>0.1413888888888889</v>
      </c>
      <c r="O225">
        <v>1016</v>
      </c>
      <c r="P225" s="4">
        <f t="shared" si="26"/>
        <v>0.28222222222222221</v>
      </c>
      <c r="Q225" s="6">
        <f t="shared" si="21"/>
        <v>2030</v>
      </c>
      <c r="R225" s="6">
        <f t="shared" si="27"/>
        <v>3</v>
      </c>
      <c r="S225">
        <v>156</v>
      </c>
      <c r="T225">
        <v>60</v>
      </c>
      <c r="U225">
        <v>-21</v>
      </c>
      <c r="V225">
        <v>-9</v>
      </c>
      <c r="W225">
        <v>-4</v>
      </c>
      <c r="X225">
        <v>66</v>
      </c>
      <c r="Y225" s="2" t="s">
        <v>422</v>
      </c>
      <c r="Z225">
        <v>43.549980120000001</v>
      </c>
      <c r="AA225">
        <v>11.56096037</v>
      </c>
      <c r="AB225" t="s">
        <v>78</v>
      </c>
      <c r="AC225" t="s">
        <v>81</v>
      </c>
      <c r="AD225" t="s">
        <v>82</v>
      </c>
      <c r="AE225">
        <v>106421</v>
      </c>
      <c r="AF225">
        <v>79216</v>
      </c>
      <c r="AG225">
        <v>0</v>
      </c>
      <c r="AH225">
        <v>0</v>
      </c>
      <c r="AI225">
        <v>15083</v>
      </c>
      <c r="AJ225">
        <v>10099</v>
      </c>
      <c r="AK225">
        <v>2023</v>
      </c>
      <c r="AL225">
        <v>1277</v>
      </c>
      <c r="AM225">
        <v>8549</v>
      </c>
      <c r="AN225">
        <v>46015</v>
      </c>
      <c r="AO225">
        <v>83632</v>
      </c>
      <c r="AP225">
        <v>2</v>
      </c>
      <c r="AQ225">
        <v>0</v>
      </c>
      <c r="AR225">
        <v>6</v>
      </c>
      <c r="AS225">
        <v>4</v>
      </c>
      <c r="AT225">
        <v>2</v>
      </c>
      <c r="AU225">
        <v>21</v>
      </c>
      <c r="AV225">
        <v>2</v>
      </c>
      <c r="AW225">
        <v>0</v>
      </c>
      <c r="AX225">
        <v>1</v>
      </c>
      <c r="AY225">
        <v>0</v>
      </c>
      <c r="AZ225">
        <v>0</v>
      </c>
      <c r="BA225">
        <v>6</v>
      </c>
      <c r="BB225">
        <v>21</v>
      </c>
      <c r="BC225">
        <v>4</v>
      </c>
      <c r="BD225">
        <v>4</v>
      </c>
      <c r="BE225">
        <v>0</v>
      </c>
      <c r="BF225">
        <v>4</v>
      </c>
      <c r="BG225">
        <v>0</v>
      </c>
      <c r="BH225">
        <v>6</v>
      </c>
      <c r="BI225">
        <v>0</v>
      </c>
      <c r="BJ225">
        <v>43.549951</v>
      </c>
      <c r="BK225">
        <v>11.560915</v>
      </c>
      <c r="BL225">
        <v>600</v>
      </c>
      <c r="BM225" t="s">
        <v>83</v>
      </c>
      <c r="BN225" t="s">
        <v>84</v>
      </c>
      <c r="BO225" t="s">
        <v>85</v>
      </c>
      <c r="BP225" t="s">
        <v>86</v>
      </c>
      <c r="BQ225" t="s">
        <v>212</v>
      </c>
      <c r="BR225" t="s">
        <v>423</v>
      </c>
      <c r="BS225">
        <v>2524220</v>
      </c>
      <c r="BT225">
        <v>2018247</v>
      </c>
      <c r="BU225">
        <v>0</v>
      </c>
      <c r="BV225">
        <v>0</v>
      </c>
      <c r="BW225">
        <v>301694</v>
      </c>
      <c r="BX225">
        <v>163813</v>
      </c>
      <c r="BY225">
        <v>40466</v>
      </c>
      <c r="BZ225">
        <v>1</v>
      </c>
      <c r="CA225" t="s">
        <v>424</v>
      </c>
      <c r="CB225" t="s">
        <v>425</v>
      </c>
      <c r="CC225" s="3">
        <v>46092.557106481479</v>
      </c>
      <c r="CD225" t="s">
        <v>91</v>
      </c>
    </row>
    <row r="226" spans="1:82" ht="16" x14ac:dyDescent="0.2">
      <c r="A226" t="s">
        <v>1017</v>
      </c>
      <c r="B226" t="s">
        <v>277</v>
      </c>
      <c r="C226" t="s">
        <v>278</v>
      </c>
      <c r="D226" t="s">
        <v>78</v>
      </c>
      <c r="E226" t="s">
        <v>279</v>
      </c>
      <c r="F226">
        <v>2</v>
      </c>
      <c r="G226">
        <v>150</v>
      </c>
      <c r="H226" t="str">
        <f t="shared" si="22"/>
        <v>2x150</v>
      </c>
      <c r="I226">
        <v>222</v>
      </c>
      <c r="J226" s="4">
        <f t="shared" si="23"/>
        <v>7.1153846153846151E-2</v>
      </c>
      <c r="K226">
        <v>335</v>
      </c>
      <c r="L226" s="4">
        <f t="shared" si="24"/>
        <v>0.10737179487179488</v>
      </c>
      <c r="M226">
        <v>508</v>
      </c>
      <c r="N226" s="4">
        <f t="shared" si="25"/>
        <v>0.16282051282051282</v>
      </c>
      <c r="O226">
        <v>1014</v>
      </c>
      <c r="P226" s="4">
        <f t="shared" si="26"/>
        <v>0.32500000000000001</v>
      </c>
      <c r="Q226" s="6">
        <f t="shared" si="21"/>
        <v>2030</v>
      </c>
      <c r="R226" s="6">
        <f t="shared" si="27"/>
        <v>3</v>
      </c>
      <c r="S226">
        <v>135</v>
      </c>
      <c r="T226">
        <v>32</v>
      </c>
      <c r="U226">
        <v>2</v>
      </c>
      <c r="V226">
        <v>12</v>
      </c>
      <c r="W226">
        <v>7</v>
      </c>
      <c r="X226">
        <v>60</v>
      </c>
      <c r="Y226" s="2" t="s">
        <v>280</v>
      </c>
      <c r="Z226">
        <v>45.726508951397797</v>
      </c>
      <c r="AA226">
        <v>9.06701614907705</v>
      </c>
      <c r="AB226" t="s">
        <v>78</v>
      </c>
      <c r="AC226" t="s">
        <v>81</v>
      </c>
      <c r="AD226" t="s">
        <v>82</v>
      </c>
      <c r="AE226">
        <v>46743</v>
      </c>
      <c r="AF226">
        <v>0</v>
      </c>
      <c r="AG226">
        <v>0</v>
      </c>
      <c r="AH226">
        <v>16238</v>
      </c>
      <c r="AI226">
        <v>18056</v>
      </c>
      <c r="AJ226">
        <v>8349</v>
      </c>
      <c r="AK226">
        <v>4100</v>
      </c>
      <c r="AL226">
        <v>4046</v>
      </c>
      <c r="AM226">
        <v>10944</v>
      </c>
      <c r="AN226">
        <v>87536</v>
      </c>
      <c r="AO226">
        <v>383559</v>
      </c>
      <c r="AP226">
        <v>0</v>
      </c>
      <c r="AQ226">
        <v>1</v>
      </c>
      <c r="AR226">
        <v>4</v>
      </c>
      <c r="AS226">
        <v>8</v>
      </c>
      <c r="AT226">
        <v>2</v>
      </c>
      <c r="AU226">
        <v>6</v>
      </c>
      <c r="AV226">
        <v>2</v>
      </c>
      <c r="AW226">
        <v>1</v>
      </c>
      <c r="AX226">
        <v>1</v>
      </c>
      <c r="AY226">
        <v>0</v>
      </c>
      <c r="AZ226">
        <v>0</v>
      </c>
      <c r="BA226">
        <v>9</v>
      </c>
      <c r="BB226">
        <v>9</v>
      </c>
      <c r="BC226">
        <v>7</v>
      </c>
      <c r="BD226">
        <v>0</v>
      </c>
      <c r="BE226">
        <v>0</v>
      </c>
      <c r="BF226">
        <v>2</v>
      </c>
      <c r="BG226">
        <v>0</v>
      </c>
      <c r="BH226">
        <v>2</v>
      </c>
      <c r="BI226">
        <v>0</v>
      </c>
      <c r="BJ226">
        <v>45.726507400000003</v>
      </c>
      <c r="BK226">
        <v>9.0669971</v>
      </c>
      <c r="BL226">
        <v>300</v>
      </c>
      <c r="BM226" t="s">
        <v>83</v>
      </c>
      <c r="BN226" t="s">
        <v>84</v>
      </c>
      <c r="BO226" t="s">
        <v>85</v>
      </c>
      <c r="BP226" t="s">
        <v>107</v>
      </c>
      <c r="BQ226" t="s">
        <v>108</v>
      </c>
      <c r="BR226" t="s">
        <v>281</v>
      </c>
      <c r="BS226">
        <v>934986</v>
      </c>
      <c r="BT226">
        <v>0</v>
      </c>
      <c r="BU226">
        <v>0</v>
      </c>
      <c r="BV226">
        <v>324781</v>
      </c>
      <c r="BW226">
        <v>361151</v>
      </c>
      <c r="BX226">
        <v>167013</v>
      </c>
      <c r="BY226">
        <v>82041</v>
      </c>
      <c r="BZ226">
        <v>1</v>
      </c>
      <c r="CA226" t="s">
        <v>282</v>
      </c>
      <c r="CB226" t="s">
        <v>283</v>
      </c>
      <c r="CC226" s="3">
        <v>46092.557106481479</v>
      </c>
      <c r="CD226" t="s">
        <v>91</v>
      </c>
    </row>
    <row r="227" spans="1:82" ht="16" x14ac:dyDescent="0.2">
      <c r="A227" t="s">
        <v>1040</v>
      </c>
      <c r="B227" t="s">
        <v>285</v>
      </c>
      <c r="C227" t="s">
        <v>286</v>
      </c>
      <c r="D227" t="s">
        <v>78</v>
      </c>
      <c r="E227" t="s">
        <v>287</v>
      </c>
      <c r="F227">
        <v>2</v>
      </c>
      <c r="G227">
        <v>150</v>
      </c>
      <c r="H227" t="str">
        <f t="shared" si="22"/>
        <v>2x150</v>
      </c>
      <c r="I227">
        <v>216</v>
      </c>
      <c r="J227" s="4">
        <f t="shared" si="23"/>
        <v>6.9230769230769235E-2</v>
      </c>
      <c r="K227">
        <v>327</v>
      </c>
      <c r="L227" s="4">
        <f t="shared" si="24"/>
        <v>0.10480769230769231</v>
      </c>
      <c r="M227">
        <v>495</v>
      </c>
      <c r="N227" s="4">
        <f t="shared" si="25"/>
        <v>0.15865384615384615</v>
      </c>
      <c r="O227">
        <v>989</v>
      </c>
      <c r="P227" s="4">
        <f t="shared" si="26"/>
        <v>0.31698717948717947</v>
      </c>
      <c r="Q227" s="6">
        <f t="shared" si="21"/>
        <v>2030</v>
      </c>
      <c r="R227" s="6">
        <f t="shared" si="27"/>
        <v>3</v>
      </c>
      <c r="S227">
        <v>135</v>
      </c>
      <c r="T227">
        <v>76</v>
      </c>
      <c r="U227">
        <v>-15</v>
      </c>
      <c r="V227">
        <v>-8</v>
      </c>
      <c r="W227">
        <v>-11</v>
      </c>
      <c r="X227">
        <v>68</v>
      </c>
      <c r="Y227" s="2" t="s">
        <v>288</v>
      </c>
      <c r="Z227">
        <v>45.166981</v>
      </c>
      <c r="AA227">
        <v>10.85084</v>
      </c>
      <c r="AB227" t="s">
        <v>78</v>
      </c>
      <c r="AC227" t="s">
        <v>81</v>
      </c>
      <c r="AD227" t="s">
        <v>82</v>
      </c>
      <c r="AE227">
        <v>121884</v>
      </c>
      <c r="AF227">
        <v>76247</v>
      </c>
      <c r="AG227">
        <v>16807</v>
      </c>
      <c r="AH227">
        <v>23765</v>
      </c>
      <c r="AI227">
        <v>0</v>
      </c>
      <c r="AJ227">
        <v>5065</v>
      </c>
      <c r="AK227">
        <v>0</v>
      </c>
      <c r="AL227">
        <v>3572</v>
      </c>
      <c r="AM227">
        <v>9539</v>
      </c>
      <c r="AN227">
        <v>39378</v>
      </c>
      <c r="AO227">
        <v>115707</v>
      </c>
      <c r="AP227">
        <v>1</v>
      </c>
      <c r="AQ227">
        <v>3</v>
      </c>
      <c r="AR227">
        <v>4</v>
      </c>
      <c r="AS227">
        <v>7</v>
      </c>
      <c r="AT227">
        <v>1</v>
      </c>
      <c r="AU227">
        <v>12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4</v>
      </c>
      <c r="BB227">
        <v>11</v>
      </c>
      <c r="BC227">
        <v>4</v>
      </c>
      <c r="BD227">
        <v>4</v>
      </c>
      <c r="BE227">
        <v>8</v>
      </c>
      <c r="BF227">
        <v>4</v>
      </c>
      <c r="BG227">
        <v>8</v>
      </c>
      <c r="BH227">
        <v>6</v>
      </c>
      <c r="BI227">
        <v>8</v>
      </c>
      <c r="BJ227">
        <v>45.166930000000001</v>
      </c>
      <c r="BK227">
        <v>10.850869899999999</v>
      </c>
      <c r="BL227">
        <v>300</v>
      </c>
      <c r="BM227" t="s">
        <v>83</v>
      </c>
      <c r="BN227" t="s">
        <v>84</v>
      </c>
      <c r="BO227" t="s">
        <v>85</v>
      </c>
      <c r="BP227" t="s">
        <v>107</v>
      </c>
      <c r="BQ227" t="s">
        <v>108</v>
      </c>
      <c r="BR227" t="s">
        <v>289</v>
      </c>
      <c r="BS227">
        <v>2895299</v>
      </c>
      <c r="BT227">
        <v>1982461</v>
      </c>
      <c r="BU227">
        <v>336162</v>
      </c>
      <c r="BV227">
        <v>475320</v>
      </c>
      <c r="BW227">
        <v>0</v>
      </c>
      <c r="BX227">
        <v>101356</v>
      </c>
      <c r="BY227">
        <v>0</v>
      </c>
      <c r="BZ227">
        <v>1</v>
      </c>
      <c r="CA227" t="s">
        <v>290</v>
      </c>
      <c r="CB227" t="s">
        <v>291</v>
      </c>
      <c r="CC227" s="3">
        <v>46092.557106481479</v>
      </c>
      <c r="CD227" t="s">
        <v>91</v>
      </c>
    </row>
    <row r="228" spans="1:82" ht="16" x14ac:dyDescent="0.2">
      <c r="A228" t="s">
        <v>1041</v>
      </c>
      <c r="B228" t="s">
        <v>293</v>
      </c>
      <c r="C228" t="s">
        <v>294</v>
      </c>
      <c r="D228" t="s">
        <v>78</v>
      </c>
      <c r="E228" t="s">
        <v>295</v>
      </c>
      <c r="F228">
        <v>2</v>
      </c>
      <c r="G228">
        <v>150</v>
      </c>
      <c r="H228" t="str">
        <f t="shared" si="22"/>
        <v>2x150</v>
      </c>
      <c r="I228">
        <v>216</v>
      </c>
      <c r="J228" s="4">
        <f t="shared" si="23"/>
        <v>6.9230769230769235E-2</v>
      </c>
      <c r="K228">
        <v>326</v>
      </c>
      <c r="L228" s="4">
        <f t="shared" si="24"/>
        <v>0.10448717948717949</v>
      </c>
      <c r="M228">
        <v>494</v>
      </c>
      <c r="N228" s="4">
        <f t="shared" si="25"/>
        <v>0.15833333333333333</v>
      </c>
      <c r="O228">
        <v>987</v>
      </c>
      <c r="P228" s="4">
        <f t="shared" si="26"/>
        <v>0.31634615384615383</v>
      </c>
      <c r="Q228" s="6">
        <f t="shared" si="21"/>
        <v>2030</v>
      </c>
      <c r="R228" s="6">
        <f t="shared" si="27"/>
        <v>3</v>
      </c>
      <c r="S228">
        <v>135</v>
      </c>
      <c r="T228">
        <v>52</v>
      </c>
      <c r="U228">
        <v>-1</v>
      </c>
      <c r="V228">
        <v>14</v>
      </c>
      <c r="W228">
        <v>-18</v>
      </c>
      <c r="X228">
        <v>58</v>
      </c>
      <c r="Y228" s="2" t="s">
        <v>296</v>
      </c>
      <c r="Z228">
        <v>45.640895228938</v>
      </c>
      <c r="AA228">
        <v>9.6128151914067903</v>
      </c>
      <c r="AB228" t="s">
        <v>78</v>
      </c>
      <c r="AC228" t="s">
        <v>81</v>
      </c>
      <c r="AD228" t="s">
        <v>82</v>
      </c>
      <c r="AE228">
        <v>88728</v>
      </c>
      <c r="AF228">
        <v>0</v>
      </c>
      <c r="AG228">
        <v>0</v>
      </c>
      <c r="AH228">
        <v>35237</v>
      </c>
      <c r="AI228">
        <v>41167</v>
      </c>
      <c r="AJ228">
        <v>9460</v>
      </c>
      <c r="AK228">
        <v>2864</v>
      </c>
      <c r="AL228">
        <v>3951</v>
      </c>
      <c r="AM228">
        <v>18639</v>
      </c>
      <c r="AN228">
        <v>110547</v>
      </c>
      <c r="AO228">
        <v>433309</v>
      </c>
      <c r="AP228">
        <v>0</v>
      </c>
      <c r="AQ228">
        <v>0</v>
      </c>
      <c r="AR228">
        <v>3</v>
      </c>
      <c r="AS228">
        <v>4</v>
      </c>
      <c r="AT228">
        <v>3</v>
      </c>
      <c r="AU228">
        <v>8</v>
      </c>
      <c r="AV228">
        <v>2</v>
      </c>
      <c r="AW228">
        <v>0</v>
      </c>
      <c r="AX228">
        <v>1</v>
      </c>
      <c r="AY228">
        <v>0</v>
      </c>
      <c r="AZ228">
        <v>0</v>
      </c>
      <c r="BA228">
        <v>5</v>
      </c>
      <c r="BB228">
        <v>29</v>
      </c>
      <c r="BC228">
        <v>1</v>
      </c>
      <c r="BD228">
        <v>2</v>
      </c>
      <c r="BE228">
        <v>0</v>
      </c>
      <c r="BF228">
        <v>2</v>
      </c>
      <c r="BG228">
        <v>0</v>
      </c>
      <c r="BH228">
        <v>11</v>
      </c>
      <c r="BI228">
        <v>33</v>
      </c>
      <c r="BJ228">
        <v>45.641003499999997</v>
      </c>
      <c r="BK228">
        <v>9.6129010000000008</v>
      </c>
      <c r="BL228">
        <v>300</v>
      </c>
      <c r="BM228" t="s">
        <v>83</v>
      </c>
      <c r="BN228" t="s">
        <v>84</v>
      </c>
      <c r="BO228" t="s">
        <v>85</v>
      </c>
      <c r="BP228" t="s">
        <v>107</v>
      </c>
      <c r="BQ228" t="s">
        <v>108</v>
      </c>
      <c r="BR228" t="s">
        <v>297</v>
      </c>
      <c r="BS228">
        <v>2035930</v>
      </c>
      <c r="BT228">
        <v>0</v>
      </c>
      <c r="BU228">
        <v>0</v>
      </c>
      <c r="BV228">
        <v>821166</v>
      </c>
      <c r="BW228">
        <v>968225</v>
      </c>
      <c r="BX228">
        <v>189235</v>
      </c>
      <c r="BY228">
        <v>57304</v>
      </c>
      <c r="BZ228">
        <v>1</v>
      </c>
      <c r="CA228" t="s">
        <v>298</v>
      </c>
      <c r="CB228" t="s">
        <v>299</v>
      </c>
      <c r="CC228" s="3">
        <v>46092.557106481479</v>
      </c>
      <c r="CD228" t="s">
        <v>91</v>
      </c>
    </row>
    <row r="229" spans="1:82" ht="16" x14ac:dyDescent="0.2">
      <c r="A229" t="s">
        <v>1042</v>
      </c>
      <c r="B229" t="s">
        <v>301</v>
      </c>
      <c r="C229" t="s">
        <v>302</v>
      </c>
      <c r="D229" t="s">
        <v>78</v>
      </c>
      <c r="E229" t="s">
        <v>303</v>
      </c>
      <c r="F229">
        <v>2</v>
      </c>
      <c r="G229">
        <v>150</v>
      </c>
      <c r="H229" t="str">
        <f t="shared" si="22"/>
        <v>2x150</v>
      </c>
      <c r="I229">
        <v>215</v>
      </c>
      <c r="J229" s="4">
        <f t="shared" si="23"/>
        <v>6.8910256410256401E-2</v>
      </c>
      <c r="K229">
        <v>325</v>
      </c>
      <c r="L229" s="4">
        <f t="shared" si="24"/>
        <v>0.10416666666666667</v>
      </c>
      <c r="M229">
        <v>492</v>
      </c>
      <c r="N229" s="4">
        <f t="shared" si="25"/>
        <v>0.15769230769230769</v>
      </c>
      <c r="O229">
        <v>983</v>
      </c>
      <c r="P229" s="4">
        <f t="shared" si="26"/>
        <v>0.31506410256410255</v>
      </c>
      <c r="Q229" s="6">
        <f t="shared" si="21"/>
        <v>2030</v>
      </c>
      <c r="R229" s="6">
        <f t="shared" si="27"/>
        <v>3</v>
      </c>
      <c r="S229">
        <v>135</v>
      </c>
      <c r="T229">
        <v>45</v>
      </c>
      <c r="U229">
        <v>-12</v>
      </c>
      <c r="V229">
        <v>-1</v>
      </c>
      <c r="W229">
        <v>5</v>
      </c>
      <c r="X229">
        <v>68</v>
      </c>
      <c r="Y229" s="2" t="s">
        <v>304</v>
      </c>
      <c r="Z229">
        <v>45.721255977942903</v>
      </c>
      <c r="AA229">
        <v>8.6899832509229409</v>
      </c>
      <c r="AB229" t="s">
        <v>78</v>
      </c>
      <c r="AC229" t="s">
        <v>81</v>
      </c>
      <c r="AD229" t="s">
        <v>82</v>
      </c>
      <c r="AE229">
        <v>49341</v>
      </c>
      <c r="AF229">
        <v>0</v>
      </c>
      <c r="AG229">
        <v>39961</v>
      </c>
      <c r="AH229">
        <v>0</v>
      </c>
      <c r="AI229">
        <v>4000</v>
      </c>
      <c r="AJ229">
        <v>5380</v>
      </c>
      <c r="AK229">
        <v>0</v>
      </c>
      <c r="AL229">
        <v>3571</v>
      </c>
      <c r="AM229">
        <v>6126</v>
      </c>
      <c r="AN229">
        <v>44773</v>
      </c>
      <c r="AO229">
        <v>177081</v>
      </c>
      <c r="AP229">
        <v>1</v>
      </c>
      <c r="AQ229">
        <v>1</v>
      </c>
      <c r="AR229">
        <v>2</v>
      </c>
      <c r="AS229">
        <v>7</v>
      </c>
      <c r="AT229">
        <v>0</v>
      </c>
      <c r="AU229">
        <v>13</v>
      </c>
      <c r="AV229">
        <v>6</v>
      </c>
      <c r="AW229">
        <v>4</v>
      </c>
      <c r="AX229">
        <v>0</v>
      </c>
      <c r="AY229">
        <v>0</v>
      </c>
      <c r="AZ229">
        <v>2</v>
      </c>
      <c r="BA229">
        <v>6</v>
      </c>
      <c r="BB229">
        <v>6</v>
      </c>
      <c r="BC229">
        <v>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45.721320800000001</v>
      </c>
      <c r="BK229">
        <v>8.6899504000000007</v>
      </c>
      <c r="BL229">
        <v>300</v>
      </c>
      <c r="BM229" t="s">
        <v>83</v>
      </c>
      <c r="BN229" t="s">
        <v>84</v>
      </c>
      <c r="BO229" t="s">
        <v>85</v>
      </c>
      <c r="BP229" t="s">
        <v>107</v>
      </c>
      <c r="BQ229" t="s">
        <v>108</v>
      </c>
      <c r="BR229" t="s">
        <v>305</v>
      </c>
      <c r="BS229">
        <v>986867</v>
      </c>
      <c r="BT229">
        <v>0</v>
      </c>
      <c r="BU229">
        <v>799228</v>
      </c>
      <c r="BV229">
        <v>0</v>
      </c>
      <c r="BW229">
        <v>80009</v>
      </c>
      <c r="BX229">
        <v>107630</v>
      </c>
      <c r="BY229">
        <v>0</v>
      </c>
      <c r="BZ229">
        <v>1</v>
      </c>
      <c r="CA229" t="s">
        <v>306</v>
      </c>
      <c r="CB229" t="s">
        <v>307</v>
      </c>
      <c r="CC229" s="3">
        <v>46092.557106481479</v>
      </c>
      <c r="CD229" t="s">
        <v>91</v>
      </c>
    </row>
    <row r="230" spans="1:82" ht="16" x14ac:dyDescent="0.2">
      <c r="A230" t="s">
        <v>1043</v>
      </c>
      <c r="B230" t="s">
        <v>309</v>
      </c>
      <c r="C230" t="s">
        <v>310</v>
      </c>
      <c r="D230" t="s">
        <v>78</v>
      </c>
      <c r="E230" t="s">
        <v>311</v>
      </c>
      <c r="F230">
        <v>2</v>
      </c>
      <c r="G230">
        <v>150</v>
      </c>
      <c r="H230" t="str">
        <f t="shared" si="22"/>
        <v>2x150</v>
      </c>
      <c r="I230">
        <v>215</v>
      </c>
      <c r="J230" s="4">
        <f t="shared" si="23"/>
        <v>6.8910256410256401E-2</v>
      </c>
      <c r="K230">
        <v>324</v>
      </c>
      <c r="L230" s="4">
        <f t="shared" si="24"/>
        <v>0.10384615384615385</v>
      </c>
      <c r="M230">
        <v>491</v>
      </c>
      <c r="N230" s="4">
        <f t="shared" si="25"/>
        <v>0.15737179487179487</v>
      </c>
      <c r="O230">
        <v>980</v>
      </c>
      <c r="P230" s="4">
        <f t="shared" si="26"/>
        <v>0.3141025641025641</v>
      </c>
      <c r="Q230" s="6">
        <f t="shared" si="21"/>
        <v>2030</v>
      </c>
      <c r="R230" s="6">
        <f t="shared" si="27"/>
        <v>3</v>
      </c>
      <c r="S230">
        <v>135</v>
      </c>
      <c r="T230">
        <v>55</v>
      </c>
      <c r="U230">
        <v>-17</v>
      </c>
      <c r="V230">
        <v>4</v>
      </c>
      <c r="W230">
        <v>-2</v>
      </c>
      <c r="X230">
        <v>66</v>
      </c>
      <c r="Y230" s="2" t="s">
        <v>312</v>
      </c>
      <c r="Z230">
        <v>45.426282578926099</v>
      </c>
      <c r="AA230">
        <v>8.6426109428872397</v>
      </c>
      <c r="AB230" t="s">
        <v>78</v>
      </c>
      <c r="AC230" t="s">
        <v>81</v>
      </c>
      <c r="AD230" t="s">
        <v>82</v>
      </c>
      <c r="AE230">
        <v>53017</v>
      </c>
      <c r="AF230">
        <v>0</v>
      </c>
      <c r="AG230">
        <v>28404</v>
      </c>
      <c r="AH230">
        <v>601</v>
      </c>
      <c r="AI230">
        <v>18814</v>
      </c>
      <c r="AJ230">
        <v>2916</v>
      </c>
      <c r="AK230">
        <v>2282</v>
      </c>
      <c r="AL230">
        <v>3890</v>
      </c>
      <c r="AM230">
        <v>18819</v>
      </c>
      <c r="AN230">
        <v>97732</v>
      </c>
      <c r="AO230">
        <v>167377</v>
      </c>
      <c r="AP230">
        <v>2</v>
      </c>
      <c r="AQ230">
        <v>0</v>
      </c>
      <c r="AR230">
        <v>4</v>
      </c>
      <c r="AS230">
        <v>10</v>
      </c>
      <c r="AT230">
        <v>2</v>
      </c>
      <c r="AU230">
        <v>15</v>
      </c>
      <c r="AV230">
        <v>0</v>
      </c>
      <c r="AW230">
        <v>1</v>
      </c>
      <c r="AX230">
        <v>1</v>
      </c>
      <c r="AY230">
        <v>0</v>
      </c>
      <c r="AZ230">
        <v>1</v>
      </c>
      <c r="BA230">
        <v>6</v>
      </c>
      <c r="BB230">
        <v>15</v>
      </c>
      <c r="BC230">
        <v>5</v>
      </c>
      <c r="BD230">
        <v>0</v>
      </c>
      <c r="BE230">
        <v>0</v>
      </c>
      <c r="BF230">
        <v>2</v>
      </c>
      <c r="BG230">
        <v>0</v>
      </c>
      <c r="BH230">
        <v>4</v>
      </c>
      <c r="BI230">
        <v>0</v>
      </c>
      <c r="BJ230">
        <v>45.426397199999997</v>
      </c>
      <c r="BK230">
        <v>8.6429290999999999</v>
      </c>
      <c r="BL230">
        <v>300</v>
      </c>
      <c r="BM230" t="s">
        <v>83</v>
      </c>
      <c r="BN230" t="s">
        <v>84</v>
      </c>
      <c r="BO230" t="s">
        <v>85</v>
      </c>
      <c r="BP230" t="s">
        <v>107</v>
      </c>
      <c r="BQ230" t="s">
        <v>203</v>
      </c>
      <c r="BR230" t="s">
        <v>310</v>
      </c>
      <c r="BS230">
        <v>1060490</v>
      </c>
      <c r="BT230">
        <v>0</v>
      </c>
      <c r="BU230">
        <v>568112</v>
      </c>
      <c r="BV230">
        <v>12037</v>
      </c>
      <c r="BW230">
        <v>376346</v>
      </c>
      <c r="BX230">
        <v>58345</v>
      </c>
      <c r="BY230">
        <v>45650</v>
      </c>
      <c r="BZ230">
        <v>1</v>
      </c>
      <c r="CA230" t="s">
        <v>313</v>
      </c>
      <c r="CB230" t="s">
        <v>314</v>
      </c>
      <c r="CC230" s="3">
        <v>46092.557106481479</v>
      </c>
      <c r="CD230" t="s">
        <v>91</v>
      </c>
    </row>
    <row r="231" spans="1:82" ht="16" x14ac:dyDescent="0.2">
      <c r="A231" t="s">
        <v>1044</v>
      </c>
      <c r="B231" t="s">
        <v>316</v>
      </c>
      <c r="C231" t="s">
        <v>317</v>
      </c>
      <c r="D231" t="s">
        <v>78</v>
      </c>
      <c r="E231" t="s">
        <v>318</v>
      </c>
      <c r="F231">
        <v>2</v>
      </c>
      <c r="G231">
        <v>150</v>
      </c>
      <c r="H231" t="str">
        <f t="shared" si="22"/>
        <v>2x150</v>
      </c>
      <c r="I231">
        <v>213</v>
      </c>
      <c r="J231" s="4">
        <f t="shared" si="23"/>
        <v>6.8269230769230763E-2</v>
      </c>
      <c r="K231">
        <v>321</v>
      </c>
      <c r="L231" s="4">
        <f t="shared" si="24"/>
        <v>0.10288461538461539</v>
      </c>
      <c r="M231">
        <v>487</v>
      </c>
      <c r="N231" s="4">
        <f t="shared" si="25"/>
        <v>0.15608974358974359</v>
      </c>
      <c r="O231">
        <v>971</v>
      </c>
      <c r="P231" s="4">
        <f t="shared" si="26"/>
        <v>0.31121794871794872</v>
      </c>
      <c r="Q231" s="6">
        <f t="shared" si="21"/>
        <v>2030</v>
      </c>
      <c r="R231" s="6">
        <f t="shared" si="27"/>
        <v>3</v>
      </c>
      <c r="S231">
        <v>135</v>
      </c>
      <c r="T231">
        <v>5</v>
      </c>
      <c r="U231">
        <v>3</v>
      </c>
      <c r="V231">
        <v>19</v>
      </c>
      <c r="W231">
        <v>22</v>
      </c>
      <c r="X231">
        <v>53</v>
      </c>
      <c r="Y231" s="2" t="s">
        <v>319</v>
      </c>
      <c r="Z231">
        <v>44.975902499999997</v>
      </c>
      <c r="AA231">
        <v>7.7123622000000003</v>
      </c>
      <c r="AB231" t="s">
        <v>78</v>
      </c>
      <c r="AC231" t="s">
        <v>81</v>
      </c>
      <c r="AD231" t="s">
        <v>82</v>
      </c>
      <c r="AE231">
        <v>40219</v>
      </c>
      <c r="AF231">
        <v>0</v>
      </c>
      <c r="AG231">
        <v>0</v>
      </c>
      <c r="AH231">
        <v>30060</v>
      </c>
      <c r="AI231">
        <v>7546</v>
      </c>
      <c r="AJ231">
        <v>2613</v>
      </c>
      <c r="AK231">
        <v>0</v>
      </c>
      <c r="AL231">
        <v>604</v>
      </c>
      <c r="AM231">
        <v>6239</v>
      </c>
      <c r="AN231">
        <v>69559</v>
      </c>
      <c r="AO231">
        <v>493323</v>
      </c>
      <c r="AP231">
        <v>0</v>
      </c>
      <c r="AQ231">
        <v>0</v>
      </c>
      <c r="AR231">
        <v>7</v>
      </c>
      <c r="AS231">
        <v>2</v>
      </c>
      <c r="AT231">
        <v>1</v>
      </c>
      <c r="AU231">
        <v>19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14</v>
      </c>
      <c r="BB231">
        <v>28</v>
      </c>
      <c r="BC231">
        <v>13</v>
      </c>
      <c r="BD231">
        <v>8</v>
      </c>
      <c r="BE231">
        <v>8</v>
      </c>
      <c r="BF231">
        <v>10</v>
      </c>
      <c r="BG231">
        <v>16</v>
      </c>
      <c r="BH231">
        <v>18</v>
      </c>
      <c r="BI231">
        <v>16</v>
      </c>
      <c r="BJ231">
        <v>44.97589</v>
      </c>
      <c r="BK231">
        <v>7.7122298999999996</v>
      </c>
      <c r="BL231">
        <v>300</v>
      </c>
      <c r="BM231" t="s">
        <v>83</v>
      </c>
      <c r="BN231" t="s">
        <v>84</v>
      </c>
      <c r="BO231" t="s">
        <v>85</v>
      </c>
      <c r="BP231" t="s">
        <v>107</v>
      </c>
      <c r="BQ231" t="s">
        <v>203</v>
      </c>
      <c r="BR231" t="s">
        <v>204</v>
      </c>
      <c r="BS231">
        <v>804447</v>
      </c>
      <c r="BT231">
        <v>0</v>
      </c>
      <c r="BU231">
        <v>0</v>
      </c>
      <c r="BV231">
        <v>601260</v>
      </c>
      <c r="BW231">
        <v>150926</v>
      </c>
      <c r="BX231">
        <v>52261</v>
      </c>
      <c r="BY231">
        <v>0</v>
      </c>
      <c r="BZ231">
        <v>1</v>
      </c>
      <c r="CA231" t="s">
        <v>320</v>
      </c>
      <c r="CB231" t="s">
        <v>321</v>
      </c>
      <c r="CC231" s="3">
        <v>46092.557106481479</v>
      </c>
      <c r="CD231" t="s">
        <v>91</v>
      </c>
    </row>
    <row r="232" spans="1:82" ht="16" x14ac:dyDescent="0.2">
      <c r="A232" t="s">
        <v>1045</v>
      </c>
      <c r="B232" t="s">
        <v>323</v>
      </c>
      <c r="C232" t="s">
        <v>324</v>
      </c>
      <c r="D232" t="s">
        <v>78</v>
      </c>
      <c r="E232" t="s">
        <v>325</v>
      </c>
      <c r="F232">
        <v>2</v>
      </c>
      <c r="G232">
        <v>150</v>
      </c>
      <c r="H232" t="str">
        <f t="shared" si="22"/>
        <v>2x150</v>
      </c>
      <c r="I232">
        <v>207</v>
      </c>
      <c r="J232" s="4">
        <f t="shared" si="23"/>
        <v>6.6346153846153846E-2</v>
      </c>
      <c r="K232">
        <v>313</v>
      </c>
      <c r="L232" s="4">
        <f t="shared" si="24"/>
        <v>0.10032051282051281</v>
      </c>
      <c r="M232">
        <v>474</v>
      </c>
      <c r="N232" s="4">
        <f t="shared" si="25"/>
        <v>0.15192307692307691</v>
      </c>
      <c r="O232">
        <v>947</v>
      </c>
      <c r="P232" s="4">
        <f t="shared" si="26"/>
        <v>0.303525641025641</v>
      </c>
      <c r="Q232" s="6">
        <f t="shared" si="21"/>
        <v>2030</v>
      </c>
      <c r="R232" s="6">
        <f t="shared" si="27"/>
        <v>3</v>
      </c>
      <c r="S232">
        <v>135</v>
      </c>
      <c r="T232">
        <v>67</v>
      </c>
      <c r="U232">
        <v>-20</v>
      </c>
      <c r="V232">
        <v>-4</v>
      </c>
      <c r="W232">
        <v>-14</v>
      </c>
      <c r="X232">
        <v>70</v>
      </c>
      <c r="Y232" s="2" t="s">
        <v>326</v>
      </c>
      <c r="Z232">
        <v>44.423740000000002</v>
      </c>
      <c r="AA232">
        <v>12.167870000000001</v>
      </c>
      <c r="AB232" t="s">
        <v>78</v>
      </c>
      <c r="AC232" t="s">
        <v>81</v>
      </c>
      <c r="AD232" t="s">
        <v>82</v>
      </c>
      <c r="AE232">
        <v>94705</v>
      </c>
      <c r="AF232">
        <v>21725</v>
      </c>
      <c r="AG232">
        <v>47117</v>
      </c>
      <c r="AH232">
        <v>7441</v>
      </c>
      <c r="AI232">
        <v>16873</v>
      </c>
      <c r="AJ232">
        <v>1549</v>
      </c>
      <c r="AK232">
        <v>0</v>
      </c>
      <c r="AL232">
        <v>3819</v>
      </c>
      <c r="AM232">
        <v>19880</v>
      </c>
      <c r="AN232">
        <v>84496</v>
      </c>
      <c r="AO232">
        <v>121551</v>
      </c>
      <c r="AP232">
        <v>0</v>
      </c>
      <c r="AQ232">
        <v>1</v>
      </c>
      <c r="AR232">
        <v>4</v>
      </c>
      <c r="AS232">
        <v>6</v>
      </c>
      <c r="AT232">
        <v>0</v>
      </c>
      <c r="AU232">
        <v>10</v>
      </c>
      <c r="AV232">
        <v>2</v>
      </c>
      <c r="AW232">
        <v>3</v>
      </c>
      <c r="AX232">
        <v>0</v>
      </c>
      <c r="AY232">
        <v>0</v>
      </c>
      <c r="AZ232">
        <v>0</v>
      </c>
      <c r="BA232">
        <v>5</v>
      </c>
      <c r="BB232">
        <v>22</v>
      </c>
      <c r="BC232">
        <v>3</v>
      </c>
      <c r="BD232">
        <v>2</v>
      </c>
      <c r="BE232">
        <v>4</v>
      </c>
      <c r="BF232">
        <v>2</v>
      </c>
      <c r="BG232">
        <v>4</v>
      </c>
      <c r="BH232">
        <v>10</v>
      </c>
      <c r="BI232">
        <v>4</v>
      </c>
      <c r="BJ232">
        <v>44.423812900000001</v>
      </c>
      <c r="BK232">
        <v>12.167848299999999</v>
      </c>
      <c r="BL232">
        <v>300</v>
      </c>
      <c r="BM232" t="s">
        <v>83</v>
      </c>
      <c r="BN232" t="s">
        <v>84</v>
      </c>
      <c r="BO232" t="s">
        <v>85</v>
      </c>
      <c r="BP232" t="s">
        <v>160</v>
      </c>
      <c r="BQ232" t="s">
        <v>170</v>
      </c>
      <c r="BR232" t="s">
        <v>327</v>
      </c>
      <c r="BS232">
        <v>1894209</v>
      </c>
      <c r="BT232">
        <v>434511</v>
      </c>
      <c r="BU232">
        <v>942374</v>
      </c>
      <c r="BV232">
        <v>148829</v>
      </c>
      <c r="BW232">
        <v>337513</v>
      </c>
      <c r="BX232">
        <v>30982</v>
      </c>
      <c r="BY232">
        <v>0</v>
      </c>
      <c r="BZ232">
        <v>1</v>
      </c>
      <c r="CA232" t="s">
        <v>328</v>
      </c>
      <c r="CB232" t="s">
        <v>329</v>
      </c>
      <c r="CC232" s="3">
        <v>46092.557106481479</v>
      </c>
      <c r="CD232" t="s">
        <v>91</v>
      </c>
    </row>
    <row r="233" spans="1:82" ht="16" x14ac:dyDescent="0.2">
      <c r="A233" t="s">
        <v>1046</v>
      </c>
      <c r="B233" t="s">
        <v>331</v>
      </c>
      <c r="C233" t="s">
        <v>332</v>
      </c>
      <c r="D233" t="s">
        <v>78</v>
      </c>
      <c r="E233" t="s">
        <v>333</v>
      </c>
      <c r="F233">
        <v>2</v>
      </c>
      <c r="G233">
        <v>150</v>
      </c>
      <c r="H233" t="str">
        <f t="shared" si="22"/>
        <v>2x150</v>
      </c>
      <c r="I233">
        <v>206</v>
      </c>
      <c r="J233" s="4">
        <f t="shared" si="23"/>
        <v>6.6025641025641027E-2</v>
      </c>
      <c r="K233">
        <v>311</v>
      </c>
      <c r="L233" s="4">
        <f t="shared" si="24"/>
        <v>9.9679487179487172E-2</v>
      </c>
      <c r="M233">
        <v>472</v>
      </c>
      <c r="N233" s="4">
        <f t="shared" si="25"/>
        <v>0.15128205128205127</v>
      </c>
      <c r="O233">
        <v>942</v>
      </c>
      <c r="P233" s="4">
        <f t="shared" si="26"/>
        <v>0.30192307692307691</v>
      </c>
      <c r="Q233" s="6">
        <f t="shared" si="21"/>
        <v>2030</v>
      </c>
      <c r="R233" s="6">
        <f t="shared" si="27"/>
        <v>3</v>
      </c>
      <c r="S233">
        <v>135</v>
      </c>
      <c r="T233">
        <v>40</v>
      </c>
      <c r="U233">
        <v>4</v>
      </c>
      <c r="V233">
        <v>-3</v>
      </c>
      <c r="W233">
        <v>-3</v>
      </c>
      <c r="X233">
        <v>57</v>
      </c>
      <c r="Y233" s="2" t="s">
        <v>334</v>
      </c>
      <c r="Z233">
        <v>39.238190000000003</v>
      </c>
      <c r="AA233">
        <v>9.1237300000000001</v>
      </c>
      <c r="AB233" t="s">
        <v>78</v>
      </c>
      <c r="AC233" t="s">
        <v>81</v>
      </c>
      <c r="AD233" t="s">
        <v>82</v>
      </c>
      <c r="AE233">
        <v>69309</v>
      </c>
      <c r="AF233">
        <v>0</v>
      </c>
      <c r="AG233">
        <v>0</v>
      </c>
      <c r="AH233">
        <v>0</v>
      </c>
      <c r="AI233">
        <v>42701</v>
      </c>
      <c r="AJ233">
        <v>16678</v>
      </c>
      <c r="AK233">
        <v>9930</v>
      </c>
      <c r="AL233">
        <v>19024</v>
      </c>
      <c r="AM233">
        <v>79447</v>
      </c>
      <c r="AN233">
        <v>213403</v>
      </c>
      <c r="AO233">
        <v>318435</v>
      </c>
      <c r="AP233">
        <v>4</v>
      </c>
      <c r="AQ233">
        <v>0</v>
      </c>
      <c r="AR233">
        <v>6</v>
      </c>
      <c r="AS233">
        <v>11</v>
      </c>
      <c r="AT233">
        <v>2</v>
      </c>
      <c r="AU233">
        <v>30</v>
      </c>
      <c r="AV233">
        <v>4</v>
      </c>
      <c r="AW233">
        <v>1</v>
      </c>
      <c r="AX233">
        <v>1</v>
      </c>
      <c r="AY233">
        <v>0</v>
      </c>
      <c r="AZ233">
        <v>1</v>
      </c>
      <c r="BA233">
        <v>6</v>
      </c>
      <c r="BB233">
        <v>22</v>
      </c>
      <c r="BC233">
        <v>3</v>
      </c>
      <c r="BD233">
        <v>3</v>
      </c>
      <c r="BE233">
        <v>0</v>
      </c>
      <c r="BF233">
        <v>3</v>
      </c>
      <c r="BG233">
        <v>0</v>
      </c>
      <c r="BH233">
        <v>9</v>
      </c>
      <c r="BI233">
        <v>0</v>
      </c>
      <c r="BJ233">
        <v>39.238198699999998</v>
      </c>
      <c r="BK233">
        <v>9.1237288999999997</v>
      </c>
      <c r="BL233">
        <v>300</v>
      </c>
      <c r="BM233" t="s">
        <v>83</v>
      </c>
      <c r="BN233" t="s">
        <v>84</v>
      </c>
      <c r="BO233" t="s">
        <v>85</v>
      </c>
      <c r="BP233" t="s">
        <v>242</v>
      </c>
      <c r="BQ233" t="s">
        <v>335</v>
      </c>
      <c r="BR233" t="s">
        <v>332</v>
      </c>
      <c r="BS233">
        <v>1386340</v>
      </c>
      <c r="BT233">
        <v>0</v>
      </c>
      <c r="BU233">
        <v>0</v>
      </c>
      <c r="BV233">
        <v>0</v>
      </c>
      <c r="BW233">
        <v>854069</v>
      </c>
      <c r="BX233">
        <v>333617</v>
      </c>
      <c r="BY233">
        <v>198654</v>
      </c>
      <c r="BZ233">
        <v>1</v>
      </c>
      <c r="CA233" t="s">
        <v>336</v>
      </c>
      <c r="CB233" t="s">
        <v>337</v>
      </c>
      <c r="CC233" s="3">
        <v>46092.557106481479</v>
      </c>
      <c r="CD233" t="s">
        <v>91</v>
      </c>
    </row>
    <row r="234" spans="1:82" ht="16" x14ac:dyDescent="0.2">
      <c r="A234" t="s">
        <v>1047</v>
      </c>
      <c r="B234" t="s">
        <v>339</v>
      </c>
      <c r="C234" t="s">
        <v>340</v>
      </c>
      <c r="D234" t="s">
        <v>78</v>
      </c>
      <c r="E234" t="s">
        <v>341</v>
      </c>
      <c r="F234">
        <v>2</v>
      </c>
      <c r="G234">
        <v>150</v>
      </c>
      <c r="H234" t="str">
        <f t="shared" si="22"/>
        <v>2x150</v>
      </c>
      <c r="I234">
        <v>206</v>
      </c>
      <c r="J234" s="4">
        <f t="shared" si="23"/>
        <v>6.6025641025641027E-2</v>
      </c>
      <c r="K234">
        <v>311</v>
      </c>
      <c r="L234" s="4">
        <f t="shared" si="24"/>
        <v>9.9679487179487172E-2</v>
      </c>
      <c r="M234">
        <v>471</v>
      </c>
      <c r="N234" s="4">
        <f t="shared" si="25"/>
        <v>0.15096153846153845</v>
      </c>
      <c r="O234">
        <v>940</v>
      </c>
      <c r="P234" s="4">
        <f t="shared" si="26"/>
        <v>0.30128205128205127</v>
      </c>
      <c r="Q234" s="6">
        <f t="shared" si="21"/>
        <v>2030</v>
      </c>
      <c r="R234" s="6">
        <f t="shared" si="27"/>
        <v>3</v>
      </c>
      <c r="S234">
        <v>135</v>
      </c>
      <c r="T234">
        <v>71</v>
      </c>
      <c r="U234">
        <v>-28</v>
      </c>
      <c r="V234">
        <v>-2</v>
      </c>
      <c r="W234">
        <v>-8</v>
      </c>
      <c r="X234">
        <v>64</v>
      </c>
      <c r="Y234" s="2" t="s">
        <v>342</v>
      </c>
      <c r="Z234">
        <v>45.517616099999998</v>
      </c>
      <c r="AA234">
        <v>12.237434800000001</v>
      </c>
      <c r="AB234" t="s">
        <v>78</v>
      </c>
      <c r="AC234" t="s">
        <v>81</v>
      </c>
      <c r="AD234" t="s">
        <v>82</v>
      </c>
      <c r="AE234">
        <v>133452</v>
      </c>
      <c r="AF234">
        <v>95408</v>
      </c>
      <c r="AG234">
        <v>0</v>
      </c>
      <c r="AH234">
        <v>18512</v>
      </c>
      <c r="AI234">
        <v>1403</v>
      </c>
      <c r="AJ234">
        <v>15919</v>
      </c>
      <c r="AK234">
        <v>2210</v>
      </c>
      <c r="AL234">
        <v>2043</v>
      </c>
      <c r="AM234">
        <v>18156</v>
      </c>
      <c r="AN234">
        <v>161291</v>
      </c>
      <c r="AO234">
        <v>312009</v>
      </c>
      <c r="AP234">
        <v>0</v>
      </c>
      <c r="AQ234">
        <v>0</v>
      </c>
      <c r="AR234">
        <v>1</v>
      </c>
      <c r="AS234">
        <v>2</v>
      </c>
      <c r="AT234">
        <v>4</v>
      </c>
      <c r="AU234">
        <v>11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14</v>
      </c>
      <c r="BB234">
        <v>39</v>
      </c>
      <c r="BC234">
        <v>11</v>
      </c>
      <c r="BD234">
        <v>0</v>
      </c>
      <c r="BE234">
        <v>0</v>
      </c>
      <c r="BF234">
        <v>2</v>
      </c>
      <c r="BG234">
        <v>0</v>
      </c>
      <c r="BH234">
        <v>8</v>
      </c>
      <c r="BI234">
        <v>0</v>
      </c>
      <c r="BJ234">
        <v>45.517622799999998</v>
      </c>
      <c r="BK234">
        <v>12.237425699999999</v>
      </c>
      <c r="BL234">
        <v>300</v>
      </c>
      <c r="BM234" t="s">
        <v>83</v>
      </c>
      <c r="BN234" t="s">
        <v>84</v>
      </c>
      <c r="BO234" t="s">
        <v>85</v>
      </c>
      <c r="BP234" t="s">
        <v>160</v>
      </c>
      <c r="BQ234" t="s">
        <v>161</v>
      </c>
      <c r="BR234" t="s">
        <v>343</v>
      </c>
      <c r="BS234">
        <v>3146222</v>
      </c>
      <c r="BT234">
        <v>2385226</v>
      </c>
      <c r="BU234">
        <v>0</v>
      </c>
      <c r="BV234">
        <v>370254</v>
      </c>
      <c r="BW234">
        <v>28076</v>
      </c>
      <c r="BX234">
        <v>318425</v>
      </c>
      <c r="BY234">
        <v>44241</v>
      </c>
      <c r="BZ234">
        <v>1</v>
      </c>
      <c r="CA234" t="s">
        <v>344</v>
      </c>
      <c r="CB234" t="s">
        <v>345</v>
      </c>
      <c r="CC234" s="3">
        <v>46092.557106481479</v>
      </c>
      <c r="CD234" t="s">
        <v>91</v>
      </c>
    </row>
    <row r="235" spans="1:82" ht="16" x14ac:dyDescent="0.2">
      <c r="A235" t="s">
        <v>1048</v>
      </c>
      <c r="B235" t="s">
        <v>347</v>
      </c>
      <c r="C235" t="s">
        <v>348</v>
      </c>
      <c r="D235" t="s">
        <v>78</v>
      </c>
      <c r="E235" t="s">
        <v>349</v>
      </c>
      <c r="F235">
        <v>2</v>
      </c>
      <c r="G235">
        <v>150</v>
      </c>
      <c r="H235" t="str">
        <f t="shared" si="22"/>
        <v>2x150</v>
      </c>
      <c r="I235">
        <v>206</v>
      </c>
      <c r="J235" s="4">
        <f t="shared" si="23"/>
        <v>6.6025641025641027E-2</v>
      </c>
      <c r="K235">
        <v>311</v>
      </c>
      <c r="L235" s="4">
        <f t="shared" si="24"/>
        <v>9.9679487179487172E-2</v>
      </c>
      <c r="M235">
        <v>471</v>
      </c>
      <c r="N235" s="4">
        <f t="shared" si="25"/>
        <v>0.15096153846153845</v>
      </c>
      <c r="O235">
        <v>940</v>
      </c>
      <c r="P235" s="4">
        <f t="shared" si="26"/>
        <v>0.30128205128205127</v>
      </c>
      <c r="Q235" s="6">
        <f t="shared" si="21"/>
        <v>2030</v>
      </c>
      <c r="R235" s="6">
        <f t="shared" si="27"/>
        <v>3</v>
      </c>
      <c r="S235">
        <v>135</v>
      </c>
      <c r="T235">
        <v>34</v>
      </c>
      <c r="U235">
        <v>1</v>
      </c>
      <c r="V235">
        <v>1</v>
      </c>
      <c r="W235">
        <v>2</v>
      </c>
      <c r="X235">
        <v>56</v>
      </c>
      <c r="Y235" s="2" t="s">
        <v>350</v>
      </c>
      <c r="Z235">
        <v>45.518430665843702</v>
      </c>
      <c r="AA235">
        <v>9.3526549641985497</v>
      </c>
      <c r="AB235" t="s">
        <v>78</v>
      </c>
      <c r="AC235" t="s">
        <v>81</v>
      </c>
      <c r="AD235" t="s">
        <v>82</v>
      </c>
      <c r="AE235">
        <v>66059</v>
      </c>
      <c r="AF235">
        <v>0</v>
      </c>
      <c r="AG235">
        <v>0</v>
      </c>
      <c r="AH235">
        <v>15443</v>
      </c>
      <c r="AI235">
        <v>20420</v>
      </c>
      <c r="AJ235">
        <v>25439</v>
      </c>
      <c r="AK235">
        <v>4757</v>
      </c>
      <c r="AL235">
        <v>6771</v>
      </c>
      <c r="AM235">
        <v>36038</v>
      </c>
      <c r="AN235">
        <v>163620</v>
      </c>
      <c r="AO235">
        <v>673893</v>
      </c>
      <c r="AP235">
        <v>0</v>
      </c>
      <c r="AQ235">
        <v>0</v>
      </c>
      <c r="AR235">
        <v>3</v>
      </c>
      <c r="AS235">
        <v>5</v>
      </c>
      <c r="AT235">
        <v>2</v>
      </c>
      <c r="AU235">
        <v>20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3</v>
      </c>
      <c r="BB235">
        <v>7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45.518380000000001</v>
      </c>
      <c r="BK235">
        <v>9.3526100000000003</v>
      </c>
      <c r="BL235">
        <v>300</v>
      </c>
      <c r="BM235" t="s">
        <v>83</v>
      </c>
      <c r="BN235" t="s">
        <v>84</v>
      </c>
      <c r="BO235" t="s">
        <v>85</v>
      </c>
      <c r="BP235" t="s">
        <v>107</v>
      </c>
      <c r="BQ235" t="s">
        <v>108</v>
      </c>
      <c r="BR235" t="s">
        <v>109</v>
      </c>
      <c r="BS235">
        <v>1321307</v>
      </c>
      <c r="BT235">
        <v>0</v>
      </c>
      <c r="BU235">
        <v>0</v>
      </c>
      <c r="BV235">
        <v>308890</v>
      </c>
      <c r="BW235">
        <v>408405</v>
      </c>
      <c r="BX235">
        <v>508840</v>
      </c>
      <c r="BY235">
        <v>95172</v>
      </c>
      <c r="BZ235">
        <v>1</v>
      </c>
      <c r="CA235" t="s">
        <v>351</v>
      </c>
      <c r="CB235" t="s">
        <v>352</v>
      </c>
      <c r="CC235" s="3">
        <v>46092.557106481479</v>
      </c>
      <c r="CD235" t="s">
        <v>91</v>
      </c>
    </row>
    <row r="236" spans="1:82" ht="16" x14ac:dyDescent="0.2">
      <c r="A236" t="s">
        <v>1056</v>
      </c>
      <c r="B236" t="s">
        <v>354</v>
      </c>
      <c r="C236" t="s">
        <v>355</v>
      </c>
      <c r="D236" t="s">
        <v>78</v>
      </c>
      <c r="E236" t="s">
        <v>356</v>
      </c>
      <c r="F236">
        <v>2</v>
      </c>
      <c r="G236">
        <v>150</v>
      </c>
      <c r="H236" t="str">
        <f t="shared" si="22"/>
        <v>2x150</v>
      </c>
      <c r="I236">
        <v>203</v>
      </c>
      <c r="J236" s="4">
        <f t="shared" si="23"/>
        <v>6.5064102564102569E-2</v>
      </c>
      <c r="K236">
        <v>306</v>
      </c>
      <c r="L236" s="4">
        <f t="shared" si="24"/>
        <v>9.8076923076923075E-2</v>
      </c>
      <c r="M236">
        <v>464</v>
      </c>
      <c r="N236" s="4">
        <f t="shared" si="25"/>
        <v>0.14871794871794872</v>
      </c>
      <c r="O236">
        <v>926</v>
      </c>
      <c r="P236" s="4">
        <f t="shared" si="26"/>
        <v>0.2967948717948718</v>
      </c>
      <c r="Q236" s="6">
        <f t="shared" si="21"/>
        <v>2030</v>
      </c>
      <c r="R236" s="6">
        <f t="shared" si="27"/>
        <v>3</v>
      </c>
      <c r="S236">
        <v>135</v>
      </c>
      <c r="T236">
        <v>36</v>
      </c>
      <c r="U236">
        <v>-15</v>
      </c>
      <c r="V236">
        <v>24</v>
      </c>
      <c r="W236">
        <v>-11</v>
      </c>
      <c r="X236">
        <v>55</v>
      </c>
      <c r="Y236" s="2" t="s">
        <v>357</v>
      </c>
      <c r="Z236">
        <v>45.508908091499897</v>
      </c>
      <c r="AA236">
        <v>10.3238094594935</v>
      </c>
      <c r="AB236" t="s">
        <v>78</v>
      </c>
      <c r="AC236" t="s">
        <v>81</v>
      </c>
      <c r="AD236" t="s">
        <v>82</v>
      </c>
      <c r="AE236">
        <v>63041</v>
      </c>
      <c r="AF236">
        <v>0</v>
      </c>
      <c r="AG236">
        <v>39287</v>
      </c>
      <c r="AH236">
        <v>7496</v>
      </c>
      <c r="AI236">
        <v>0</v>
      </c>
      <c r="AJ236">
        <v>15229</v>
      </c>
      <c r="AK236">
        <v>1029</v>
      </c>
      <c r="AL236">
        <v>6403</v>
      </c>
      <c r="AM236">
        <v>14060</v>
      </c>
      <c r="AN236">
        <v>59617</v>
      </c>
      <c r="AO236">
        <v>247710</v>
      </c>
      <c r="AP236">
        <v>6</v>
      </c>
      <c r="AQ236">
        <v>0</v>
      </c>
      <c r="AR236">
        <v>7</v>
      </c>
      <c r="AS236">
        <v>16</v>
      </c>
      <c r="AT236">
        <v>0</v>
      </c>
      <c r="AU236">
        <v>19</v>
      </c>
      <c r="AV236">
        <v>9</v>
      </c>
      <c r="AW236">
        <v>1</v>
      </c>
      <c r="AX236">
        <v>0</v>
      </c>
      <c r="AY236">
        <v>0</v>
      </c>
      <c r="AZ236">
        <v>2</v>
      </c>
      <c r="BA236">
        <v>11</v>
      </c>
      <c r="BB236">
        <v>23</v>
      </c>
      <c r="BC236">
        <v>7</v>
      </c>
      <c r="BD236">
        <v>6</v>
      </c>
      <c r="BE236">
        <v>0</v>
      </c>
      <c r="BF236">
        <v>6</v>
      </c>
      <c r="BG236">
        <v>0</v>
      </c>
      <c r="BH236">
        <v>6</v>
      </c>
      <c r="BI236">
        <v>0</v>
      </c>
      <c r="BJ236">
        <v>45.508969899999997</v>
      </c>
      <c r="BK236">
        <v>10.32385</v>
      </c>
      <c r="BL236">
        <v>300</v>
      </c>
      <c r="BM236" t="s">
        <v>83</v>
      </c>
      <c r="BN236" t="s">
        <v>84</v>
      </c>
      <c r="BO236" t="s">
        <v>85</v>
      </c>
      <c r="BP236" t="s">
        <v>107</v>
      </c>
      <c r="BQ236" t="s">
        <v>108</v>
      </c>
      <c r="BR236" t="s">
        <v>179</v>
      </c>
      <c r="BS236">
        <v>1342650</v>
      </c>
      <c r="BT236">
        <v>0</v>
      </c>
      <c r="BU236">
        <v>902853</v>
      </c>
      <c r="BV236">
        <v>149938</v>
      </c>
      <c r="BW236">
        <v>0</v>
      </c>
      <c r="BX236">
        <v>269263</v>
      </c>
      <c r="BY236">
        <v>20596</v>
      </c>
      <c r="BZ236">
        <v>1</v>
      </c>
      <c r="CA236" t="s">
        <v>358</v>
      </c>
      <c r="CB236" t="s">
        <v>359</v>
      </c>
      <c r="CC236" s="3">
        <v>46092.557106481479</v>
      </c>
      <c r="CD236" t="s">
        <v>91</v>
      </c>
    </row>
    <row r="237" spans="1:82" ht="16" x14ac:dyDescent="0.2">
      <c r="A237" t="s">
        <v>1057</v>
      </c>
      <c r="B237" t="s">
        <v>361</v>
      </c>
      <c r="C237" t="s">
        <v>362</v>
      </c>
      <c r="D237" t="s">
        <v>78</v>
      </c>
      <c r="E237" t="s">
        <v>363</v>
      </c>
      <c r="F237">
        <v>2</v>
      </c>
      <c r="G237">
        <v>150</v>
      </c>
      <c r="H237" t="str">
        <f t="shared" si="22"/>
        <v>2x150</v>
      </c>
      <c r="I237">
        <v>202</v>
      </c>
      <c r="J237" s="4">
        <f t="shared" si="23"/>
        <v>6.4743589743589749E-2</v>
      </c>
      <c r="K237">
        <v>305</v>
      </c>
      <c r="L237" s="4">
        <f t="shared" si="24"/>
        <v>9.7756410256410256E-2</v>
      </c>
      <c r="M237">
        <v>462</v>
      </c>
      <c r="N237" s="4">
        <f t="shared" si="25"/>
        <v>0.14807692307692308</v>
      </c>
      <c r="O237">
        <v>922</v>
      </c>
      <c r="P237" s="4">
        <f t="shared" si="26"/>
        <v>0.29551282051282052</v>
      </c>
      <c r="Q237" s="6">
        <f t="shared" si="21"/>
        <v>2030</v>
      </c>
      <c r="R237" s="6">
        <f t="shared" si="27"/>
        <v>3</v>
      </c>
      <c r="S237">
        <v>135</v>
      </c>
      <c r="T237">
        <v>48</v>
      </c>
      <c r="U237">
        <v>1</v>
      </c>
      <c r="V237">
        <v>-11</v>
      </c>
      <c r="W237">
        <v>-1</v>
      </c>
      <c r="X237">
        <v>52</v>
      </c>
      <c r="Y237" s="2" t="s">
        <v>364</v>
      </c>
      <c r="Z237">
        <v>45.692639999999997</v>
      </c>
      <c r="AA237">
        <v>9.1022800000000004</v>
      </c>
      <c r="AB237" t="s">
        <v>78</v>
      </c>
      <c r="AC237" t="s">
        <v>81</v>
      </c>
      <c r="AD237" t="s">
        <v>82</v>
      </c>
      <c r="AE237">
        <v>114840</v>
      </c>
      <c r="AF237">
        <v>21704</v>
      </c>
      <c r="AG237">
        <v>0</v>
      </c>
      <c r="AH237">
        <v>37140</v>
      </c>
      <c r="AI237">
        <v>23760</v>
      </c>
      <c r="AJ237">
        <v>32236</v>
      </c>
      <c r="AK237">
        <v>0</v>
      </c>
      <c r="AL237">
        <v>4237</v>
      </c>
      <c r="AM237">
        <v>18208</v>
      </c>
      <c r="AN237">
        <v>93407</v>
      </c>
      <c r="AO237">
        <v>516459</v>
      </c>
      <c r="AP237">
        <v>1</v>
      </c>
      <c r="AQ237">
        <v>0</v>
      </c>
      <c r="AR237">
        <v>2</v>
      </c>
      <c r="AS237">
        <v>16</v>
      </c>
      <c r="AT237">
        <v>1</v>
      </c>
      <c r="AU237">
        <v>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26</v>
      </c>
      <c r="BB237">
        <v>37</v>
      </c>
      <c r="BC237">
        <v>24</v>
      </c>
      <c r="BD237">
        <v>0</v>
      </c>
      <c r="BE237">
        <v>0</v>
      </c>
      <c r="BF237">
        <v>0</v>
      </c>
      <c r="BG237">
        <v>0</v>
      </c>
      <c r="BH237">
        <v>4</v>
      </c>
      <c r="BI237">
        <v>0</v>
      </c>
      <c r="BJ237">
        <v>45.692601500000002</v>
      </c>
      <c r="BK237">
        <v>9.1022406999999994</v>
      </c>
      <c r="BL237">
        <v>300</v>
      </c>
      <c r="BM237" t="s">
        <v>83</v>
      </c>
      <c r="BN237" t="s">
        <v>84</v>
      </c>
      <c r="BO237" t="s">
        <v>85</v>
      </c>
      <c r="BP237" t="s">
        <v>107</v>
      </c>
      <c r="BQ237" t="s">
        <v>108</v>
      </c>
      <c r="BR237" t="s">
        <v>145</v>
      </c>
      <c r="BS237">
        <v>2595079</v>
      </c>
      <c r="BT237">
        <v>564329</v>
      </c>
      <c r="BU237">
        <v>0</v>
      </c>
      <c r="BV237">
        <v>910723</v>
      </c>
      <c r="BW237">
        <v>475217</v>
      </c>
      <c r="BX237">
        <v>644810</v>
      </c>
      <c r="BY237">
        <v>0</v>
      </c>
      <c r="BZ237">
        <v>1</v>
      </c>
      <c r="CA237" t="s">
        <v>365</v>
      </c>
      <c r="CB237" t="s">
        <v>366</v>
      </c>
      <c r="CC237" s="3">
        <v>46092.557106481479</v>
      </c>
      <c r="CD237" t="s">
        <v>91</v>
      </c>
    </row>
    <row r="238" spans="1:82" ht="16" x14ac:dyDescent="0.2">
      <c r="A238" t="s">
        <v>1058</v>
      </c>
      <c r="B238" t="s">
        <v>368</v>
      </c>
      <c r="C238" t="s">
        <v>369</v>
      </c>
      <c r="D238" t="s">
        <v>78</v>
      </c>
      <c r="E238" t="s">
        <v>370</v>
      </c>
      <c r="F238">
        <v>2</v>
      </c>
      <c r="G238">
        <v>150</v>
      </c>
      <c r="H238" t="str">
        <f t="shared" si="22"/>
        <v>2x150</v>
      </c>
      <c r="I238">
        <v>201</v>
      </c>
      <c r="J238" s="4">
        <f t="shared" si="23"/>
        <v>6.442307692307693E-2</v>
      </c>
      <c r="K238">
        <v>303</v>
      </c>
      <c r="L238" s="4">
        <f t="shared" si="24"/>
        <v>9.7115384615384617E-2</v>
      </c>
      <c r="M238">
        <v>460</v>
      </c>
      <c r="N238" s="4">
        <f t="shared" si="25"/>
        <v>0.14743589743589744</v>
      </c>
      <c r="O238">
        <v>917</v>
      </c>
      <c r="P238" s="4">
        <f t="shared" si="26"/>
        <v>0.29391025641025642</v>
      </c>
      <c r="Q238" s="6">
        <f t="shared" si="21"/>
        <v>2030</v>
      </c>
      <c r="R238" s="6">
        <f t="shared" si="27"/>
        <v>3</v>
      </c>
      <c r="S238">
        <v>135</v>
      </c>
      <c r="T238">
        <v>34</v>
      </c>
      <c r="U238">
        <v>-18</v>
      </c>
      <c r="V238">
        <v>8</v>
      </c>
      <c r="W238">
        <v>-3</v>
      </c>
      <c r="X238">
        <v>72</v>
      </c>
      <c r="Y238" s="2" t="s">
        <v>371</v>
      </c>
      <c r="Z238">
        <v>43.549818000000002</v>
      </c>
      <c r="AA238">
        <v>13.511400099999999</v>
      </c>
      <c r="AB238" t="s">
        <v>78</v>
      </c>
      <c r="AC238" t="s">
        <v>81</v>
      </c>
      <c r="AD238" t="s">
        <v>82</v>
      </c>
      <c r="AE238">
        <v>78966</v>
      </c>
      <c r="AF238">
        <v>0</v>
      </c>
      <c r="AG238">
        <v>0</v>
      </c>
      <c r="AH238">
        <v>34317</v>
      </c>
      <c r="AI238">
        <v>12688</v>
      </c>
      <c r="AJ238">
        <v>31961</v>
      </c>
      <c r="AK238">
        <v>0</v>
      </c>
      <c r="AL238">
        <v>301</v>
      </c>
      <c r="AM238">
        <v>3178</v>
      </c>
      <c r="AN238">
        <v>35232</v>
      </c>
      <c r="AO238">
        <v>158297</v>
      </c>
      <c r="AP238">
        <v>0</v>
      </c>
      <c r="AQ238">
        <v>0</v>
      </c>
      <c r="AR238">
        <v>2</v>
      </c>
      <c r="AS238">
        <v>15</v>
      </c>
      <c r="AT238">
        <v>0</v>
      </c>
      <c r="AU238">
        <v>36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7</v>
      </c>
      <c r="BB238">
        <v>19</v>
      </c>
      <c r="BC238">
        <v>1</v>
      </c>
      <c r="BD238">
        <v>2</v>
      </c>
      <c r="BE238">
        <v>0</v>
      </c>
      <c r="BF238">
        <v>2</v>
      </c>
      <c r="BG238">
        <v>2</v>
      </c>
      <c r="BH238">
        <v>2</v>
      </c>
      <c r="BI238">
        <v>2</v>
      </c>
      <c r="BJ238">
        <v>43.549857299999999</v>
      </c>
      <c r="BK238">
        <v>13.511385799999999</v>
      </c>
      <c r="BL238">
        <v>300</v>
      </c>
      <c r="BM238" t="s">
        <v>83</v>
      </c>
      <c r="BN238" t="s">
        <v>84</v>
      </c>
      <c r="BO238" t="s">
        <v>85</v>
      </c>
      <c r="BP238" t="s">
        <v>86</v>
      </c>
      <c r="BQ238" t="s">
        <v>372</v>
      </c>
      <c r="BR238" t="s">
        <v>369</v>
      </c>
      <c r="BS238">
        <v>1579407</v>
      </c>
      <c r="BT238">
        <v>0</v>
      </c>
      <c r="BU238">
        <v>0</v>
      </c>
      <c r="BV238">
        <v>686356</v>
      </c>
      <c r="BW238">
        <v>253776</v>
      </c>
      <c r="BX238">
        <v>639275</v>
      </c>
      <c r="BY238">
        <v>0</v>
      </c>
      <c r="BZ238">
        <v>1</v>
      </c>
      <c r="CA238" t="s">
        <v>373</v>
      </c>
      <c r="CB238" t="s">
        <v>374</v>
      </c>
      <c r="CC238" s="3">
        <v>46092.557106481479</v>
      </c>
      <c r="CD238" t="s">
        <v>91</v>
      </c>
    </row>
    <row r="239" spans="1:82" ht="16" x14ac:dyDescent="0.2">
      <c r="A239" t="s">
        <v>1059</v>
      </c>
      <c r="B239" t="s">
        <v>376</v>
      </c>
      <c r="C239" t="s">
        <v>377</v>
      </c>
      <c r="D239" t="s">
        <v>78</v>
      </c>
      <c r="E239" t="s">
        <v>378</v>
      </c>
      <c r="F239">
        <v>2</v>
      </c>
      <c r="G239">
        <v>150</v>
      </c>
      <c r="H239" t="str">
        <f t="shared" si="22"/>
        <v>2x150</v>
      </c>
      <c r="I239">
        <v>199</v>
      </c>
      <c r="J239" s="4">
        <f t="shared" si="23"/>
        <v>6.3782051282051277E-2</v>
      </c>
      <c r="K239">
        <v>300</v>
      </c>
      <c r="L239" s="4">
        <f t="shared" si="24"/>
        <v>9.6153846153846145E-2</v>
      </c>
      <c r="M239">
        <v>456</v>
      </c>
      <c r="N239" s="4">
        <f t="shared" si="25"/>
        <v>0.14615384615384616</v>
      </c>
      <c r="O239">
        <v>909</v>
      </c>
      <c r="P239" s="4">
        <f t="shared" si="26"/>
        <v>0.29134615384615387</v>
      </c>
      <c r="Q239" s="6">
        <f t="shared" si="21"/>
        <v>2030</v>
      </c>
      <c r="R239" s="6">
        <f t="shared" si="27"/>
        <v>3</v>
      </c>
      <c r="S239">
        <v>135</v>
      </c>
      <c r="T239">
        <v>35</v>
      </c>
      <c r="U239">
        <v>5</v>
      </c>
      <c r="V239">
        <v>-3</v>
      </c>
      <c r="W239">
        <v>-5</v>
      </c>
      <c r="X239">
        <v>55</v>
      </c>
      <c r="Y239" s="2" t="s">
        <v>379</v>
      </c>
      <c r="Z239">
        <v>43.735779999999998</v>
      </c>
      <c r="AA239">
        <v>11.29599</v>
      </c>
      <c r="AB239" t="s">
        <v>78</v>
      </c>
      <c r="AC239" t="s">
        <v>81</v>
      </c>
      <c r="AD239" t="s">
        <v>82</v>
      </c>
      <c r="AE239">
        <v>107998</v>
      </c>
      <c r="AF239">
        <v>47825</v>
      </c>
      <c r="AG239">
        <v>0</v>
      </c>
      <c r="AH239">
        <v>46119</v>
      </c>
      <c r="AI239">
        <v>0</v>
      </c>
      <c r="AJ239">
        <v>14054</v>
      </c>
      <c r="AK239">
        <v>0</v>
      </c>
      <c r="AL239">
        <v>4389</v>
      </c>
      <c r="AM239">
        <v>16210</v>
      </c>
      <c r="AN239">
        <v>126571</v>
      </c>
      <c r="AO239">
        <v>439266</v>
      </c>
      <c r="AP239">
        <v>0</v>
      </c>
      <c r="AQ239">
        <v>1</v>
      </c>
      <c r="AR239">
        <v>3</v>
      </c>
      <c r="AS239">
        <v>10</v>
      </c>
      <c r="AT239">
        <v>2</v>
      </c>
      <c r="AU239">
        <v>24</v>
      </c>
      <c r="AV239">
        <v>1</v>
      </c>
      <c r="AW239">
        <v>0</v>
      </c>
      <c r="AX239">
        <v>0</v>
      </c>
      <c r="AY239">
        <v>2</v>
      </c>
      <c r="AZ239">
        <v>0</v>
      </c>
      <c r="BA239">
        <v>10</v>
      </c>
      <c r="BB239">
        <v>22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4</v>
      </c>
      <c r="BJ239">
        <v>43.735883800000003</v>
      </c>
      <c r="BK239">
        <v>11.296255199999999</v>
      </c>
      <c r="BL239">
        <v>300</v>
      </c>
      <c r="BM239" t="s">
        <v>83</v>
      </c>
      <c r="BN239" t="s">
        <v>84</v>
      </c>
      <c r="BO239" t="s">
        <v>85</v>
      </c>
      <c r="BP239" t="s">
        <v>86</v>
      </c>
      <c r="BQ239" t="s">
        <v>212</v>
      </c>
      <c r="BR239" t="s">
        <v>213</v>
      </c>
      <c r="BS239">
        <v>2542112</v>
      </c>
      <c r="BT239">
        <v>1195645</v>
      </c>
      <c r="BU239">
        <v>0</v>
      </c>
      <c r="BV239">
        <v>1065330</v>
      </c>
      <c r="BW239">
        <v>0</v>
      </c>
      <c r="BX239">
        <v>281137</v>
      </c>
      <c r="BY239">
        <v>0</v>
      </c>
      <c r="BZ239">
        <v>1</v>
      </c>
      <c r="CA239" t="s">
        <v>380</v>
      </c>
      <c r="CB239" t="s">
        <v>381</v>
      </c>
      <c r="CC239" s="3">
        <v>46092.557106481479</v>
      </c>
      <c r="CD239" t="s">
        <v>91</v>
      </c>
    </row>
    <row r="240" spans="1:82" ht="16" x14ac:dyDescent="0.2">
      <c r="A240" t="s">
        <v>1067</v>
      </c>
      <c r="B240" t="s">
        <v>383</v>
      </c>
      <c r="C240" t="s">
        <v>384</v>
      </c>
      <c r="D240" t="s">
        <v>78</v>
      </c>
      <c r="E240" t="s">
        <v>385</v>
      </c>
      <c r="F240">
        <v>2</v>
      </c>
      <c r="G240">
        <v>150</v>
      </c>
      <c r="H240" t="str">
        <f t="shared" si="22"/>
        <v>2x150</v>
      </c>
      <c r="I240">
        <v>198</v>
      </c>
      <c r="J240" s="4">
        <f t="shared" si="23"/>
        <v>6.3461538461538458E-2</v>
      </c>
      <c r="K240">
        <v>299</v>
      </c>
      <c r="L240" s="4">
        <f t="shared" si="24"/>
        <v>9.5833333333333326E-2</v>
      </c>
      <c r="M240">
        <v>453</v>
      </c>
      <c r="N240" s="4">
        <f t="shared" si="25"/>
        <v>0.1451923076923077</v>
      </c>
      <c r="O240">
        <v>905</v>
      </c>
      <c r="P240" s="4">
        <f t="shared" si="26"/>
        <v>0.29006410256410259</v>
      </c>
      <c r="Q240" s="6">
        <f t="shared" si="21"/>
        <v>2030</v>
      </c>
      <c r="R240" s="6">
        <f t="shared" si="27"/>
        <v>3</v>
      </c>
      <c r="S240">
        <v>135</v>
      </c>
      <c r="T240">
        <v>31</v>
      </c>
      <c r="U240">
        <v>-3</v>
      </c>
      <c r="V240">
        <v>5</v>
      </c>
      <c r="W240">
        <v>-2</v>
      </c>
      <c r="X240">
        <v>53</v>
      </c>
      <c r="Y240" s="2" t="s">
        <v>386</v>
      </c>
      <c r="Z240">
        <v>45.542691599016301</v>
      </c>
      <c r="AA240">
        <v>9.0104153595161502</v>
      </c>
      <c r="AB240" t="s">
        <v>78</v>
      </c>
      <c r="AC240" t="s">
        <v>81</v>
      </c>
      <c r="AD240" t="s">
        <v>82</v>
      </c>
      <c r="AE240">
        <v>74194</v>
      </c>
      <c r="AF240">
        <v>0</v>
      </c>
      <c r="AG240">
        <v>0</v>
      </c>
      <c r="AH240">
        <v>28734</v>
      </c>
      <c r="AI240">
        <v>27593</v>
      </c>
      <c r="AJ240">
        <v>17081</v>
      </c>
      <c r="AK240">
        <v>786</v>
      </c>
      <c r="AL240">
        <v>8574</v>
      </c>
      <c r="AM240">
        <v>30058</v>
      </c>
      <c r="AN240">
        <v>144477</v>
      </c>
      <c r="AO240">
        <v>608045</v>
      </c>
      <c r="AP240">
        <v>3</v>
      </c>
      <c r="AQ240">
        <v>0</v>
      </c>
      <c r="AR240">
        <v>2</v>
      </c>
      <c r="AS240">
        <v>18</v>
      </c>
      <c r="AT240">
        <v>5</v>
      </c>
      <c r="AU240">
        <v>29</v>
      </c>
      <c r="AV240">
        <v>1</v>
      </c>
      <c r="AW240">
        <v>0</v>
      </c>
      <c r="AX240">
        <v>2</v>
      </c>
      <c r="AY240">
        <v>0</v>
      </c>
      <c r="AZ240">
        <v>0</v>
      </c>
      <c r="BA240">
        <v>5</v>
      </c>
      <c r="BB240">
        <v>20</v>
      </c>
      <c r="BC240">
        <v>4</v>
      </c>
      <c r="BD240">
        <v>2</v>
      </c>
      <c r="BE240">
        <v>0</v>
      </c>
      <c r="BF240">
        <v>3</v>
      </c>
      <c r="BG240">
        <v>0</v>
      </c>
      <c r="BH240">
        <v>13</v>
      </c>
      <c r="BI240">
        <v>4</v>
      </c>
      <c r="BJ240">
        <v>45.542679300000003</v>
      </c>
      <c r="BK240">
        <v>9.0103826999999992</v>
      </c>
      <c r="BL240">
        <v>300</v>
      </c>
      <c r="BM240" t="s">
        <v>83</v>
      </c>
      <c r="BN240" t="s">
        <v>84</v>
      </c>
      <c r="BO240" t="s">
        <v>85</v>
      </c>
      <c r="BP240" t="s">
        <v>107</v>
      </c>
      <c r="BQ240" t="s">
        <v>108</v>
      </c>
      <c r="BR240" t="s">
        <v>109</v>
      </c>
      <c r="BS240">
        <v>1483989</v>
      </c>
      <c r="BT240">
        <v>0</v>
      </c>
      <c r="BU240">
        <v>0</v>
      </c>
      <c r="BV240">
        <v>574704</v>
      </c>
      <c r="BW240">
        <v>551894</v>
      </c>
      <c r="BX240">
        <v>341668</v>
      </c>
      <c r="BY240">
        <v>15723</v>
      </c>
      <c r="BZ240">
        <v>1</v>
      </c>
      <c r="CA240" t="s">
        <v>387</v>
      </c>
      <c r="CB240" t="s">
        <v>388</v>
      </c>
      <c r="CC240" s="3">
        <v>46092.557106481479</v>
      </c>
      <c r="CD240" t="s">
        <v>91</v>
      </c>
    </row>
    <row r="241" spans="1:82" ht="16" x14ac:dyDescent="0.2">
      <c r="A241" t="s">
        <v>1068</v>
      </c>
      <c r="B241" t="s">
        <v>390</v>
      </c>
      <c r="C241" t="s">
        <v>391</v>
      </c>
      <c r="D241" t="s">
        <v>78</v>
      </c>
      <c r="E241" t="s">
        <v>392</v>
      </c>
      <c r="F241">
        <v>2</v>
      </c>
      <c r="G241">
        <v>150</v>
      </c>
      <c r="H241" t="str">
        <f t="shared" si="22"/>
        <v>2x150</v>
      </c>
      <c r="I241">
        <v>197</v>
      </c>
      <c r="J241" s="4">
        <f t="shared" si="23"/>
        <v>6.3141025641025639E-2</v>
      </c>
      <c r="K241">
        <v>297</v>
      </c>
      <c r="L241" s="4">
        <f t="shared" si="24"/>
        <v>9.5192307692307687E-2</v>
      </c>
      <c r="M241">
        <v>451</v>
      </c>
      <c r="N241" s="4">
        <f t="shared" si="25"/>
        <v>0.14455128205128207</v>
      </c>
      <c r="O241">
        <v>900</v>
      </c>
      <c r="P241" s="4">
        <f t="shared" si="26"/>
        <v>0.28846153846153849</v>
      </c>
      <c r="Q241" s="6">
        <f t="shared" si="21"/>
        <v>2030</v>
      </c>
      <c r="R241" s="6">
        <f t="shared" si="27"/>
        <v>3</v>
      </c>
      <c r="S241">
        <v>135</v>
      </c>
      <c r="T241">
        <v>28</v>
      </c>
      <c r="U241">
        <v>5</v>
      </c>
      <c r="V241">
        <v>2</v>
      </c>
      <c r="W241">
        <v>-3</v>
      </c>
      <c r="X241">
        <v>54</v>
      </c>
      <c r="Y241" s="2" t="s">
        <v>393</v>
      </c>
      <c r="Z241">
        <v>43.805397399999997</v>
      </c>
      <c r="AA241">
        <v>11.1132697</v>
      </c>
      <c r="AB241" t="s">
        <v>78</v>
      </c>
      <c r="AC241" t="s">
        <v>81</v>
      </c>
      <c r="AD241" t="s">
        <v>82</v>
      </c>
      <c r="AE241">
        <v>26906</v>
      </c>
      <c r="AF241">
        <v>0</v>
      </c>
      <c r="AG241">
        <v>0</v>
      </c>
      <c r="AH241">
        <v>0</v>
      </c>
      <c r="AI241">
        <v>16760</v>
      </c>
      <c r="AJ241">
        <v>8904</v>
      </c>
      <c r="AK241">
        <v>1242</v>
      </c>
      <c r="AL241">
        <v>3756</v>
      </c>
      <c r="AM241">
        <v>15914</v>
      </c>
      <c r="AN241">
        <v>103128</v>
      </c>
      <c r="AO241">
        <v>503984</v>
      </c>
      <c r="AP241">
        <v>3</v>
      </c>
      <c r="AQ241">
        <v>1</v>
      </c>
      <c r="AR241">
        <v>4</v>
      </c>
      <c r="AS241">
        <v>15</v>
      </c>
      <c r="AT241">
        <v>4</v>
      </c>
      <c r="AU241">
        <v>20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2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4</v>
      </c>
      <c r="BI241">
        <v>0</v>
      </c>
      <c r="BJ241">
        <v>43.8054299</v>
      </c>
      <c r="BK241">
        <v>11.113152400000001</v>
      </c>
      <c r="BL241">
        <v>300</v>
      </c>
      <c r="BM241" t="s">
        <v>83</v>
      </c>
      <c r="BN241" t="s">
        <v>84</v>
      </c>
      <c r="BO241" t="s">
        <v>85</v>
      </c>
      <c r="BP241" t="s">
        <v>86</v>
      </c>
      <c r="BQ241" t="s">
        <v>212</v>
      </c>
      <c r="BR241" t="s">
        <v>213</v>
      </c>
      <c r="BS241">
        <v>538175</v>
      </c>
      <c r="BT241">
        <v>0</v>
      </c>
      <c r="BU241">
        <v>0</v>
      </c>
      <c r="BV241">
        <v>0</v>
      </c>
      <c r="BW241">
        <v>335221</v>
      </c>
      <c r="BX241">
        <v>178098</v>
      </c>
      <c r="BY241">
        <v>24856</v>
      </c>
      <c r="BZ241">
        <v>1</v>
      </c>
      <c r="CA241" t="s">
        <v>394</v>
      </c>
      <c r="CB241" t="s">
        <v>395</v>
      </c>
      <c r="CC241" s="3">
        <v>46092.557106481479</v>
      </c>
      <c r="CD241" t="s">
        <v>91</v>
      </c>
    </row>
    <row r="242" spans="1:82" ht="16" x14ac:dyDescent="0.2">
      <c r="A242" t="s">
        <v>1069</v>
      </c>
      <c r="B242" t="s">
        <v>397</v>
      </c>
      <c r="C242" t="s">
        <v>398</v>
      </c>
      <c r="D242" t="s">
        <v>78</v>
      </c>
      <c r="E242" t="s">
        <v>399</v>
      </c>
      <c r="F242">
        <v>2</v>
      </c>
      <c r="G242">
        <v>150</v>
      </c>
      <c r="H242" t="str">
        <f t="shared" si="22"/>
        <v>2x150</v>
      </c>
      <c r="I242">
        <v>195</v>
      </c>
      <c r="J242" s="4">
        <f t="shared" si="23"/>
        <v>6.25E-2</v>
      </c>
      <c r="K242">
        <v>295</v>
      </c>
      <c r="L242" s="4">
        <f t="shared" si="24"/>
        <v>9.4551282051282048E-2</v>
      </c>
      <c r="M242">
        <v>447</v>
      </c>
      <c r="N242" s="4">
        <f t="shared" si="25"/>
        <v>0.14326923076923079</v>
      </c>
      <c r="O242">
        <v>893</v>
      </c>
      <c r="P242" s="4">
        <f t="shared" si="26"/>
        <v>0.2862179487179487</v>
      </c>
      <c r="Q242" s="6">
        <f t="shared" si="21"/>
        <v>2030</v>
      </c>
      <c r="R242" s="6">
        <f t="shared" si="27"/>
        <v>3</v>
      </c>
      <c r="S242">
        <v>135</v>
      </c>
      <c r="T242">
        <v>60</v>
      </c>
      <c r="U242">
        <v>-18</v>
      </c>
      <c r="V242">
        <v>-5</v>
      </c>
      <c r="W242">
        <v>-17</v>
      </c>
      <c r="X242">
        <v>64</v>
      </c>
      <c r="Y242" s="2" t="s">
        <v>400</v>
      </c>
      <c r="Z242">
        <v>41.6770861878679</v>
      </c>
      <c r="AA242">
        <v>12.500755177912099</v>
      </c>
      <c r="AB242" t="s">
        <v>78</v>
      </c>
      <c r="AC242" t="s">
        <v>81</v>
      </c>
      <c r="AD242" t="s">
        <v>82</v>
      </c>
      <c r="AE242">
        <v>99459</v>
      </c>
      <c r="AF242">
        <v>0</v>
      </c>
      <c r="AG242">
        <v>66148</v>
      </c>
      <c r="AH242">
        <v>0</v>
      </c>
      <c r="AI242">
        <v>0</v>
      </c>
      <c r="AJ242">
        <v>23420</v>
      </c>
      <c r="AK242">
        <v>9891</v>
      </c>
      <c r="AL242">
        <v>9326</v>
      </c>
      <c r="AM242">
        <v>25111</v>
      </c>
      <c r="AN242">
        <v>41559</v>
      </c>
      <c r="AO242">
        <v>110995</v>
      </c>
      <c r="AP242">
        <v>6</v>
      </c>
      <c r="AQ242">
        <v>1</v>
      </c>
      <c r="AR242">
        <v>4</v>
      </c>
      <c r="AS242">
        <v>7</v>
      </c>
      <c r="AT242">
        <v>2</v>
      </c>
      <c r="AU242">
        <v>21</v>
      </c>
      <c r="AV242">
        <v>17</v>
      </c>
      <c r="AW242">
        <v>1</v>
      </c>
      <c r="AX242">
        <v>0</v>
      </c>
      <c r="AY242">
        <v>1</v>
      </c>
      <c r="AZ242">
        <v>0</v>
      </c>
      <c r="BA242">
        <v>26</v>
      </c>
      <c r="BB242">
        <v>40</v>
      </c>
      <c r="BC242">
        <v>8</v>
      </c>
      <c r="BD242">
        <v>2</v>
      </c>
      <c r="BE242">
        <v>0</v>
      </c>
      <c r="BF242">
        <v>6</v>
      </c>
      <c r="BG242">
        <v>4</v>
      </c>
      <c r="BH242">
        <v>14</v>
      </c>
      <c r="BI242">
        <v>4</v>
      </c>
      <c r="BJ242">
        <v>41.6772834</v>
      </c>
      <c r="BK242">
        <v>12.500575700000001</v>
      </c>
      <c r="BL242">
        <v>300</v>
      </c>
      <c r="BM242" t="s">
        <v>83</v>
      </c>
      <c r="BN242" t="s">
        <v>84</v>
      </c>
      <c r="BO242" t="s">
        <v>85</v>
      </c>
      <c r="BP242" t="s">
        <v>86</v>
      </c>
      <c r="BQ242" t="s">
        <v>87</v>
      </c>
      <c r="BR242" t="s">
        <v>88</v>
      </c>
      <c r="BS242">
        <v>2319199</v>
      </c>
      <c r="BT242">
        <v>0</v>
      </c>
      <c r="BU242">
        <v>1719870</v>
      </c>
      <c r="BV242">
        <v>0</v>
      </c>
      <c r="BW242">
        <v>0</v>
      </c>
      <c r="BX242">
        <v>401454</v>
      </c>
      <c r="BY242">
        <v>197875</v>
      </c>
      <c r="BZ242">
        <v>1</v>
      </c>
      <c r="CA242" t="s">
        <v>401</v>
      </c>
      <c r="CB242" t="s">
        <v>402</v>
      </c>
      <c r="CC242" s="3">
        <v>46092.557106481479</v>
      </c>
      <c r="CD242" t="s">
        <v>91</v>
      </c>
    </row>
    <row r="243" spans="1:82" ht="16" x14ac:dyDescent="0.2">
      <c r="A243" t="s">
        <v>1070</v>
      </c>
      <c r="B243" t="s">
        <v>404</v>
      </c>
      <c r="C243" t="s">
        <v>405</v>
      </c>
      <c r="D243" t="s">
        <v>78</v>
      </c>
      <c r="E243" t="s">
        <v>406</v>
      </c>
      <c r="F243">
        <v>2</v>
      </c>
      <c r="G243">
        <v>150</v>
      </c>
      <c r="H243" t="str">
        <f t="shared" si="22"/>
        <v>2x150</v>
      </c>
      <c r="I243">
        <v>194</v>
      </c>
      <c r="J243" s="4">
        <f t="shared" si="23"/>
        <v>6.2179487179487181E-2</v>
      </c>
      <c r="K243">
        <v>293</v>
      </c>
      <c r="L243" s="4">
        <f t="shared" si="24"/>
        <v>9.391025641025641E-2</v>
      </c>
      <c r="M243">
        <v>445</v>
      </c>
      <c r="N243" s="4">
        <f t="shared" si="25"/>
        <v>0.14262820512820512</v>
      </c>
      <c r="O243">
        <v>888</v>
      </c>
      <c r="P243" s="4">
        <f t="shared" si="26"/>
        <v>0.2846153846153846</v>
      </c>
      <c r="Q243" s="6">
        <f t="shared" si="21"/>
        <v>2030</v>
      </c>
      <c r="R243" s="6">
        <f t="shared" si="27"/>
        <v>3</v>
      </c>
      <c r="S243">
        <v>135</v>
      </c>
      <c r="T243">
        <v>59</v>
      </c>
      <c r="U243">
        <v>-17</v>
      </c>
      <c r="V243">
        <v>-2</v>
      </c>
      <c r="W243">
        <v>-8</v>
      </c>
      <c r="X243">
        <v>46</v>
      </c>
      <c r="Y243" s="2" t="s">
        <v>407</v>
      </c>
      <c r="Z243">
        <v>43.996139999999997</v>
      </c>
      <c r="AA243">
        <v>12.645759999999999</v>
      </c>
      <c r="AB243" t="s">
        <v>78</v>
      </c>
      <c r="AC243" t="s">
        <v>81</v>
      </c>
      <c r="AD243" t="s">
        <v>82</v>
      </c>
      <c r="AE243">
        <v>75496</v>
      </c>
      <c r="AF243">
        <v>40126</v>
      </c>
      <c r="AG243">
        <v>0</v>
      </c>
      <c r="AH243">
        <v>7125</v>
      </c>
      <c r="AI243">
        <v>0</v>
      </c>
      <c r="AJ243">
        <v>13436</v>
      </c>
      <c r="AK243">
        <v>14809</v>
      </c>
      <c r="AL243">
        <v>8591</v>
      </c>
      <c r="AM243">
        <v>23990</v>
      </c>
      <c r="AN243">
        <v>57288</v>
      </c>
      <c r="AO243">
        <v>185551</v>
      </c>
      <c r="AP243">
        <v>0</v>
      </c>
      <c r="AQ243">
        <v>2</v>
      </c>
      <c r="AR243">
        <v>3</v>
      </c>
      <c r="AS243">
        <v>11</v>
      </c>
      <c r="AT243">
        <v>5</v>
      </c>
      <c r="AU243">
        <v>14</v>
      </c>
      <c r="AV243">
        <v>5</v>
      </c>
      <c r="AW243">
        <v>2</v>
      </c>
      <c r="AX243">
        <v>0</v>
      </c>
      <c r="AY243">
        <v>1</v>
      </c>
      <c r="AZ243">
        <v>0</v>
      </c>
      <c r="BA243">
        <v>13</v>
      </c>
      <c r="BB243">
        <v>46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6</v>
      </c>
      <c r="BI243">
        <v>0</v>
      </c>
      <c r="BJ243">
        <v>43.996139900000003</v>
      </c>
      <c r="BK243">
        <v>12.645739900000001</v>
      </c>
      <c r="BL243">
        <v>300</v>
      </c>
      <c r="BM243" t="s">
        <v>83</v>
      </c>
      <c r="BN243" t="s">
        <v>84</v>
      </c>
      <c r="BO243" t="s">
        <v>85</v>
      </c>
      <c r="BP243" t="s">
        <v>160</v>
      </c>
      <c r="BQ243" t="s">
        <v>170</v>
      </c>
      <c r="BR243" t="s">
        <v>408</v>
      </c>
      <c r="BS243">
        <v>1710627</v>
      </c>
      <c r="BT243">
        <v>1003151</v>
      </c>
      <c r="BU243">
        <v>0</v>
      </c>
      <c r="BV243">
        <v>142511</v>
      </c>
      <c r="BW243">
        <v>0</v>
      </c>
      <c r="BX243">
        <v>268733</v>
      </c>
      <c r="BY243">
        <v>296232</v>
      </c>
      <c r="BZ243">
        <v>1</v>
      </c>
      <c r="CA243" t="s">
        <v>409</v>
      </c>
      <c r="CB243" t="s">
        <v>410</v>
      </c>
      <c r="CC243" s="3">
        <v>46092.557106481479</v>
      </c>
      <c r="CD243" t="s">
        <v>91</v>
      </c>
    </row>
    <row r="244" spans="1:82" ht="16" x14ac:dyDescent="0.2">
      <c r="A244" t="s">
        <v>1071</v>
      </c>
      <c r="B244" t="s">
        <v>412</v>
      </c>
      <c r="C244" t="s">
        <v>413</v>
      </c>
      <c r="D244" t="s">
        <v>78</v>
      </c>
      <c r="E244" t="s">
        <v>414</v>
      </c>
      <c r="F244">
        <v>2</v>
      </c>
      <c r="G244">
        <v>150</v>
      </c>
      <c r="H244" t="str">
        <f t="shared" si="22"/>
        <v>2x150</v>
      </c>
      <c r="I244">
        <v>194</v>
      </c>
      <c r="J244" s="4">
        <f t="shared" si="23"/>
        <v>6.2179487179487181E-2</v>
      </c>
      <c r="K244">
        <v>292</v>
      </c>
      <c r="L244" s="4">
        <f t="shared" si="24"/>
        <v>9.358974358974359E-2</v>
      </c>
      <c r="M244">
        <v>443</v>
      </c>
      <c r="N244" s="4">
        <f t="shared" si="25"/>
        <v>0.14198717948717948</v>
      </c>
      <c r="O244">
        <v>885</v>
      </c>
      <c r="P244" s="4">
        <f t="shared" si="26"/>
        <v>0.28365384615384615</v>
      </c>
      <c r="Q244" s="6">
        <f t="shared" si="21"/>
        <v>2030</v>
      </c>
      <c r="R244" s="6">
        <f t="shared" si="27"/>
        <v>3</v>
      </c>
      <c r="S244">
        <v>135</v>
      </c>
      <c r="T244">
        <v>28</v>
      </c>
      <c r="U244">
        <v>-16</v>
      </c>
      <c r="V244">
        <v>-4</v>
      </c>
      <c r="W244">
        <v>11</v>
      </c>
      <c r="X244">
        <v>66</v>
      </c>
      <c r="Y244" s="2" t="s">
        <v>415</v>
      </c>
      <c r="Z244">
        <v>40.900849999999998</v>
      </c>
      <c r="AA244">
        <v>14.040596000000001</v>
      </c>
      <c r="AB244" t="s">
        <v>78</v>
      </c>
      <c r="AC244" t="s">
        <v>81</v>
      </c>
      <c r="AD244" t="s">
        <v>82</v>
      </c>
      <c r="AE244">
        <v>19160</v>
      </c>
      <c r="AF244">
        <v>0</v>
      </c>
      <c r="AG244">
        <v>0</v>
      </c>
      <c r="AH244">
        <v>0</v>
      </c>
      <c r="AI244">
        <v>12088</v>
      </c>
      <c r="AJ244">
        <v>5580</v>
      </c>
      <c r="AK244">
        <v>1492</v>
      </c>
      <c r="AL244">
        <v>1799</v>
      </c>
      <c r="AM244">
        <v>8336</v>
      </c>
      <c r="AN244">
        <v>42529</v>
      </c>
      <c r="AO244">
        <v>187729</v>
      </c>
      <c r="AP244">
        <v>3</v>
      </c>
      <c r="AQ244">
        <v>0</v>
      </c>
      <c r="AR244">
        <v>3</v>
      </c>
      <c r="AS244">
        <v>12</v>
      </c>
      <c r="AT244">
        <v>2</v>
      </c>
      <c r="AU244">
        <v>21</v>
      </c>
      <c r="AV244">
        <v>0</v>
      </c>
      <c r="AW244">
        <v>0</v>
      </c>
      <c r="AX244">
        <v>5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2</v>
      </c>
      <c r="BG244">
        <v>0</v>
      </c>
      <c r="BH244">
        <v>2</v>
      </c>
      <c r="BI244">
        <v>0</v>
      </c>
      <c r="BJ244">
        <v>40.900739999999999</v>
      </c>
      <c r="BK244">
        <v>14.040509999999999</v>
      </c>
      <c r="BL244">
        <v>300</v>
      </c>
      <c r="BM244" t="s">
        <v>83</v>
      </c>
      <c r="BN244" t="s">
        <v>84</v>
      </c>
      <c r="BO244" t="s">
        <v>85</v>
      </c>
      <c r="BP244" t="s">
        <v>97</v>
      </c>
      <c r="BQ244" t="s">
        <v>98</v>
      </c>
      <c r="BR244" t="s">
        <v>99</v>
      </c>
      <c r="BS244">
        <v>383320</v>
      </c>
      <c r="BT244">
        <v>0</v>
      </c>
      <c r="BU244">
        <v>0</v>
      </c>
      <c r="BV244">
        <v>0</v>
      </c>
      <c r="BW244">
        <v>241817</v>
      </c>
      <c r="BX244">
        <v>111626</v>
      </c>
      <c r="BY244">
        <v>29877</v>
      </c>
      <c r="BZ244">
        <v>1</v>
      </c>
      <c r="CA244" t="s">
        <v>416</v>
      </c>
      <c r="CB244" t="s">
        <v>417</v>
      </c>
      <c r="CC244" s="3">
        <v>46092.557106481479</v>
      </c>
      <c r="CD244" t="s">
        <v>91</v>
      </c>
    </row>
    <row r="245" spans="1:82" ht="16" x14ac:dyDescent="0.2">
      <c r="A245" t="s">
        <v>1073</v>
      </c>
      <c r="B245" t="s">
        <v>419</v>
      </c>
      <c r="C245" t="s">
        <v>420</v>
      </c>
      <c r="D245" t="s">
        <v>78</v>
      </c>
      <c r="E245" t="s">
        <v>421</v>
      </c>
      <c r="F245">
        <v>2</v>
      </c>
      <c r="G245">
        <v>150</v>
      </c>
      <c r="H245" t="str">
        <f t="shared" si="22"/>
        <v>2x150</v>
      </c>
      <c r="I245">
        <v>192</v>
      </c>
      <c r="J245" s="4">
        <f t="shared" si="23"/>
        <v>6.1538461538461542E-2</v>
      </c>
      <c r="K245">
        <v>289</v>
      </c>
      <c r="L245" s="4">
        <f t="shared" si="24"/>
        <v>9.2628205128205132E-2</v>
      </c>
      <c r="M245">
        <v>439</v>
      </c>
      <c r="N245" s="4">
        <f t="shared" si="25"/>
        <v>0.1407051282051282</v>
      </c>
      <c r="O245">
        <v>876</v>
      </c>
      <c r="P245" s="4">
        <f t="shared" si="26"/>
        <v>0.28076923076923077</v>
      </c>
      <c r="Q245" s="6">
        <f t="shared" si="21"/>
        <v>2030</v>
      </c>
      <c r="R245" s="6">
        <f t="shared" si="27"/>
        <v>3</v>
      </c>
      <c r="S245">
        <v>135</v>
      </c>
      <c r="T245">
        <v>52</v>
      </c>
      <c r="U245">
        <v>-18</v>
      </c>
      <c r="V245">
        <v>-8</v>
      </c>
      <c r="W245">
        <v>-3</v>
      </c>
      <c r="X245">
        <v>57</v>
      </c>
      <c r="Y245" s="2" t="s">
        <v>422</v>
      </c>
      <c r="Z245">
        <v>43.549980120000001</v>
      </c>
      <c r="AA245">
        <v>11.56096037</v>
      </c>
      <c r="AB245" t="s">
        <v>78</v>
      </c>
      <c r="AC245" t="s">
        <v>81</v>
      </c>
      <c r="AD245" t="s">
        <v>82</v>
      </c>
      <c r="AE245">
        <v>106421</v>
      </c>
      <c r="AF245">
        <v>79216</v>
      </c>
      <c r="AG245">
        <v>0</v>
      </c>
      <c r="AH245">
        <v>0</v>
      </c>
      <c r="AI245">
        <v>15083</v>
      </c>
      <c r="AJ245">
        <v>10099</v>
      </c>
      <c r="AK245">
        <v>2023</v>
      </c>
      <c r="AL245">
        <v>1277</v>
      </c>
      <c r="AM245">
        <v>8549</v>
      </c>
      <c r="AN245">
        <v>46015</v>
      </c>
      <c r="AO245">
        <v>83632</v>
      </c>
      <c r="AP245">
        <v>2</v>
      </c>
      <c r="AQ245">
        <v>0</v>
      </c>
      <c r="AR245">
        <v>6</v>
      </c>
      <c r="AS245">
        <v>4</v>
      </c>
      <c r="AT245">
        <v>2</v>
      </c>
      <c r="AU245">
        <v>21</v>
      </c>
      <c r="AV245">
        <v>2</v>
      </c>
      <c r="AW245">
        <v>0</v>
      </c>
      <c r="AX245">
        <v>1</v>
      </c>
      <c r="AY245">
        <v>0</v>
      </c>
      <c r="AZ245">
        <v>0</v>
      </c>
      <c r="BA245">
        <v>6</v>
      </c>
      <c r="BB245">
        <v>21</v>
      </c>
      <c r="BC245">
        <v>4</v>
      </c>
      <c r="BD245">
        <v>4</v>
      </c>
      <c r="BE245">
        <v>0</v>
      </c>
      <c r="BF245">
        <v>4</v>
      </c>
      <c r="BG245">
        <v>0</v>
      </c>
      <c r="BH245">
        <v>6</v>
      </c>
      <c r="BI245">
        <v>0</v>
      </c>
      <c r="BJ245">
        <v>43.549951</v>
      </c>
      <c r="BK245">
        <v>11.560915</v>
      </c>
      <c r="BL245">
        <v>300</v>
      </c>
      <c r="BM245" t="s">
        <v>83</v>
      </c>
      <c r="BN245" t="s">
        <v>84</v>
      </c>
      <c r="BO245" t="s">
        <v>85</v>
      </c>
      <c r="BP245" t="s">
        <v>86</v>
      </c>
      <c r="BQ245" t="s">
        <v>212</v>
      </c>
      <c r="BR245" t="s">
        <v>423</v>
      </c>
      <c r="BS245">
        <v>2524220</v>
      </c>
      <c r="BT245">
        <v>2018247</v>
      </c>
      <c r="BU245">
        <v>0</v>
      </c>
      <c r="BV245">
        <v>0</v>
      </c>
      <c r="BW245">
        <v>301694</v>
      </c>
      <c r="BX245">
        <v>163813</v>
      </c>
      <c r="BY245">
        <v>40466</v>
      </c>
      <c r="BZ245">
        <v>1</v>
      </c>
      <c r="CA245" t="s">
        <v>424</v>
      </c>
      <c r="CB245" t="s">
        <v>425</v>
      </c>
      <c r="CC245" s="3">
        <v>46092.557106481479</v>
      </c>
      <c r="CD245" t="s">
        <v>91</v>
      </c>
    </row>
    <row r="246" spans="1:82" ht="16" x14ac:dyDescent="0.2">
      <c r="A246" t="s">
        <v>1112</v>
      </c>
      <c r="B246" t="s">
        <v>103</v>
      </c>
      <c r="C246" t="s">
        <v>104</v>
      </c>
      <c r="D246" t="s">
        <v>78</v>
      </c>
      <c r="E246" t="s">
        <v>105</v>
      </c>
      <c r="F246">
        <v>2</v>
      </c>
      <c r="G246">
        <v>50</v>
      </c>
      <c r="H246" t="str">
        <f t="shared" si="22"/>
        <v>2x50</v>
      </c>
      <c r="I246">
        <v>164</v>
      </c>
      <c r="J246" s="4">
        <f t="shared" si="23"/>
        <v>8.5416666666666655E-2</v>
      </c>
      <c r="K246">
        <v>248</v>
      </c>
      <c r="L246" s="4">
        <f t="shared" si="24"/>
        <v>0.12916666666666668</v>
      </c>
      <c r="M246">
        <v>376</v>
      </c>
      <c r="N246" s="4">
        <f t="shared" si="25"/>
        <v>0.19583333333333333</v>
      </c>
      <c r="O246">
        <v>750</v>
      </c>
      <c r="P246" s="4">
        <f t="shared" si="26"/>
        <v>0.390625</v>
      </c>
      <c r="Q246" s="6">
        <f t="shared" si="21"/>
        <v>2030</v>
      </c>
      <c r="R246" s="6">
        <f t="shared" si="27"/>
        <v>3</v>
      </c>
      <c r="S246">
        <v>77</v>
      </c>
      <c r="T246">
        <v>93</v>
      </c>
      <c r="U246">
        <v>0</v>
      </c>
      <c r="V246">
        <v>-5</v>
      </c>
      <c r="W246">
        <v>27</v>
      </c>
      <c r="X246">
        <v>-51</v>
      </c>
      <c r="Y246" s="2" t="s">
        <v>106</v>
      </c>
      <c r="Z246">
        <v>45.391072917237899</v>
      </c>
      <c r="AA246">
        <v>9.2583023742203796</v>
      </c>
      <c r="AB246" t="s">
        <v>78</v>
      </c>
      <c r="AC246" t="s">
        <v>81</v>
      </c>
      <c r="AD246" t="s">
        <v>82</v>
      </c>
      <c r="AE246">
        <v>253575</v>
      </c>
      <c r="AF246">
        <v>206515</v>
      </c>
      <c r="AG246">
        <v>0</v>
      </c>
      <c r="AH246">
        <v>18444</v>
      </c>
      <c r="AI246">
        <v>0</v>
      </c>
      <c r="AJ246">
        <v>27264</v>
      </c>
      <c r="AK246">
        <v>1352</v>
      </c>
      <c r="AL246">
        <v>2181</v>
      </c>
      <c r="AM246">
        <v>18962</v>
      </c>
      <c r="AN246">
        <v>105149</v>
      </c>
      <c r="AO246">
        <v>693672</v>
      </c>
      <c r="AP246">
        <v>0</v>
      </c>
      <c r="AQ246">
        <v>0</v>
      </c>
      <c r="AR246">
        <v>1</v>
      </c>
      <c r="AS246">
        <v>2</v>
      </c>
      <c r="AT246">
        <v>2</v>
      </c>
      <c r="AU246">
        <v>11</v>
      </c>
      <c r="AV246">
        <v>0</v>
      </c>
      <c r="AW246">
        <v>1</v>
      </c>
      <c r="AX246">
        <v>0</v>
      </c>
      <c r="AY246">
        <v>0</v>
      </c>
      <c r="AZ246">
        <v>1</v>
      </c>
      <c r="BA246">
        <v>18</v>
      </c>
      <c r="BB246">
        <v>32</v>
      </c>
      <c r="BC246">
        <v>9</v>
      </c>
      <c r="BD246">
        <v>2</v>
      </c>
      <c r="BE246">
        <v>16</v>
      </c>
      <c r="BF246">
        <v>4</v>
      </c>
      <c r="BG246">
        <v>16</v>
      </c>
      <c r="BH246">
        <v>4</v>
      </c>
      <c r="BI246">
        <v>16</v>
      </c>
      <c r="BJ246">
        <v>45.3910999</v>
      </c>
      <c r="BK246">
        <v>9.2583499000000007</v>
      </c>
      <c r="BL246">
        <v>100</v>
      </c>
      <c r="BM246" t="s">
        <v>83</v>
      </c>
      <c r="BN246" t="s">
        <v>84</v>
      </c>
      <c r="BO246" t="s">
        <v>85</v>
      </c>
      <c r="BP246" t="s">
        <v>107</v>
      </c>
      <c r="BQ246" t="s">
        <v>108</v>
      </c>
      <c r="BR246" t="s">
        <v>109</v>
      </c>
      <c r="BS246">
        <v>5349455</v>
      </c>
      <c r="BT246">
        <v>4473679</v>
      </c>
      <c r="BU246">
        <v>0</v>
      </c>
      <c r="BV246">
        <v>368881</v>
      </c>
      <c r="BW246">
        <v>0</v>
      </c>
      <c r="BX246">
        <v>479842</v>
      </c>
      <c r="BY246">
        <v>27053</v>
      </c>
      <c r="BZ246">
        <v>1</v>
      </c>
      <c r="CA246" t="s">
        <v>110</v>
      </c>
      <c r="CB246" t="s">
        <v>111</v>
      </c>
      <c r="CC246" s="3">
        <v>46092.557106481479</v>
      </c>
      <c r="CD246" t="s">
        <v>91</v>
      </c>
    </row>
    <row r="247" spans="1:82" ht="16" x14ac:dyDescent="0.2">
      <c r="A247" t="s">
        <v>1130</v>
      </c>
      <c r="B247" t="s">
        <v>156</v>
      </c>
      <c r="C247" t="s">
        <v>157</v>
      </c>
      <c r="D247" t="s">
        <v>78</v>
      </c>
      <c r="E247" t="s">
        <v>158</v>
      </c>
      <c r="F247">
        <v>2</v>
      </c>
      <c r="G247">
        <v>50</v>
      </c>
      <c r="H247" t="str">
        <f t="shared" si="22"/>
        <v>2x50</v>
      </c>
      <c r="I247">
        <v>146</v>
      </c>
      <c r="J247" s="4">
        <f t="shared" si="23"/>
        <v>7.604166666666666E-2</v>
      </c>
      <c r="K247">
        <v>221</v>
      </c>
      <c r="L247" s="4">
        <f t="shared" si="24"/>
        <v>0.11510416666666667</v>
      </c>
      <c r="M247">
        <v>335</v>
      </c>
      <c r="N247" s="4">
        <f t="shared" si="25"/>
        <v>0.17447916666666666</v>
      </c>
      <c r="O247">
        <v>668</v>
      </c>
      <c r="P247" s="4">
        <f t="shared" si="26"/>
        <v>0.34791666666666665</v>
      </c>
      <c r="Q247" s="6">
        <f t="shared" si="21"/>
        <v>2030</v>
      </c>
      <c r="R247" s="6">
        <f t="shared" si="27"/>
        <v>3</v>
      </c>
      <c r="S247">
        <v>77</v>
      </c>
      <c r="T247">
        <v>64</v>
      </c>
      <c r="U247">
        <v>-7</v>
      </c>
      <c r="V247">
        <v>16</v>
      </c>
      <c r="W247">
        <v>18</v>
      </c>
      <c r="X247">
        <v>-38</v>
      </c>
      <c r="Y247" s="2" t="s">
        <v>159</v>
      </c>
      <c r="Z247">
        <v>45.4338540483541</v>
      </c>
      <c r="AA247">
        <v>10.7103439220878</v>
      </c>
      <c r="AB247" t="s">
        <v>78</v>
      </c>
      <c r="AC247" t="s">
        <v>81</v>
      </c>
      <c r="AD247" t="s">
        <v>82</v>
      </c>
      <c r="AE247">
        <v>105937</v>
      </c>
      <c r="AF247">
        <v>0</v>
      </c>
      <c r="AG247">
        <v>0</v>
      </c>
      <c r="AH247">
        <v>61446</v>
      </c>
      <c r="AI247">
        <v>41034</v>
      </c>
      <c r="AJ247">
        <v>3457</v>
      </c>
      <c r="AK247">
        <v>0</v>
      </c>
      <c r="AL247">
        <v>1396</v>
      </c>
      <c r="AM247">
        <v>6623</v>
      </c>
      <c r="AN247">
        <v>27804</v>
      </c>
      <c r="AO247">
        <v>76802</v>
      </c>
      <c r="AP247">
        <v>0</v>
      </c>
      <c r="AQ247">
        <v>0</v>
      </c>
      <c r="AR247">
        <v>3</v>
      </c>
      <c r="AS247">
        <v>12</v>
      </c>
      <c r="AT247">
        <v>0</v>
      </c>
      <c r="AU247">
        <v>6</v>
      </c>
      <c r="AV247">
        <v>5</v>
      </c>
      <c r="AW247">
        <v>2</v>
      </c>
      <c r="AX247">
        <v>0</v>
      </c>
      <c r="AY247">
        <v>0</v>
      </c>
      <c r="AZ247">
        <v>0</v>
      </c>
      <c r="BA247">
        <v>5</v>
      </c>
      <c r="BB247">
        <v>12</v>
      </c>
      <c r="BC247">
        <v>1</v>
      </c>
      <c r="BD247">
        <v>0</v>
      </c>
      <c r="BE247">
        <v>16</v>
      </c>
      <c r="BF247">
        <v>4</v>
      </c>
      <c r="BG247">
        <v>16</v>
      </c>
      <c r="BH247">
        <v>4</v>
      </c>
      <c r="BI247">
        <v>16</v>
      </c>
      <c r="BJ247">
        <v>45.433860000000003</v>
      </c>
      <c r="BK247">
        <v>10.710333500000001</v>
      </c>
      <c r="BL247">
        <v>100</v>
      </c>
      <c r="BM247" t="s">
        <v>83</v>
      </c>
      <c r="BN247" t="s">
        <v>84</v>
      </c>
      <c r="BO247" t="s">
        <v>85</v>
      </c>
      <c r="BP247" t="s">
        <v>160</v>
      </c>
      <c r="BQ247" t="s">
        <v>161</v>
      </c>
      <c r="BR247" t="s">
        <v>162</v>
      </c>
      <c r="BS247">
        <v>2253749</v>
      </c>
      <c r="BT247">
        <v>0</v>
      </c>
      <c r="BU247">
        <v>0</v>
      </c>
      <c r="BV247">
        <v>1363843</v>
      </c>
      <c r="BW247">
        <v>820723</v>
      </c>
      <c r="BX247">
        <v>69183</v>
      </c>
      <c r="BY247">
        <v>0</v>
      </c>
      <c r="BZ247">
        <v>1</v>
      </c>
      <c r="CA247" t="s">
        <v>163</v>
      </c>
      <c r="CB247" t="s">
        <v>164</v>
      </c>
      <c r="CC247" s="3">
        <v>46092.557106481479</v>
      </c>
      <c r="CD247" t="s">
        <v>91</v>
      </c>
    </row>
    <row r="248" spans="1:82" ht="16" x14ac:dyDescent="0.2">
      <c r="A248" t="s">
        <v>1142</v>
      </c>
      <c r="B248" t="s">
        <v>134</v>
      </c>
      <c r="C248" t="s">
        <v>135</v>
      </c>
      <c r="D248" t="s">
        <v>78</v>
      </c>
      <c r="E248" t="s">
        <v>136</v>
      </c>
      <c r="F248">
        <v>2</v>
      </c>
      <c r="G248">
        <v>50</v>
      </c>
      <c r="H248" t="str">
        <f t="shared" si="22"/>
        <v>2x50</v>
      </c>
      <c r="I248">
        <v>136</v>
      </c>
      <c r="J248" s="4">
        <f t="shared" si="23"/>
        <v>7.0833333333333331E-2</v>
      </c>
      <c r="K248">
        <v>205</v>
      </c>
      <c r="L248" s="4">
        <f t="shared" si="24"/>
        <v>0.10677083333333333</v>
      </c>
      <c r="M248">
        <v>311</v>
      </c>
      <c r="N248" s="4">
        <f t="shared" si="25"/>
        <v>0.16197916666666667</v>
      </c>
      <c r="O248">
        <v>621</v>
      </c>
      <c r="P248" s="4">
        <f t="shared" si="26"/>
        <v>0.32343749999999999</v>
      </c>
      <c r="Q248" s="6">
        <f t="shared" si="21"/>
        <v>2030</v>
      </c>
      <c r="R248" s="6">
        <f t="shared" si="27"/>
        <v>3</v>
      </c>
      <c r="S248">
        <v>77</v>
      </c>
      <c r="T248">
        <v>79</v>
      </c>
      <c r="U248">
        <v>9</v>
      </c>
      <c r="V248">
        <v>-3</v>
      </c>
      <c r="W248">
        <v>3</v>
      </c>
      <c r="X248">
        <v>-53</v>
      </c>
      <c r="Y248" s="2" t="s">
        <v>137</v>
      </c>
      <c r="Z248">
        <v>41.803817938277803</v>
      </c>
      <c r="AA248">
        <v>12.5360536202419</v>
      </c>
      <c r="AB248" t="s">
        <v>78</v>
      </c>
      <c r="AC248" t="s">
        <v>81</v>
      </c>
      <c r="AD248" t="s">
        <v>82</v>
      </c>
      <c r="AE248">
        <v>156678</v>
      </c>
      <c r="AF248">
        <v>127552</v>
      </c>
      <c r="AG248">
        <v>0</v>
      </c>
      <c r="AH248">
        <v>0</v>
      </c>
      <c r="AI248">
        <v>0</v>
      </c>
      <c r="AJ248">
        <v>29126</v>
      </c>
      <c r="AK248">
        <v>0</v>
      </c>
      <c r="AL248">
        <v>1206</v>
      </c>
      <c r="AM248">
        <v>5406</v>
      </c>
      <c r="AN248">
        <v>104329</v>
      </c>
      <c r="AO248">
        <v>1076847</v>
      </c>
      <c r="AP248">
        <v>0</v>
      </c>
      <c r="AQ248">
        <v>0</v>
      </c>
      <c r="AR248">
        <v>2</v>
      </c>
      <c r="AS248">
        <v>3</v>
      </c>
      <c r="AT248">
        <v>1</v>
      </c>
      <c r="AU248">
        <v>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1</v>
      </c>
      <c r="BD248">
        <v>2</v>
      </c>
      <c r="BE248">
        <v>0</v>
      </c>
      <c r="BF248">
        <v>2</v>
      </c>
      <c r="BG248">
        <v>0</v>
      </c>
      <c r="BH248">
        <v>2</v>
      </c>
      <c r="BI248">
        <v>0</v>
      </c>
      <c r="BJ248">
        <v>41.803727899999998</v>
      </c>
      <c r="BK248">
        <v>12.535937799999999</v>
      </c>
      <c r="BL248">
        <v>100</v>
      </c>
      <c r="BM248" t="s">
        <v>83</v>
      </c>
      <c r="BN248" t="s">
        <v>84</v>
      </c>
      <c r="BO248" t="s">
        <v>85</v>
      </c>
      <c r="BP248" t="s">
        <v>86</v>
      </c>
      <c r="BQ248" t="s">
        <v>87</v>
      </c>
      <c r="BR248" t="s">
        <v>88</v>
      </c>
      <c r="BS248">
        <v>4470262</v>
      </c>
      <c r="BT248">
        <v>3887697</v>
      </c>
      <c r="BU248">
        <v>0</v>
      </c>
      <c r="BV248">
        <v>0</v>
      </c>
      <c r="BW248">
        <v>0</v>
      </c>
      <c r="BX248">
        <v>582565</v>
      </c>
      <c r="BY248">
        <v>0</v>
      </c>
      <c r="BZ248">
        <v>1</v>
      </c>
      <c r="CA248" t="s">
        <v>138</v>
      </c>
      <c r="CB248" t="s">
        <v>139</v>
      </c>
      <c r="CC248" s="3">
        <v>46092.557106481479</v>
      </c>
      <c r="CD248" t="s">
        <v>91</v>
      </c>
    </row>
    <row r="249" spans="1:82" ht="16" x14ac:dyDescent="0.2">
      <c r="A249" t="s">
        <v>1143</v>
      </c>
      <c r="B249" t="s">
        <v>217</v>
      </c>
      <c r="C249" t="s">
        <v>218</v>
      </c>
      <c r="D249" t="s">
        <v>78</v>
      </c>
      <c r="E249" t="s">
        <v>219</v>
      </c>
      <c r="F249">
        <v>2</v>
      </c>
      <c r="G249">
        <v>50</v>
      </c>
      <c r="H249" t="str">
        <f t="shared" si="22"/>
        <v>2x50</v>
      </c>
      <c r="I249">
        <v>134</v>
      </c>
      <c r="J249" s="4">
        <f t="shared" si="23"/>
        <v>6.9791666666666669E-2</v>
      </c>
      <c r="K249">
        <v>203</v>
      </c>
      <c r="L249" s="4">
        <f t="shared" si="24"/>
        <v>0.10572916666666667</v>
      </c>
      <c r="M249">
        <v>308</v>
      </c>
      <c r="N249" s="4">
        <f t="shared" si="25"/>
        <v>0.16041666666666668</v>
      </c>
      <c r="O249">
        <v>614</v>
      </c>
      <c r="P249" s="4">
        <f t="shared" si="26"/>
        <v>0.31979166666666664</v>
      </c>
      <c r="Q249" s="6">
        <f t="shared" si="21"/>
        <v>2030</v>
      </c>
      <c r="R249" s="6">
        <f t="shared" si="27"/>
        <v>3</v>
      </c>
      <c r="S249">
        <v>77</v>
      </c>
      <c r="T249">
        <v>9</v>
      </c>
      <c r="U249">
        <v>9</v>
      </c>
      <c r="V249">
        <v>56</v>
      </c>
      <c r="W249">
        <v>-4</v>
      </c>
      <c r="X249">
        <v>-22</v>
      </c>
      <c r="Y249" s="2" t="s">
        <v>220</v>
      </c>
      <c r="Z249">
        <v>45.383009795788404</v>
      </c>
      <c r="AA249">
        <v>9.1695129950985805</v>
      </c>
      <c r="AB249" t="s">
        <v>78</v>
      </c>
      <c r="AC249" t="s">
        <v>81</v>
      </c>
      <c r="AD249" t="s">
        <v>82</v>
      </c>
      <c r="AE249">
        <v>79705</v>
      </c>
      <c r="AF249">
        <v>0</v>
      </c>
      <c r="AG249">
        <v>0</v>
      </c>
      <c r="AH249">
        <v>0</v>
      </c>
      <c r="AI249">
        <v>0</v>
      </c>
      <c r="AJ249">
        <v>79705</v>
      </c>
      <c r="AK249">
        <v>0</v>
      </c>
      <c r="AL249">
        <v>10566</v>
      </c>
      <c r="AM249">
        <v>38475</v>
      </c>
      <c r="AN249">
        <v>128963</v>
      </c>
      <c r="AO249">
        <v>867369</v>
      </c>
      <c r="AP249">
        <v>0</v>
      </c>
      <c r="AQ249">
        <v>0</v>
      </c>
      <c r="AR249">
        <v>2</v>
      </c>
      <c r="AS249">
        <v>4</v>
      </c>
      <c r="AT249">
        <v>5</v>
      </c>
      <c r="AU249">
        <v>16</v>
      </c>
      <c r="AV249">
        <v>32</v>
      </c>
      <c r="AW249">
        <v>0</v>
      </c>
      <c r="AX249">
        <v>1</v>
      </c>
      <c r="AY249">
        <v>0</v>
      </c>
      <c r="AZ249">
        <v>0</v>
      </c>
      <c r="BA249">
        <v>13</v>
      </c>
      <c r="BB249">
        <v>17</v>
      </c>
      <c r="BC249">
        <v>0</v>
      </c>
      <c r="BD249">
        <v>0</v>
      </c>
      <c r="BE249">
        <v>0</v>
      </c>
      <c r="BF249">
        <v>4</v>
      </c>
      <c r="BG249">
        <v>0</v>
      </c>
      <c r="BH249">
        <v>11</v>
      </c>
      <c r="BI249">
        <v>0</v>
      </c>
      <c r="BJ249">
        <v>45.382950000000001</v>
      </c>
      <c r="BK249">
        <v>9.1695899000000001</v>
      </c>
      <c r="BL249">
        <v>100</v>
      </c>
      <c r="BM249" t="s">
        <v>83</v>
      </c>
      <c r="BN249" t="s">
        <v>84</v>
      </c>
      <c r="BO249" t="s">
        <v>85</v>
      </c>
      <c r="BP249" t="s">
        <v>107</v>
      </c>
      <c r="BQ249" t="s">
        <v>108</v>
      </c>
      <c r="BR249" t="s">
        <v>109</v>
      </c>
      <c r="BS249">
        <v>1594168</v>
      </c>
      <c r="BT249">
        <v>0</v>
      </c>
      <c r="BU249">
        <v>0</v>
      </c>
      <c r="BV249">
        <v>0</v>
      </c>
      <c r="BW249">
        <v>0</v>
      </c>
      <c r="BX249">
        <v>1594168</v>
      </c>
      <c r="BY249">
        <v>0</v>
      </c>
      <c r="BZ249">
        <v>1</v>
      </c>
      <c r="CA249" t="s">
        <v>221</v>
      </c>
      <c r="CB249" t="s">
        <v>222</v>
      </c>
      <c r="CC249" s="3">
        <v>46092.557106481479</v>
      </c>
      <c r="CD249" t="s">
        <v>91</v>
      </c>
    </row>
    <row r="250" spans="1:82" ht="16" x14ac:dyDescent="0.2">
      <c r="A250" t="s">
        <v>1145</v>
      </c>
      <c r="B250" t="s">
        <v>141</v>
      </c>
      <c r="C250" t="s">
        <v>142</v>
      </c>
      <c r="D250" t="s">
        <v>78</v>
      </c>
      <c r="E250" t="s">
        <v>143</v>
      </c>
      <c r="F250">
        <v>2</v>
      </c>
      <c r="G250">
        <v>50</v>
      </c>
      <c r="H250" t="str">
        <f t="shared" si="22"/>
        <v>2x50</v>
      </c>
      <c r="I250">
        <v>131</v>
      </c>
      <c r="J250" s="4">
        <f t="shared" si="23"/>
        <v>6.822916666666666E-2</v>
      </c>
      <c r="K250">
        <v>198</v>
      </c>
      <c r="L250" s="4">
        <f t="shared" si="24"/>
        <v>0.10312500000000001</v>
      </c>
      <c r="M250">
        <v>301</v>
      </c>
      <c r="N250" s="4">
        <f t="shared" si="25"/>
        <v>0.15677083333333333</v>
      </c>
      <c r="O250">
        <v>600</v>
      </c>
      <c r="P250" s="4">
        <f t="shared" si="26"/>
        <v>0.3125</v>
      </c>
      <c r="Q250" s="6">
        <f t="shared" si="21"/>
        <v>2030</v>
      </c>
      <c r="R250" s="6">
        <f t="shared" si="27"/>
        <v>3</v>
      </c>
      <c r="S250">
        <v>77</v>
      </c>
      <c r="T250">
        <v>106</v>
      </c>
      <c r="U250">
        <v>-2</v>
      </c>
      <c r="V250">
        <v>-3</v>
      </c>
      <c r="W250">
        <v>-16</v>
      </c>
      <c r="X250">
        <v>-59</v>
      </c>
      <c r="Y250" s="2" t="s">
        <v>144</v>
      </c>
      <c r="Z250">
        <v>45.568136038612302</v>
      </c>
      <c r="AA250">
        <v>9.3606754183960295</v>
      </c>
      <c r="AB250" t="s">
        <v>78</v>
      </c>
      <c r="AC250" t="s">
        <v>81</v>
      </c>
      <c r="AD250" t="s">
        <v>82</v>
      </c>
      <c r="AE250">
        <v>327443</v>
      </c>
      <c r="AF250">
        <v>244059</v>
      </c>
      <c r="AG250">
        <v>0</v>
      </c>
      <c r="AH250">
        <v>46114</v>
      </c>
      <c r="AI250">
        <v>20734</v>
      </c>
      <c r="AJ250">
        <v>14126</v>
      </c>
      <c r="AK250">
        <v>2410</v>
      </c>
      <c r="AL250">
        <v>4975</v>
      </c>
      <c r="AM250">
        <v>22296</v>
      </c>
      <c r="AN250">
        <v>135209</v>
      </c>
      <c r="AO250">
        <v>665201</v>
      </c>
      <c r="AP250">
        <v>1</v>
      </c>
      <c r="AQ250">
        <v>2</v>
      </c>
      <c r="AR250">
        <v>4</v>
      </c>
      <c r="AS250">
        <v>2</v>
      </c>
      <c r="AT250">
        <v>0</v>
      </c>
      <c r="AU250">
        <v>15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11</v>
      </c>
      <c r="BB250">
        <v>34</v>
      </c>
      <c r="BC250">
        <v>2</v>
      </c>
      <c r="BD250">
        <v>5</v>
      </c>
      <c r="BE250">
        <v>4</v>
      </c>
      <c r="BF250">
        <v>7</v>
      </c>
      <c r="BG250">
        <v>4</v>
      </c>
      <c r="BH250">
        <v>13</v>
      </c>
      <c r="BI250">
        <v>14</v>
      </c>
      <c r="BJ250">
        <v>45.568189400000001</v>
      </c>
      <c r="BK250">
        <v>9.3606765000000003</v>
      </c>
      <c r="BL250">
        <v>100</v>
      </c>
      <c r="BM250" t="s">
        <v>83</v>
      </c>
      <c r="BN250" t="s">
        <v>84</v>
      </c>
      <c r="BO250" t="s">
        <v>85</v>
      </c>
      <c r="BP250" t="s">
        <v>107</v>
      </c>
      <c r="BQ250" t="s">
        <v>108</v>
      </c>
      <c r="BR250" t="s">
        <v>145</v>
      </c>
      <c r="BS250">
        <v>8704894</v>
      </c>
      <c r="BT250">
        <v>7037009</v>
      </c>
      <c r="BU250">
        <v>0</v>
      </c>
      <c r="BV250">
        <v>922319</v>
      </c>
      <c r="BW250">
        <v>414700</v>
      </c>
      <c r="BX250">
        <v>282618</v>
      </c>
      <c r="BY250">
        <v>48248</v>
      </c>
      <c r="BZ250">
        <v>1</v>
      </c>
      <c r="CA250" t="s">
        <v>146</v>
      </c>
      <c r="CB250" t="s">
        <v>147</v>
      </c>
      <c r="CC250" s="3">
        <v>46092.557106481479</v>
      </c>
      <c r="CD250" t="s">
        <v>91</v>
      </c>
    </row>
    <row r="251" spans="1:82" ht="16" x14ac:dyDescent="0.2">
      <c r="A251" t="s">
        <v>1154</v>
      </c>
      <c r="B251" t="s">
        <v>192</v>
      </c>
      <c r="C251" t="s">
        <v>193</v>
      </c>
      <c r="D251" t="s">
        <v>78</v>
      </c>
      <c r="E251" t="s">
        <v>194</v>
      </c>
      <c r="F251">
        <v>2</v>
      </c>
      <c r="G251">
        <v>50</v>
      </c>
      <c r="H251" t="str">
        <f t="shared" si="22"/>
        <v>2x50</v>
      </c>
      <c r="I251">
        <v>125</v>
      </c>
      <c r="J251" s="4">
        <f t="shared" si="23"/>
        <v>6.5104166666666671E-2</v>
      </c>
      <c r="K251">
        <v>188</v>
      </c>
      <c r="L251" s="4">
        <f t="shared" si="24"/>
        <v>9.7916666666666666E-2</v>
      </c>
      <c r="M251">
        <v>286</v>
      </c>
      <c r="N251" s="4">
        <f t="shared" si="25"/>
        <v>0.14895833333333333</v>
      </c>
      <c r="O251">
        <v>570</v>
      </c>
      <c r="P251" s="4">
        <f t="shared" si="26"/>
        <v>0.296875</v>
      </c>
      <c r="Q251" s="6">
        <f t="shared" si="21"/>
        <v>2030</v>
      </c>
      <c r="R251" s="6">
        <f t="shared" si="27"/>
        <v>3</v>
      </c>
      <c r="S251">
        <v>77</v>
      </c>
      <c r="T251">
        <v>29</v>
      </c>
      <c r="U251">
        <v>-7</v>
      </c>
      <c r="V251">
        <v>24</v>
      </c>
      <c r="W251">
        <v>23</v>
      </c>
      <c r="X251">
        <v>-39</v>
      </c>
      <c r="Y251" s="2" t="s">
        <v>195</v>
      </c>
      <c r="Z251">
        <v>45.5524494</v>
      </c>
      <c r="AA251">
        <v>10.7834003</v>
      </c>
      <c r="AB251" t="s">
        <v>78</v>
      </c>
      <c r="AC251" t="s">
        <v>81</v>
      </c>
      <c r="AD251" t="s">
        <v>82</v>
      </c>
      <c r="AE251">
        <v>125801</v>
      </c>
      <c r="AF251">
        <v>75777</v>
      </c>
      <c r="AG251">
        <v>0</v>
      </c>
      <c r="AH251">
        <v>24713</v>
      </c>
      <c r="AI251">
        <v>0</v>
      </c>
      <c r="AJ251">
        <v>25311</v>
      </c>
      <c r="AK251">
        <v>0</v>
      </c>
      <c r="AL251">
        <v>1402</v>
      </c>
      <c r="AM251">
        <v>4617</v>
      </c>
      <c r="AN251">
        <v>23909</v>
      </c>
      <c r="AO251">
        <v>80597</v>
      </c>
      <c r="AP251">
        <v>4</v>
      </c>
      <c r="AQ251">
        <v>0</v>
      </c>
      <c r="AR251">
        <v>5</v>
      </c>
      <c r="AS251">
        <v>30</v>
      </c>
      <c r="AT251">
        <v>0</v>
      </c>
      <c r="AU251">
        <v>15</v>
      </c>
      <c r="AV251">
        <v>5</v>
      </c>
      <c r="AW251">
        <v>0</v>
      </c>
      <c r="AX251">
        <v>1</v>
      </c>
      <c r="AY251">
        <v>0</v>
      </c>
      <c r="AZ251">
        <v>0</v>
      </c>
      <c r="BA251">
        <v>9</v>
      </c>
      <c r="BB251">
        <v>13</v>
      </c>
      <c r="BC251">
        <v>7</v>
      </c>
      <c r="BD251">
        <v>2</v>
      </c>
      <c r="BE251">
        <v>54</v>
      </c>
      <c r="BF251">
        <v>2</v>
      </c>
      <c r="BG251">
        <v>54</v>
      </c>
      <c r="BH251">
        <v>2</v>
      </c>
      <c r="BI251">
        <v>58</v>
      </c>
      <c r="BJ251">
        <v>45.552549999999997</v>
      </c>
      <c r="BK251">
        <v>10.783200000000001</v>
      </c>
      <c r="BL251">
        <v>100</v>
      </c>
      <c r="BM251" t="s">
        <v>83</v>
      </c>
      <c r="BN251" t="s">
        <v>84</v>
      </c>
      <c r="BO251" t="s">
        <v>85</v>
      </c>
      <c r="BP251" t="s">
        <v>160</v>
      </c>
      <c r="BQ251" t="s">
        <v>161</v>
      </c>
      <c r="BR251" t="s">
        <v>162</v>
      </c>
      <c r="BS251">
        <v>2926530</v>
      </c>
      <c r="BT251">
        <v>1926008</v>
      </c>
      <c r="BU251">
        <v>0</v>
      </c>
      <c r="BV251">
        <v>494263</v>
      </c>
      <c r="BW251">
        <v>0</v>
      </c>
      <c r="BX251">
        <v>506259</v>
      </c>
      <c r="BY251">
        <v>0</v>
      </c>
      <c r="BZ251">
        <v>1</v>
      </c>
      <c r="CA251" t="s">
        <v>196</v>
      </c>
      <c r="CB251" t="s">
        <v>197</v>
      </c>
      <c r="CC251" s="3">
        <v>46092.557106481479</v>
      </c>
      <c r="CD251" t="s">
        <v>91</v>
      </c>
    </row>
    <row r="252" spans="1:82" ht="16" x14ac:dyDescent="0.2">
      <c r="A252" t="s">
        <v>1160</v>
      </c>
      <c r="B252" t="s">
        <v>120</v>
      </c>
      <c r="C252" t="s">
        <v>121</v>
      </c>
      <c r="D252" t="s">
        <v>78</v>
      </c>
      <c r="E252" t="s">
        <v>122</v>
      </c>
      <c r="F252">
        <v>2</v>
      </c>
      <c r="G252">
        <v>50</v>
      </c>
      <c r="H252" t="str">
        <f t="shared" si="22"/>
        <v>2x50</v>
      </c>
      <c r="I252">
        <v>118</v>
      </c>
      <c r="J252" s="4">
        <f t="shared" si="23"/>
        <v>6.1458333333333337E-2</v>
      </c>
      <c r="K252">
        <v>179</v>
      </c>
      <c r="L252" s="4">
        <f t="shared" si="24"/>
        <v>9.3229166666666655E-2</v>
      </c>
      <c r="M252">
        <v>271</v>
      </c>
      <c r="N252" s="4">
        <f t="shared" si="25"/>
        <v>0.14114583333333333</v>
      </c>
      <c r="O252">
        <v>541</v>
      </c>
      <c r="P252" s="4">
        <f t="shared" si="26"/>
        <v>0.28177083333333336</v>
      </c>
      <c r="Q252" s="6">
        <f t="shared" si="21"/>
        <v>2030</v>
      </c>
      <c r="R252" s="6">
        <f t="shared" si="27"/>
        <v>3</v>
      </c>
      <c r="S252">
        <v>77</v>
      </c>
      <c r="T252">
        <v>91</v>
      </c>
      <c r="U252">
        <v>-3</v>
      </c>
      <c r="V252">
        <v>-6</v>
      </c>
      <c r="W252">
        <v>-5</v>
      </c>
      <c r="X252">
        <v>-69</v>
      </c>
      <c r="Y252" s="2" t="s">
        <v>123</v>
      </c>
      <c r="Z252">
        <v>45.600717259890203</v>
      </c>
      <c r="AA252">
        <v>8.9451213134946101</v>
      </c>
      <c r="AB252" t="s">
        <v>78</v>
      </c>
      <c r="AC252" t="s">
        <v>81</v>
      </c>
      <c r="AD252" t="s">
        <v>82</v>
      </c>
      <c r="AE252">
        <v>252942</v>
      </c>
      <c r="AF252">
        <v>157355</v>
      </c>
      <c r="AG252">
        <v>0</v>
      </c>
      <c r="AH252">
        <v>57281</v>
      </c>
      <c r="AI252">
        <v>20959</v>
      </c>
      <c r="AJ252">
        <v>11524</v>
      </c>
      <c r="AK252">
        <v>5823</v>
      </c>
      <c r="AL252">
        <v>8622</v>
      </c>
      <c r="AM252">
        <v>36627</v>
      </c>
      <c r="AN252">
        <v>161039</v>
      </c>
      <c r="AO252">
        <v>539952</v>
      </c>
      <c r="AP252">
        <v>1</v>
      </c>
      <c r="AQ252">
        <v>0</v>
      </c>
      <c r="AR252">
        <v>8</v>
      </c>
      <c r="AS252">
        <v>3</v>
      </c>
      <c r="AT252">
        <v>1</v>
      </c>
      <c r="AU252">
        <v>29</v>
      </c>
      <c r="AV252">
        <v>2</v>
      </c>
      <c r="AW252">
        <v>2</v>
      </c>
      <c r="AX252">
        <v>2</v>
      </c>
      <c r="AY252">
        <v>0</v>
      </c>
      <c r="AZ252">
        <v>0</v>
      </c>
      <c r="BA252">
        <v>1</v>
      </c>
      <c r="BB252">
        <v>9</v>
      </c>
      <c r="BC252">
        <v>1</v>
      </c>
      <c r="BD252">
        <v>4</v>
      </c>
      <c r="BE252">
        <v>0</v>
      </c>
      <c r="BF252">
        <v>4</v>
      </c>
      <c r="BG252">
        <v>0</v>
      </c>
      <c r="BH252">
        <v>13</v>
      </c>
      <c r="BI252">
        <v>0</v>
      </c>
      <c r="BJ252">
        <v>45.600919900000001</v>
      </c>
      <c r="BK252">
        <v>8.9449299</v>
      </c>
      <c r="BL252">
        <v>100</v>
      </c>
      <c r="BM252" t="s">
        <v>83</v>
      </c>
      <c r="BN252" t="s">
        <v>84</v>
      </c>
      <c r="BO252" t="s">
        <v>85</v>
      </c>
      <c r="BP252" t="s">
        <v>107</v>
      </c>
      <c r="BQ252" t="s">
        <v>108</v>
      </c>
      <c r="BR252" t="s">
        <v>109</v>
      </c>
      <c r="BS252">
        <v>6789902</v>
      </c>
      <c r="BT252">
        <v>4878027</v>
      </c>
      <c r="BU252">
        <v>0</v>
      </c>
      <c r="BV252">
        <v>1145646</v>
      </c>
      <c r="BW252">
        <v>419196</v>
      </c>
      <c r="BX252">
        <v>230560</v>
      </c>
      <c r="BY252">
        <v>116473</v>
      </c>
      <c r="BZ252">
        <v>1</v>
      </c>
      <c r="CA252" t="s">
        <v>124</v>
      </c>
      <c r="CB252" t="s">
        <v>125</v>
      </c>
      <c r="CC252" s="3">
        <v>46092.557106481479</v>
      </c>
      <c r="CD252" t="s">
        <v>91</v>
      </c>
    </row>
    <row r="253" spans="1:82" ht="16" x14ac:dyDescent="0.2">
      <c r="A253" t="s">
        <v>261</v>
      </c>
      <c r="B253" t="s">
        <v>262</v>
      </c>
      <c r="C253" t="s">
        <v>263</v>
      </c>
      <c r="D253" t="s">
        <v>78</v>
      </c>
      <c r="E253" t="s">
        <v>264</v>
      </c>
      <c r="F253">
        <v>4</v>
      </c>
      <c r="G253">
        <v>300</v>
      </c>
      <c r="H253" t="str">
        <f t="shared" si="22"/>
        <v>4x300</v>
      </c>
      <c r="I253">
        <v>433</v>
      </c>
      <c r="J253" s="4">
        <f t="shared" si="23"/>
        <v>6.0138888888888888E-2</v>
      </c>
      <c r="K253">
        <v>654</v>
      </c>
      <c r="L253" s="4">
        <f t="shared" si="24"/>
        <v>9.0833333333333335E-2</v>
      </c>
      <c r="M253">
        <v>992</v>
      </c>
      <c r="N253" s="4">
        <f t="shared" si="25"/>
        <v>0.13777777777777778</v>
      </c>
      <c r="O253">
        <v>1980</v>
      </c>
      <c r="P253" s="4">
        <f t="shared" si="26"/>
        <v>0.27499999999999997</v>
      </c>
      <c r="Q253" s="6">
        <f t="shared" si="21"/>
        <v>2035</v>
      </c>
      <c r="R253" s="6">
        <f t="shared" si="27"/>
        <v>4</v>
      </c>
      <c r="S253">
        <v>245</v>
      </c>
      <c r="T253">
        <v>57</v>
      </c>
      <c r="U253">
        <v>19</v>
      </c>
      <c r="V253">
        <v>70</v>
      </c>
      <c r="W253">
        <v>-13</v>
      </c>
      <c r="X253">
        <v>94</v>
      </c>
      <c r="Y253" s="2" t="s">
        <v>265</v>
      </c>
      <c r="Z253">
        <v>44.491330369863803</v>
      </c>
      <c r="AA253">
        <v>11.423220410751499</v>
      </c>
      <c r="AB253" t="s">
        <v>78</v>
      </c>
      <c r="AC253" t="s">
        <v>81</v>
      </c>
      <c r="AD253" t="s">
        <v>82</v>
      </c>
      <c r="AE253">
        <v>19257</v>
      </c>
      <c r="AF253">
        <v>0</v>
      </c>
      <c r="AG253">
        <v>0</v>
      </c>
      <c r="AH253">
        <v>0</v>
      </c>
      <c r="AI253">
        <v>11817</v>
      </c>
      <c r="AJ253">
        <v>1667</v>
      </c>
      <c r="AK253">
        <v>5773</v>
      </c>
      <c r="AL253">
        <v>1585</v>
      </c>
      <c r="AM253">
        <v>7517</v>
      </c>
      <c r="AN253">
        <v>166841</v>
      </c>
      <c r="AO253">
        <v>427744</v>
      </c>
      <c r="AP253">
        <v>1</v>
      </c>
      <c r="AQ253">
        <v>1</v>
      </c>
      <c r="AR253">
        <v>6</v>
      </c>
      <c r="AS253">
        <v>39</v>
      </c>
      <c r="AT253">
        <v>2</v>
      </c>
      <c r="AU253">
        <v>10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18</v>
      </c>
      <c r="BB253">
        <v>41</v>
      </c>
      <c r="BC253">
        <v>12</v>
      </c>
      <c r="BD253">
        <v>2</v>
      </c>
      <c r="BE253">
        <v>0</v>
      </c>
      <c r="BF253">
        <v>2</v>
      </c>
      <c r="BG253">
        <v>0</v>
      </c>
      <c r="BH253">
        <v>6</v>
      </c>
      <c r="BI253">
        <v>4</v>
      </c>
      <c r="BJ253">
        <v>44.49136</v>
      </c>
      <c r="BK253">
        <v>11.423249999999999</v>
      </c>
      <c r="BL253">
        <v>1200</v>
      </c>
      <c r="BM253" t="s">
        <v>83</v>
      </c>
      <c r="BN253" t="s">
        <v>84</v>
      </c>
      <c r="BO253" t="s">
        <v>85</v>
      </c>
      <c r="BP253" t="s">
        <v>160</v>
      </c>
      <c r="BQ253" t="s">
        <v>170</v>
      </c>
      <c r="BR253" t="s">
        <v>266</v>
      </c>
      <c r="BS253">
        <v>385188</v>
      </c>
      <c r="BT253">
        <v>0</v>
      </c>
      <c r="BU253">
        <v>0</v>
      </c>
      <c r="BV253">
        <v>0</v>
      </c>
      <c r="BW253">
        <v>236364</v>
      </c>
      <c r="BX253">
        <v>33346</v>
      </c>
      <c r="BY253">
        <v>115478</v>
      </c>
      <c r="BZ253">
        <v>1</v>
      </c>
      <c r="CA253" t="s">
        <v>267</v>
      </c>
      <c r="CB253" t="s">
        <v>268</v>
      </c>
      <c r="CC253" s="3">
        <v>46092.557106481479</v>
      </c>
      <c r="CD253" t="s">
        <v>91</v>
      </c>
    </row>
    <row r="254" spans="1:82" ht="16" x14ac:dyDescent="0.2">
      <c r="A254" t="s">
        <v>269</v>
      </c>
      <c r="B254" t="s">
        <v>270</v>
      </c>
      <c r="C254" t="s">
        <v>271</v>
      </c>
      <c r="D254" t="s">
        <v>78</v>
      </c>
      <c r="E254" t="s">
        <v>272</v>
      </c>
      <c r="F254">
        <v>4</v>
      </c>
      <c r="G254">
        <v>300</v>
      </c>
      <c r="H254" t="str">
        <f t="shared" si="22"/>
        <v>4x300</v>
      </c>
      <c r="I254">
        <v>422</v>
      </c>
      <c r="J254" s="4">
        <f t="shared" si="23"/>
        <v>5.8611111111111114E-2</v>
      </c>
      <c r="K254">
        <v>637</v>
      </c>
      <c r="L254" s="4">
        <f t="shared" si="24"/>
        <v>8.847222222222223E-2</v>
      </c>
      <c r="M254">
        <v>965</v>
      </c>
      <c r="N254" s="4">
        <f t="shared" si="25"/>
        <v>0.13402777777777777</v>
      </c>
      <c r="O254">
        <v>1926</v>
      </c>
      <c r="P254" s="4">
        <f t="shared" si="26"/>
        <v>0.26750000000000002</v>
      </c>
      <c r="Q254" s="6">
        <f t="shared" si="21"/>
        <v>2035</v>
      </c>
      <c r="R254" s="6">
        <f t="shared" si="27"/>
        <v>4</v>
      </c>
      <c r="S254">
        <v>245</v>
      </c>
      <c r="T254">
        <v>108</v>
      </c>
      <c r="U254">
        <v>19</v>
      </c>
      <c r="V254">
        <v>-13</v>
      </c>
      <c r="W254">
        <v>-4</v>
      </c>
      <c r="X254">
        <v>115</v>
      </c>
      <c r="Y254" s="2" t="s">
        <v>273</v>
      </c>
      <c r="Z254">
        <v>45.004628760000003</v>
      </c>
      <c r="AA254">
        <v>7.673297228</v>
      </c>
      <c r="AB254" t="s">
        <v>78</v>
      </c>
      <c r="AC254" t="s">
        <v>81</v>
      </c>
      <c r="AD254" t="s">
        <v>82</v>
      </c>
      <c r="AE254">
        <v>97999</v>
      </c>
      <c r="AF254">
        <v>22783</v>
      </c>
      <c r="AG254">
        <v>0</v>
      </c>
      <c r="AH254">
        <v>36351</v>
      </c>
      <c r="AI254">
        <v>32660</v>
      </c>
      <c r="AJ254">
        <v>2777</v>
      </c>
      <c r="AK254">
        <v>3428</v>
      </c>
      <c r="AL254">
        <v>13776</v>
      </c>
      <c r="AM254">
        <v>59105</v>
      </c>
      <c r="AN254">
        <v>274389</v>
      </c>
      <c r="AO254">
        <v>919379</v>
      </c>
      <c r="AP254">
        <v>7</v>
      </c>
      <c r="AQ254">
        <v>0</v>
      </c>
      <c r="AR254">
        <v>3</v>
      </c>
      <c r="AS254">
        <v>7</v>
      </c>
      <c r="AT254">
        <v>4</v>
      </c>
      <c r="AU254">
        <v>31</v>
      </c>
      <c r="AV254">
        <v>3</v>
      </c>
      <c r="AW254">
        <v>1</v>
      </c>
      <c r="AX254">
        <v>0</v>
      </c>
      <c r="AY254">
        <v>0</v>
      </c>
      <c r="AZ254">
        <v>0</v>
      </c>
      <c r="BA254">
        <v>3</v>
      </c>
      <c r="BB254">
        <v>60</v>
      </c>
      <c r="BC254">
        <v>1</v>
      </c>
      <c r="BD254">
        <v>2</v>
      </c>
      <c r="BE254">
        <v>0</v>
      </c>
      <c r="BF254">
        <v>2</v>
      </c>
      <c r="BG254">
        <v>0</v>
      </c>
      <c r="BH254">
        <v>14</v>
      </c>
      <c r="BI254">
        <v>0</v>
      </c>
      <c r="BJ254">
        <v>45.004663899999997</v>
      </c>
      <c r="BK254">
        <v>7.6733604</v>
      </c>
      <c r="BL254">
        <v>1200</v>
      </c>
      <c r="BM254" t="s">
        <v>83</v>
      </c>
      <c r="BN254" t="s">
        <v>84</v>
      </c>
      <c r="BO254" t="s">
        <v>85</v>
      </c>
      <c r="BP254" t="s">
        <v>107</v>
      </c>
      <c r="BQ254" t="s">
        <v>203</v>
      </c>
      <c r="BR254" t="s">
        <v>204</v>
      </c>
      <c r="BS254">
        <v>2225227</v>
      </c>
      <c r="BT254">
        <v>592381</v>
      </c>
      <c r="BU254">
        <v>0</v>
      </c>
      <c r="BV254">
        <v>855461</v>
      </c>
      <c r="BW254">
        <v>653247</v>
      </c>
      <c r="BX254">
        <v>55551</v>
      </c>
      <c r="BY254">
        <v>68587</v>
      </c>
      <c r="BZ254">
        <v>1</v>
      </c>
      <c r="CA254" t="s">
        <v>274</v>
      </c>
      <c r="CB254" t="s">
        <v>275</v>
      </c>
      <c r="CC254" s="3">
        <v>46092.557106481479</v>
      </c>
      <c r="CD254" t="s">
        <v>91</v>
      </c>
    </row>
    <row r="255" spans="1:82" ht="16" x14ac:dyDescent="0.2">
      <c r="A255" t="s">
        <v>276</v>
      </c>
      <c r="B255" t="s">
        <v>277</v>
      </c>
      <c r="C255" t="s">
        <v>278</v>
      </c>
      <c r="D255" t="s">
        <v>78</v>
      </c>
      <c r="E255" t="s">
        <v>279</v>
      </c>
      <c r="F255">
        <v>4</v>
      </c>
      <c r="G255">
        <v>300</v>
      </c>
      <c r="H255" t="str">
        <f t="shared" si="22"/>
        <v>4x300</v>
      </c>
      <c r="I255">
        <v>404</v>
      </c>
      <c r="J255" s="4">
        <f t="shared" si="23"/>
        <v>5.6111111111111112E-2</v>
      </c>
      <c r="K255">
        <v>610</v>
      </c>
      <c r="L255" s="4">
        <f t="shared" si="24"/>
        <v>8.4722222222222213E-2</v>
      </c>
      <c r="M255">
        <v>925</v>
      </c>
      <c r="N255" s="4">
        <f t="shared" si="25"/>
        <v>0.12847222222222224</v>
      </c>
      <c r="O255">
        <v>1845</v>
      </c>
      <c r="P255" s="4">
        <f t="shared" si="26"/>
        <v>0.25625000000000003</v>
      </c>
      <c r="Q255" s="6">
        <f t="shared" si="21"/>
        <v>2035</v>
      </c>
      <c r="R255" s="6">
        <f t="shared" si="27"/>
        <v>4</v>
      </c>
      <c r="S255">
        <v>245</v>
      </c>
      <c r="T255">
        <v>58</v>
      </c>
      <c r="U255">
        <v>3</v>
      </c>
      <c r="V255">
        <v>22</v>
      </c>
      <c r="W255">
        <v>12</v>
      </c>
      <c r="X255">
        <v>109</v>
      </c>
      <c r="Y255" s="2" t="s">
        <v>280</v>
      </c>
      <c r="Z255">
        <v>45.726508951397797</v>
      </c>
      <c r="AA255">
        <v>9.06701614907705</v>
      </c>
      <c r="AB255" t="s">
        <v>78</v>
      </c>
      <c r="AC255" t="s">
        <v>81</v>
      </c>
      <c r="AD255" t="s">
        <v>82</v>
      </c>
      <c r="AE255">
        <v>46743</v>
      </c>
      <c r="AF255">
        <v>0</v>
      </c>
      <c r="AG255">
        <v>0</v>
      </c>
      <c r="AH255">
        <v>16238</v>
      </c>
      <c r="AI255">
        <v>18056</v>
      </c>
      <c r="AJ255">
        <v>8349</v>
      </c>
      <c r="AK255">
        <v>4100</v>
      </c>
      <c r="AL255">
        <v>4046</v>
      </c>
      <c r="AM255">
        <v>10944</v>
      </c>
      <c r="AN255">
        <v>87536</v>
      </c>
      <c r="AO255">
        <v>383559</v>
      </c>
      <c r="AP255">
        <v>0</v>
      </c>
      <c r="AQ255">
        <v>1</v>
      </c>
      <c r="AR255">
        <v>4</v>
      </c>
      <c r="AS255">
        <v>8</v>
      </c>
      <c r="AT255">
        <v>2</v>
      </c>
      <c r="AU255">
        <v>6</v>
      </c>
      <c r="AV255">
        <v>2</v>
      </c>
      <c r="AW255">
        <v>1</v>
      </c>
      <c r="AX255">
        <v>1</v>
      </c>
      <c r="AY255">
        <v>0</v>
      </c>
      <c r="AZ255">
        <v>0</v>
      </c>
      <c r="BA255">
        <v>9</v>
      </c>
      <c r="BB255">
        <v>9</v>
      </c>
      <c r="BC255">
        <v>7</v>
      </c>
      <c r="BD255">
        <v>0</v>
      </c>
      <c r="BE255">
        <v>0</v>
      </c>
      <c r="BF255">
        <v>2</v>
      </c>
      <c r="BG255">
        <v>0</v>
      </c>
      <c r="BH255">
        <v>2</v>
      </c>
      <c r="BI255">
        <v>0</v>
      </c>
      <c r="BJ255">
        <v>45.726507400000003</v>
      </c>
      <c r="BK255">
        <v>9.0669971</v>
      </c>
      <c r="BL255">
        <v>1200</v>
      </c>
      <c r="BM255" t="s">
        <v>83</v>
      </c>
      <c r="BN255" t="s">
        <v>84</v>
      </c>
      <c r="BO255" t="s">
        <v>85</v>
      </c>
      <c r="BP255" t="s">
        <v>107</v>
      </c>
      <c r="BQ255" t="s">
        <v>108</v>
      </c>
      <c r="BR255" t="s">
        <v>281</v>
      </c>
      <c r="BS255">
        <v>934986</v>
      </c>
      <c r="BT255">
        <v>0</v>
      </c>
      <c r="BU255">
        <v>0</v>
      </c>
      <c r="BV255">
        <v>324781</v>
      </c>
      <c r="BW255">
        <v>361151</v>
      </c>
      <c r="BX255">
        <v>167013</v>
      </c>
      <c r="BY255">
        <v>82041</v>
      </c>
      <c r="BZ255">
        <v>1</v>
      </c>
      <c r="CA255" t="s">
        <v>282</v>
      </c>
      <c r="CB255" t="s">
        <v>283</v>
      </c>
      <c r="CC255" s="3">
        <v>46092.557106481479</v>
      </c>
      <c r="CD255" t="s">
        <v>91</v>
      </c>
    </row>
    <row r="256" spans="1:82" ht="16" x14ac:dyDescent="0.2">
      <c r="A256" t="s">
        <v>284</v>
      </c>
      <c r="B256" t="s">
        <v>285</v>
      </c>
      <c r="C256" t="s">
        <v>286</v>
      </c>
      <c r="D256" t="s">
        <v>78</v>
      </c>
      <c r="E256" t="s">
        <v>287</v>
      </c>
      <c r="F256">
        <v>4</v>
      </c>
      <c r="G256">
        <v>300</v>
      </c>
      <c r="H256" t="str">
        <f t="shared" si="22"/>
        <v>4x300</v>
      </c>
      <c r="I256">
        <v>394</v>
      </c>
      <c r="J256" s="4">
        <f t="shared" si="23"/>
        <v>5.4722222222222221E-2</v>
      </c>
      <c r="K256">
        <v>595</v>
      </c>
      <c r="L256" s="4">
        <f t="shared" si="24"/>
        <v>8.2638888888888887E-2</v>
      </c>
      <c r="M256">
        <v>902</v>
      </c>
      <c r="N256" s="4">
        <f t="shared" si="25"/>
        <v>0.12527777777777779</v>
      </c>
      <c r="O256">
        <v>1800</v>
      </c>
      <c r="P256" s="4">
        <f t="shared" si="26"/>
        <v>0.25</v>
      </c>
      <c r="Q256" s="6">
        <f t="shared" si="21"/>
        <v>2035</v>
      </c>
      <c r="R256" s="6">
        <f t="shared" si="27"/>
        <v>4</v>
      </c>
      <c r="S256">
        <v>245</v>
      </c>
      <c r="T256">
        <v>138</v>
      </c>
      <c r="U256">
        <v>-28</v>
      </c>
      <c r="V256">
        <v>-15</v>
      </c>
      <c r="W256">
        <v>-20</v>
      </c>
      <c r="X256">
        <v>124</v>
      </c>
      <c r="Y256" s="2" t="s">
        <v>288</v>
      </c>
      <c r="Z256">
        <v>45.166981</v>
      </c>
      <c r="AA256">
        <v>10.85084</v>
      </c>
      <c r="AB256" t="s">
        <v>78</v>
      </c>
      <c r="AC256" t="s">
        <v>81</v>
      </c>
      <c r="AD256" t="s">
        <v>82</v>
      </c>
      <c r="AE256">
        <v>121884</v>
      </c>
      <c r="AF256">
        <v>76247</v>
      </c>
      <c r="AG256">
        <v>16807</v>
      </c>
      <c r="AH256">
        <v>23765</v>
      </c>
      <c r="AI256">
        <v>0</v>
      </c>
      <c r="AJ256">
        <v>5065</v>
      </c>
      <c r="AK256">
        <v>0</v>
      </c>
      <c r="AL256">
        <v>3572</v>
      </c>
      <c r="AM256">
        <v>9539</v>
      </c>
      <c r="AN256">
        <v>39378</v>
      </c>
      <c r="AO256">
        <v>115707</v>
      </c>
      <c r="AP256">
        <v>1</v>
      </c>
      <c r="AQ256">
        <v>3</v>
      </c>
      <c r="AR256">
        <v>4</v>
      </c>
      <c r="AS256">
        <v>7</v>
      </c>
      <c r="AT256">
        <v>1</v>
      </c>
      <c r="AU256">
        <v>12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4</v>
      </c>
      <c r="BB256">
        <v>11</v>
      </c>
      <c r="BC256">
        <v>4</v>
      </c>
      <c r="BD256">
        <v>4</v>
      </c>
      <c r="BE256">
        <v>8</v>
      </c>
      <c r="BF256">
        <v>4</v>
      </c>
      <c r="BG256">
        <v>8</v>
      </c>
      <c r="BH256">
        <v>6</v>
      </c>
      <c r="BI256">
        <v>8</v>
      </c>
      <c r="BJ256">
        <v>45.166930000000001</v>
      </c>
      <c r="BK256">
        <v>10.850869899999999</v>
      </c>
      <c r="BL256">
        <v>1200</v>
      </c>
      <c r="BM256" t="s">
        <v>83</v>
      </c>
      <c r="BN256" t="s">
        <v>84</v>
      </c>
      <c r="BO256" t="s">
        <v>85</v>
      </c>
      <c r="BP256" t="s">
        <v>107</v>
      </c>
      <c r="BQ256" t="s">
        <v>108</v>
      </c>
      <c r="BR256" t="s">
        <v>289</v>
      </c>
      <c r="BS256">
        <v>2895299</v>
      </c>
      <c r="BT256">
        <v>1982461</v>
      </c>
      <c r="BU256">
        <v>336162</v>
      </c>
      <c r="BV256">
        <v>475320</v>
      </c>
      <c r="BW256">
        <v>0</v>
      </c>
      <c r="BX256">
        <v>101356</v>
      </c>
      <c r="BY256">
        <v>0</v>
      </c>
      <c r="BZ256">
        <v>1</v>
      </c>
      <c r="CA256" t="s">
        <v>290</v>
      </c>
      <c r="CB256" t="s">
        <v>291</v>
      </c>
      <c r="CC256" s="3">
        <v>46092.557106481479</v>
      </c>
      <c r="CD256" t="s">
        <v>91</v>
      </c>
    </row>
    <row r="257" spans="1:82" ht="16" x14ac:dyDescent="0.2">
      <c r="A257" t="s">
        <v>292</v>
      </c>
      <c r="B257" t="s">
        <v>293</v>
      </c>
      <c r="C257" t="s">
        <v>294</v>
      </c>
      <c r="D257" t="s">
        <v>78</v>
      </c>
      <c r="E257" t="s">
        <v>295</v>
      </c>
      <c r="F257">
        <v>4</v>
      </c>
      <c r="G257">
        <v>300</v>
      </c>
      <c r="H257" t="str">
        <f t="shared" si="22"/>
        <v>4x300</v>
      </c>
      <c r="I257">
        <v>393</v>
      </c>
      <c r="J257" s="4">
        <f t="shared" si="23"/>
        <v>5.4583333333333338E-2</v>
      </c>
      <c r="K257">
        <v>593</v>
      </c>
      <c r="L257" s="4">
        <f t="shared" si="24"/>
        <v>8.2361111111111107E-2</v>
      </c>
      <c r="M257">
        <v>900</v>
      </c>
      <c r="N257" s="4">
        <f t="shared" si="25"/>
        <v>0.125</v>
      </c>
      <c r="O257">
        <v>1795</v>
      </c>
      <c r="P257" s="4">
        <f t="shared" si="26"/>
        <v>0.24930555555555556</v>
      </c>
      <c r="Q257" s="6">
        <f t="shared" si="21"/>
        <v>2035</v>
      </c>
      <c r="R257" s="6">
        <f t="shared" si="27"/>
        <v>4</v>
      </c>
      <c r="S257">
        <v>245</v>
      </c>
      <c r="T257">
        <v>95</v>
      </c>
      <c r="U257">
        <v>-2</v>
      </c>
      <c r="V257">
        <v>26</v>
      </c>
      <c r="W257">
        <v>-33</v>
      </c>
      <c r="X257">
        <v>105</v>
      </c>
      <c r="Y257" s="2" t="s">
        <v>296</v>
      </c>
      <c r="Z257">
        <v>45.640895228938</v>
      </c>
      <c r="AA257">
        <v>9.6128151914067903</v>
      </c>
      <c r="AB257" t="s">
        <v>78</v>
      </c>
      <c r="AC257" t="s">
        <v>81</v>
      </c>
      <c r="AD257" t="s">
        <v>82</v>
      </c>
      <c r="AE257">
        <v>88728</v>
      </c>
      <c r="AF257">
        <v>0</v>
      </c>
      <c r="AG257">
        <v>0</v>
      </c>
      <c r="AH257">
        <v>35237</v>
      </c>
      <c r="AI257">
        <v>41167</v>
      </c>
      <c r="AJ257">
        <v>9460</v>
      </c>
      <c r="AK257">
        <v>2864</v>
      </c>
      <c r="AL257">
        <v>3951</v>
      </c>
      <c r="AM257">
        <v>18639</v>
      </c>
      <c r="AN257">
        <v>110547</v>
      </c>
      <c r="AO257">
        <v>433309</v>
      </c>
      <c r="AP257">
        <v>0</v>
      </c>
      <c r="AQ257">
        <v>0</v>
      </c>
      <c r="AR257">
        <v>3</v>
      </c>
      <c r="AS257">
        <v>4</v>
      </c>
      <c r="AT257">
        <v>3</v>
      </c>
      <c r="AU257">
        <v>8</v>
      </c>
      <c r="AV257">
        <v>2</v>
      </c>
      <c r="AW257">
        <v>0</v>
      </c>
      <c r="AX257">
        <v>1</v>
      </c>
      <c r="AY257">
        <v>0</v>
      </c>
      <c r="AZ257">
        <v>0</v>
      </c>
      <c r="BA257">
        <v>5</v>
      </c>
      <c r="BB257">
        <v>29</v>
      </c>
      <c r="BC257">
        <v>1</v>
      </c>
      <c r="BD257">
        <v>2</v>
      </c>
      <c r="BE257">
        <v>0</v>
      </c>
      <c r="BF257">
        <v>2</v>
      </c>
      <c r="BG257">
        <v>0</v>
      </c>
      <c r="BH257">
        <v>11</v>
      </c>
      <c r="BI257">
        <v>33</v>
      </c>
      <c r="BJ257">
        <v>45.641003499999997</v>
      </c>
      <c r="BK257">
        <v>9.6129010000000008</v>
      </c>
      <c r="BL257">
        <v>1200</v>
      </c>
      <c r="BM257" t="s">
        <v>83</v>
      </c>
      <c r="BN257" t="s">
        <v>84</v>
      </c>
      <c r="BO257" t="s">
        <v>85</v>
      </c>
      <c r="BP257" t="s">
        <v>107</v>
      </c>
      <c r="BQ257" t="s">
        <v>108</v>
      </c>
      <c r="BR257" t="s">
        <v>297</v>
      </c>
      <c r="BS257">
        <v>2035930</v>
      </c>
      <c r="BT257">
        <v>0</v>
      </c>
      <c r="BU257">
        <v>0</v>
      </c>
      <c r="BV257">
        <v>821166</v>
      </c>
      <c r="BW257">
        <v>968225</v>
      </c>
      <c r="BX257">
        <v>189235</v>
      </c>
      <c r="BY257">
        <v>57304</v>
      </c>
      <c r="BZ257">
        <v>1</v>
      </c>
      <c r="CA257" t="s">
        <v>298</v>
      </c>
      <c r="CB257" t="s">
        <v>299</v>
      </c>
      <c r="CC257" s="3">
        <v>46092.557106481479</v>
      </c>
      <c r="CD257" t="s">
        <v>91</v>
      </c>
    </row>
    <row r="258" spans="1:82" ht="16" x14ac:dyDescent="0.2">
      <c r="A258" t="s">
        <v>300</v>
      </c>
      <c r="B258" t="s">
        <v>301</v>
      </c>
      <c r="C258" t="s">
        <v>302</v>
      </c>
      <c r="D258" t="s">
        <v>78</v>
      </c>
      <c r="E258" t="s">
        <v>303</v>
      </c>
      <c r="F258">
        <v>4</v>
      </c>
      <c r="G258">
        <v>300</v>
      </c>
      <c r="H258" t="str">
        <f t="shared" si="22"/>
        <v>4x300</v>
      </c>
      <c r="I258">
        <v>391</v>
      </c>
      <c r="J258" s="4">
        <f t="shared" si="23"/>
        <v>5.4305555555555551E-2</v>
      </c>
      <c r="K258">
        <v>591</v>
      </c>
      <c r="L258" s="4">
        <f t="shared" si="24"/>
        <v>8.2083333333333328E-2</v>
      </c>
      <c r="M258">
        <v>896</v>
      </c>
      <c r="N258" s="4">
        <f t="shared" si="25"/>
        <v>0.12444444444444445</v>
      </c>
      <c r="O258">
        <v>1788</v>
      </c>
      <c r="P258" s="4">
        <f t="shared" si="26"/>
        <v>0.24833333333333332</v>
      </c>
      <c r="Q258" s="6">
        <f t="shared" ref="Q258:Q321" si="28">IF(J258&gt;=0.13,2026,IF(L258&gt;=0.14,2027,IF(N258&gt;=0.14,2030,IF(P258&gt;=0.14,2035,"later"))))</f>
        <v>2035</v>
      </c>
      <c r="R258" s="6">
        <f t="shared" si="27"/>
        <v>4</v>
      </c>
      <c r="S258">
        <v>245</v>
      </c>
      <c r="T258">
        <v>83</v>
      </c>
      <c r="U258">
        <v>-21</v>
      </c>
      <c r="V258">
        <v>-2</v>
      </c>
      <c r="W258">
        <v>9</v>
      </c>
      <c r="X258">
        <v>123</v>
      </c>
      <c r="Y258" s="2" t="s">
        <v>304</v>
      </c>
      <c r="Z258">
        <v>45.721255977942903</v>
      </c>
      <c r="AA258">
        <v>8.6899832509229409</v>
      </c>
      <c r="AB258" t="s">
        <v>78</v>
      </c>
      <c r="AC258" t="s">
        <v>81</v>
      </c>
      <c r="AD258" t="s">
        <v>82</v>
      </c>
      <c r="AE258">
        <v>49341</v>
      </c>
      <c r="AF258">
        <v>0</v>
      </c>
      <c r="AG258">
        <v>39961</v>
      </c>
      <c r="AH258">
        <v>0</v>
      </c>
      <c r="AI258">
        <v>4000</v>
      </c>
      <c r="AJ258">
        <v>5380</v>
      </c>
      <c r="AK258">
        <v>0</v>
      </c>
      <c r="AL258">
        <v>3571</v>
      </c>
      <c r="AM258">
        <v>6126</v>
      </c>
      <c r="AN258">
        <v>44773</v>
      </c>
      <c r="AO258">
        <v>177081</v>
      </c>
      <c r="AP258">
        <v>1</v>
      </c>
      <c r="AQ258">
        <v>1</v>
      </c>
      <c r="AR258">
        <v>2</v>
      </c>
      <c r="AS258">
        <v>7</v>
      </c>
      <c r="AT258">
        <v>0</v>
      </c>
      <c r="AU258">
        <v>13</v>
      </c>
      <c r="AV258">
        <v>6</v>
      </c>
      <c r="AW258">
        <v>4</v>
      </c>
      <c r="AX258">
        <v>0</v>
      </c>
      <c r="AY258">
        <v>0</v>
      </c>
      <c r="AZ258">
        <v>2</v>
      </c>
      <c r="BA258">
        <v>6</v>
      </c>
      <c r="BB258">
        <v>6</v>
      </c>
      <c r="BC258">
        <v>4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45.721320800000001</v>
      </c>
      <c r="BK258">
        <v>8.6899504000000007</v>
      </c>
      <c r="BL258">
        <v>1200</v>
      </c>
      <c r="BM258" t="s">
        <v>83</v>
      </c>
      <c r="BN258" t="s">
        <v>84</v>
      </c>
      <c r="BO258" t="s">
        <v>85</v>
      </c>
      <c r="BP258" t="s">
        <v>107</v>
      </c>
      <c r="BQ258" t="s">
        <v>108</v>
      </c>
      <c r="BR258" t="s">
        <v>305</v>
      </c>
      <c r="BS258">
        <v>986867</v>
      </c>
      <c r="BT258">
        <v>0</v>
      </c>
      <c r="BU258">
        <v>799228</v>
      </c>
      <c r="BV258">
        <v>0</v>
      </c>
      <c r="BW258">
        <v>80009</v>
      </c>
      <c r="BX258">
        <v>107630</v>
      </c>
      <c r="BY258">
        <v>0</v>
      </c>
      <c r="BZ258">
        <v>1</v>
      </c>
      <c r="CA258" t="s">
        <v>306</v>
      </c>
      <c r="CB258" t="s">
        <v>307</v>
      </c>
      <c r="CC258" s="3">
        <v>46092.557106481479</v>
      </c>
      <c r="CD258" t="s">
        <v>91</v>
      </c>
    </row>
    <row r="259" spans="1:82" ht="16" x14ac:dyDescent="0.2">
      <c r="A259" t="s">
        <v>308</v>
      </c>
      <c r="B259" t="s">
        <v>309</v>
      </c>
      <c r="C259" t="s">
        <v>310</v>
      </c>
      <c r="D259" t="s">
        <v>78</v>
      </c>
      <c r="E259" t="s">
        <v>311</v>
      </c>
      <c r="F259">
        <v>4</v>
      </c>
      <c r="G259">
        <v>300</v>
      </c>
      <c r="H259" t="str">
        <f t="shared" ref="H259:H322" si="29">F259&amp;"x"&amp;G259</f>
        <v>4x300</v>
      </c>
      <c r="I259">
        <v>390</v>
      </c>
      <c r="J259" s="4">
        <f t="shared" ref="J259:J322" si="30">IF($G259=300,I259/75/$F259/24,IF($G259=150,I259/65/$F259/24,I259/40/$F259/24))</f>
        <v>5.4166666666666669E-2</v>
      </c>
      <c r="K259">
        <v>590</v>
      </c>
      <c r="L259" s="4">
        <f t="shared" ref="L259:L322" si="31">IF($G259=300,K259/75/$F259/24,IF($G259=150,K259/65/$F259/24,K259/40/$F259/24))</f>
        <v>8.1944444444444445E-2</v>
      </c>
      <c r="M259">
        <v>894</v>
      </c>
      <c r="N259" s="4">
        <f t="shared" ref="N259:N322" si="32">IF($G259=300,M259/75/$F259/24,IF($G259=150,M259/65/$F259/24,M259/40/$F259/24))</f>
        <v>0.12416666666666666</v>
      </c>
      <c r="O259">
        <v>1784</v>
      </c>
      <c r="P259" s="4">
        <f t="shared" ref="P259:P322" si="33">IF($G259=300,O259/75/$F259/24,IF($G259=150,O259/65/$F259/24,O259/40/$F259/24))</f>
        <v>0.24777777777777776</v>
      </c>
      <c r="Q259" s="6">
        <f t="shared" si="28"/>
        <v>2035</v>
      </c>
      <c r="R259" s="6">
        <f t="shared" ref="R259:R322" si="34">IF(Q259=2026,1,IF(Q259=2027,2,IF(Q259=2030,3,IF(Q259=2035,4,666))))</f>
        <v>4</v>
      </c>
      <c r="S259">
        <v>245</v>
      </c>
      <c r="T259">
        <v>100</v>
      </c>
      <c r="U259">
        <v>-31</v>
      </c>
      <c r="V259">
        <v>8</v>
      </c>
      <c r="W259">
        <v>-4</v>
      </c>
      <c r="X259">
        <v>120</v>
      </c>
      <c r="Y259" s="2" t="s">
        <v>312</v>
      </c>
      <c r="Z259">
        <v>45.426282578926099</v>
      </c>
      <c r="AA259">
        <v>8.6426109428872397</v>
      </c>
      <c r="AB259" t="s">
        <v>78</v>
      </c>
      <c r="AC259" t="s">
        <v>81</v>
      </c>
      <c r="AD259" t="s">
        <v>82</v>
      </c>
      <c r="AE259">
        <v>53017</v>
      </c>
      <c r="AF259">
        <v>0</v>
      </c>
      <c r="AG259">
        <v>28404</v>
      </c>
      <c r="AH259">
        <v>601</v>
      </c>
      <c r="AI259">
        <v>18814</v>
      </c>
      <c r="AJ259">
        <v>2916</v>
      </c>
      <c r="AK259">
        <v>2282</v>
      </c>
      <c r="AL259">
        <v>3890</v>
      </c>
      <c r="AM259">
        <v>18819</v>
      </c>
      <c r="AN259">
        <v>97732</v>
      </c>
      <c r="AO259">
        <v>167377</v>
      </c>
      <c r="AP259">
        <v>2</v>
      </c>
      <c r="AQ259">
        <v>0</v>
      </c>
      <c r="AR259">
        <v>4</v>
      </c>
      <c r="AS259">
        <v>10</v>
      </c>
      <c r="AT259">
        <v>2</v>
      </c>
      <c r="AU259">
        <v>15</v>
      </c>
      <c r="AV259">
        <v>0</v>
      </c>
      <c r="AW259">
        <v>1</v>
      </c>
      <c r="AX259">
        <v>1</v>
      </c>
      <c r="AY259">
        <v>0</v>
      </c>
      <c r="AZ259">
        <v>1</v>
      </c>
      <c r="BA259">
        <v>6</v>
      </c>
      <c r="BB259">
        <v>15</v>
      </c>
      <c r="BC259">
        <v>5</v>
      </c>
      <c r="BD259">
        <v>0</v>
      </c>
      <c r="BE259">
        <v>0</v>
      </c>
      <c r="BF259">
        <v>2</v>
      </c>
      <c r="BG259">
        <v>0</v>
      </c>
      <c r="BH259">
        <v>4</v>
      </c>
      <c r="BI259">
        <v>0</v>
      </c>
      <c r="BJ259">
        <v>45.426397199999997</v>
      </c>
      <c r="BK259">
        <v>8.6429290999999999</v>
      </c>
      <c r="BL259">
        <v>1200</v>
      </c>
      <c r="BM259" t="s">
        <v>83</v>
      </c>
      <c r="BN259" t="s">
        <v>84</v>
      </c>
      <c r="BO259" t="s">
        <v>85</v>
      </c>
      <c r="BP259" t="s">
        <v>107</v>
      </c>
      <c r="BQ259" t="s">
        <v>203</v>
      </c>
      <c r="BR259" t="s">
        <v>310</v>
      </c>
      <c r="BS259">
        <v>1060490</v>
      </c>
      <c r="BT259">
        <v>0</v>
      </c>
      <c r="BU259">
        <v>568112</v>
      </c>
      <c r="BV259">
        <v>12037</v>
      </c>
      <c r="BW259">
        <v>376346</v>
      </c>
      <c r="BX259">
        <v>58345</v>
      </c>
      <c r="BY259">
        <v>45650</v>
      </c>
      <c r="BZ259">
        <v>1</v>
      </c>
      <c r="CA259" t="s">
        <v>313</v>
      </c>
      <c r="CB259" t="s">
        <v>314</v>
      </c>
      <c r="CC259" s="3">
        <v>46092.557106481479</v>
      </c>
      <c r="CD259" t="s">
        <v>91</v>
      </c>
    </row>
    <row r="260" spans="1:82" ht="16" x14ac:dyDescent="0.2">
      <c r="A260" t="s">
        <v>315</v>
      </c>
      <c r="B260" t="s">
        <v>316</v>
      </c>
      <c r="C260" t="s">
        <v>317</v>
      </c>
      <c r="D260" t="s">
        <v>78</v>
      </c>
      <c r="E260" t="s">
        <v>318</v>
      </c>
      <c r="F260">
        <v>4</v>
      </c>
      <c r="G260">
        <v>300</v>
      </c>
      <c r="H260" t="str">
        <f t="shared" si="29"/>
        <v>4x300</v>
      </c>
      <c r="I260">
        <v>387</v>
      </c>
      <c r="J260" s="4">
        <f t="shared" si="30"/>
        <v>5.3749999999999999E-2</v>
      </c>
      <c r="K260">
        <v>584</v>
      </c>
      <c r="L260" s="4">
        <f t="shared" si="31"/>
        <v>8.111111111111112E-2</v>
      </c>
      <c r="M260">
        <v>886</v>
      </c>
      <c r="N260" s="4">
        <f t="shared" si="32"/>
        <v>0.12305555555555554</v>
      </c>
      <c r="O260">
        <v>1768</v>
      </c>
      <c r="P260" s="4">
        <f t="shared" si="33"/>
        <v>0.24555555555555555</v>
      </c>
      <c r="Q260" s="6">
        <f t="shared" si="28"/>
        <v>2035</v>
      </c>
      <c r="R260" s="6">
        <f t="shared" si="34"/>
        <v>4</v>
      </c>
      <c r="S260">
        <v>245</v>
      </c>
      <c r="T260">
        <v>9</v>
      </c>
      <c r="U260">
        <v>5</v>
      </c>
      <c r="V260">
        <v>35</v>
      </c>
      <c r="W260">
        <v>39</v>
      </c>
      <c r="X260">
        <v>96</v>
      </c>
      <c r="Y260" s="2" t="s">
        <v>319</v>
      </c>
      <c r="Z260">
        <v>44.975902499999997</v>
      </c>
      <c r="AA260">
        <v>7.7123622000000003</v>
      </c>
      <c r="AB260" t="s">
        <v>78</v>
      </c>
      <c r="AC260" t="s">
        <v>81</v>
      </c>
      <c r="AD260" t="s">
        <v>82</v>
      </c>
      <c r="AE260">
        <v>40219</v>
      </c>
      <c r="AF260">
        <v>0</v>
      </c>
      <c r="AG260">
        <v>0</v>
      </c>
      <c r="AH260">
        <v>30060</v>
      </c>
      <c r="AI260">
        <v>7546</v>
      </c>
      <c r="AJ260">
        <v>2613</v>
      </c>
      <c r="AK260">
        <v>0</v>
      </c>
      <c r="AL260">
        <v>604</v>
      </c>
      <c r="AM260">
        <v>6239</v>
      </c>
      <c r="AN260">
        <v>69559</v>
      </c>
      <c r="AO260">
        <v>493323</v>
      </c>
      <c r="AP260">
        <v>0</v>
      </c>
      <c r="AQ260">
        <v>0</v>
      </c>
      <c r="AR260">
        <v>7</v>
      </c>
      <c r="AS260">
        <v>2</v>
      </c>
      <c r="AT260">
        <v>1</v>
      </c>
      <c r="AU260">
        <v>19</v>
      </c>
      <c r="AV260">
        <v>0</v>
      </c>
      <c r="AW260">
        <v>0</v>
      </c>
      <c r="AX260">
        <v>2</v>
      </c>
      <c r="AY260">
        <v>0</v>
      </c>
      <c r="AZ260">
        <v>2</v>
      </c>
      <c r="BA260">
        <v>14</v>
      </c>
      <c r="BB260">
        <v>28</v>
      </c>
      <c r="BC260">
        <v>13</v>
      </c>
      <c r="BD260">
        <v>8</v>
      </c>
      <c r="BE260">
        <v>8</v>
      </c>
      <c r="BF260">
        <v>10</v>
      </c>
      <c r="BG260">
        <v>16</v>
      </c>
      <c r="BH260">
        <v>18</v>
      </c>
      <c r="BI260">
        <v>16</v>
      </c>
      <c r="BJ260">
        <v>44.97589</v>
      </c>
      <c r="BK260">
        <v>7.7122298999999996</v>
      </c>
      <c r="BL260">
        <v>1200</v>
      </c>
      <c r="BM260" t="s">
        <v>83</v>
      </c>
      <c r="BN260" t="s">
        <v>84</v>
      </c>
      <c r="BO260" t="s">
        <v>85</v>
      </c>
      <c r="BP260" t="s">
        <v>107</v>
      </c>
      <c r="BQ260" t="s">
        <v>203</v>
      </c>
      <c r="BR260" t="s">
        <v>204</v>
      </c>
      <c r="BS260">
        <v>804447</v>
      </c>
      <c r="BT260">
        <v>0</v>
      </c>
      <c r="BU260">
        <v>0</v>
      </c>
      <c r="BV260">
        <v>601260</v>
      </c>
      <c r="BW260">
        <v>150926</v>
      </c>
      <c r="BX260">
        <v>52261</v>
      </c>
      <c r="BY260">
        <v>0</v>
      </c>
      <c r="BZ260">
        <v>1</v>
      </c>
      <c r="CA260" t="s">
        <v>320</v>
      </c>
      <c r="CB260" t="s">
        <v>321</v>
      </c>
      <c r="CC260" s="3">
        <v>46092.557106481479</v>
      </c>
      <c r="CD260" t="s">
        <v>91</v>
      </c>
    </row>
    <row r="261" spans="1:82" ht="16" x14ac:dyDescent="0.2">
      <c r="A261" t="s">
        <v>322</v>
      </c>
      <c r="B261" t="s">
        <v>323</v>
      </c>
      <c r="C261" t="s">
        <v>324</v>
      </c>
      <c r="D261" t="s">
        <v>78</v>
      </c>
      <c r="E261" t="s">
        <v>325</v>
      </c>
      <c r="F261">
        <v>4</v>
      </c>
      <c r="G261">
        <v>300</v>
      </c>
      <c r="H261" t="str">
        <f t="shared" si="29"/>
        <v>4x300</v>
      </c>
      <c r="I261">
        <v>377</v>
      </c>
      <c r="J261" s="4">
        <f t="shared" si="30"/>
        <v>5.2361111111111108E-2</v>
      </c>
      <c r="K261">
        <v>569</v>
      </c>
      <c r="L261" s="4">
        <f t="shared" si="31"/>
        <v>7.902777777777778E-2</v>
      </c>
      <c r="M261">
        <v>863</v>
      </c>
      <c r="N261" s="4">
        <f t="shared" si="32"/>
        <v>0.1198611111111111</v>
      </c>
      <c r="O261">
        <v>1723</v>
      </c>
      <c r="P261" s="4">
        <f t="shared" si="33"/>
        <v>0.23930555555555555</v>
      </c>
      <c r="Q261" s="6">
        <f t="shared" si="28"/>
        <v>2035</v>
      </c>
      <c r="R261" s="6">
        <f t="shared" si="34"/>
        <v>4</v>
      </c>
      <c r="S261">
        <v>245</v>
      </c>
      <c r="T261">
        <v>121</v>
      </c>
      <c r="U261">
        <v>-36</v>
      </c>
      <c r="V261">
        <v>-7</v>
      </c>
      <c r="W261">
        <v>-25</v>
      </c>
      <c r="X261">
        <v>127</v>
      </c>
      <c r="Y261" s="2" t="s">
        <v>326</v>
      </c>
      <c r="Z261">
        <v>44.423740000000002</v>
      </c>
      <c r="AA261">
        <v>12.167870000000001</v>
      </c>
      <c r="AB261" t="s">
        <v>78</v>
      </c>
      <c r="AC261" t="s">
        <v>81</v>
      </c>
      <c r="AD261" t="s">
        <v>82</v>
      </c>
      <c r="AE261">
        <v>94705</v>
      </c>
      <c r="AF261">
        <v>21725</v>
      </c>
      <c r="AG261">
        <v>47117</v>
      </c>
      <c r="AH261">
        <v>7441</v>
      </c>
      <c r="AI261">
        <v>16873</v>
      </c>
      <c r="AJ261">
        <v>1549</v>
      </c>
      <c r="AK261">
        <v>0</v>
      </c>
      <c r="AL261">
        <v>3819</v>
      </c>
      <c r="AM261">
        <v>19880</v>
      </c>
      <c r="AN261">
        <v>84496</v>
      </c>
      <c r="AO261">
        <v>121551</v>
      </c>
      <c r="AP261">
        <v>0</v>
      </c>
      <c r="AQ261">
        <v>1</v>
      </c>
      <c r="AR261">
        <v>4</v>
      </c>
      <c r="AS261">
        <v>6</v>
      </c>
      <c r="AT261">
        <v>0</v>
      </c>
      <c r="AU261">
        <v>10</v>
      </c>
      <c r="AV261">
        <v>2</v>
      </c>
      <c r="AW261">
        <v>3</v>
      </c>
      <c r="AX261">
        <v>0</v>
      </c>
      <c r="AY261">
        <v>0</v>
      </c>
      <c r="AZ261">
        <v>0</v>
      </c>
      <c r="BA261">
        <v>5</v>
      </c>
      <c r="BB261">
        <v>22</v>
      </c>
      <c r="BC261">
        <v>3</v>
      </c>
      <c r="BD261">
        <v>2</v>
      </c>
      <c r="BE261">
        <v>4</v>
      </c>
      <c r="BF261">
        <v>2</v>
      </c>
      <c r="BG261">
        <v>4</v>
      </c>
      <c r="BH261">
        <v>10</v>
      </c>
      <c r="BI261">
        <v>4</v>
      </c>
      <c r="BJ261">
        <v>44.423812900000001</v>
      </c>
      <c r="BK261">
        <v>12.167848299999999</v>
      </c>
      <c r="BL261">
        <v>1200</v>
      </c>
      <c r="BM261" t="s">
        <v>83</v>
      </c>
      <c r="BN261" t="s">
        <v>84</v>
      </c>
      <c r="BO261" t="s">
        <v>85</v>
      </c>
      <c r="BP261" t="s">
        <v>160</v>
      </c>
      <c r="BQ261" t="s">
        <v>170</v>
      </c>
      <c r="BR261" t="s">
        <v>327</v>
      </c>
      <c r="BS261">
        <v>1894209</v>
      </c>
      <c r="BT261">
        <v>434511</v>
      </c>
      <c r="BU261">
        <v>942374</v>
      </c>
      <c r="BV261">
        <v>148829</v>
      </c>
      <c r="BW261">
        <v>337513</v>
      </c>
      <c r="BX261">
        <v>30982</v>
      </c>
      <c r="BY261">
        <v>0</v>
      </c>
      <c r="BZ261">
        <v>1</v>
      </c>
      <c r="CA261" t="s">
        <v>328</v>
      </c>
      <c r="CB261" t="s">
        <v>329</v>
      </c>
      <c r="CC261" s="3">
        <v>46092.557106481479</v>
      </c>
      <c r="CD261" t="s">
        <v>91</v>
      </c>
    </row>
    <row r="262" spans="1:82" ht="16" x14ac:dyDescent="0.2">
      <c r="A262" t="s">
        <v>330</v>
      </c>
      <c r="B262" t="s">
        <v>331</v>
      </c>
      <c r="C262" t="s">
        <v>332</v>
      </c>
      <c r="D262" t="s">
        <v>78</v>
      </c>
      <c r="E262" t="s">
        <v>333</v>
      </c>
      <c r="F262">
        <v>4</v>
      </c>
      <c r="G262">
        <v>300</v>
      </c>
      <c r="H262" t="str">
        <f t="shared" si="29"/>
        <v>4x300</v>
      </c>
      <c r="I262">
        <v>375</v>
      </c>
      <c r="J262" s="4">
        <f t="shared" si="30"/>
        <v>5.2083333333333336E-2</v>
      </c>
      <c r="K262">
        <v>567</v>
      </c>
      <c r="L262" s="4">
        <f t="shared" si="31"/>
        <v>7.8750000000000001E-2</v>
      </c>
      <c r="M262">
        <v>859</v>
      </c>
      <c r="N262" s="4">
        <f t="shared" si="32"/>
        <v>0.11930555555555555</v>
      </c>
      <c r="O262">
        <v>1715</v>
      </c>
      <c r="P262" s="4">
        <f t="shared" si="33"/>
        <v>0.23819444444444446</v>
      </c>
      <c r="Q262" s="6">
        <f t="shared" si="28"/>
        <v>2035</v>
      </c>
      <c r="R262" s="6">
        <f t="shared" si="34"/>
        <v>4</v>
      </c>
      <c r="S262">
        <v>245</v>
      </c>
      <c r="T262">
        <v>73</v>
      </c>
      <c r="U262">
        <v>7</v>
      </c>
      <c r="V262">
        <v>-6</v>
      </c>
      <c r="W262">
        <v>-6</v>
      </c>
      <c r="X262">
        <v>104</v>
      </c>
      <c r="Y262" s="2" t="s">
        <v>334</v>
      </c>
      <c r="Z262">
        <v>39.238190000000003</v>
      </c>
      <c r="AA262">
        <v>9.1237300000000001</v>
      </c>
      <c r="AB262" t="s">
        <v>78</v>
      </c>
      <c r="AC262" t="s">
        <v>81</v>
      </c>
      <c r="AD262" t="s">
        <v>82</v>
      </c>
      <c r="AE262">
        <v>69309</v>
      </c>
      <c r="AF262">
        <v>0</v>
      </c>
      <c r="AG262">
        <v>0</v>
      </c>
      <c r="AH262">
        <v>0</v>
      </c>
      <c r="AI262">
        <v>42701</v>
      </c>
      <c r="AJ262">
        <v>16678</v>
      </c>
      <c r="AK262">
        <v>9930</v>
      </c>
      <c r="AL262">
        <v>19024</v>
      </c>
      <c r="AM262">
        <v>79447</v>
      </c>
      <c r="AN262">
        <v>213403</v>
      </c>
      <c r="AO262">
        <v>318435</v>
      </c>
      <c r="AP262">
        <v>4</v>
      </c>
      <c r="AQ262">
        <v>0</v>
      </c>
      <c r="AR262">
        <v>6</v>
      </c>
      <c r="AS262">
        <v>11</v>
      </c>
      <c r="AT262">
        <v>2</v>
      </c>
      <c r="AU262">
        <v>30</v>
      </c>
      <c r="AV262">
        <v>4</v>
      </c>
      <c r="AW262">
        <v>1</v>
      </c>
      <c r="AX262">
        <v>1</v>
      </c>
      <c r="AY262">
        <v>0</v>
      </c>
      <c r="AZ262">
        <v>1</v>
      </c>
      <c r="BA262">
        <v>6</v>
      </c>
      <c r="BB262">
        <v>22</v>
      </c>
      <c r="BC262">
        <v>3</v>
      </c>
      <c r="BD262">
        <v>3</v>
      </c>
      <c r="BE262">
        <v>0</v>
      </c>
      <c r="BF262">
        <v>3</v>
      </c>
      <c r="BG262">
        <v>0</v>
      </c>
      <c r="BH262">
        <v>9</v>
      </c>
      <c r="BI262">
        <v>0</v>
      </c>
      <c r="BJ262">
        <v>39.238198699999998</v>
      </c>
      <c r="BK262">
        <v>9.1237288999999997</v>
      </c>
      <c r="BL262">
        <v>1200</v>
      </c>
      <c r="BM262" t="s">
        <v>83</v>
      </c>
      <c r="BN262" t="s">
        <v>84</v>
      </c>
      <c r="BO262" t="s">
        <v>85</v>
      </c>
      <c r="BP262" t="s">
        <v>242</v>
      </c>
      <c r="BQ262" t="s">
        <v>335</v>
      </c>
      <c r="BR262" t="s">
        <v>332</v>
      </c>
      <c r="BS262">
        <v>1386340</v>
      </c>
      <c r="BT262">
        <v>0</v>
      </c>
      <c r="BU262">
        <v>0</v>
      </c>
      <c r="BV262">
        <v>0</v>
      </c>
      <c r="BW262">
        <v>854069</v>
      </c>
      <c r="BX262">
        <v>333617</v>
      </c>
      <c r="BY262">
        <v>198654</v>
      </c>
      <c r="BZ262">
        <v>1</v>
      </c>
      <c r="CA262" t="s">
        <v>336</v>
      </c>
      <c r="CB262" t="s">
        <v>337</v>
      </c>
      <c r="CC262" s="3">
        <v>46092.557106481479</v>
      </c>
      <c r="CD262" t="s">
        <v>91</v>
      </c>
    </row>
    <row r="263" spans="1:82" ht="16" x14ac:dyDescent="0.2">
      <c r="A263" t="s">
        <v>338</v>
      </c>
      <c r="B263" t="s">
        <v>339</v>
      </c>
      <c r="C263" t="s">
        <v>340</v>
      </c>
      <c r="D263" t="s">
        <v>78</v>
      </c>
      <c r="E263" t="s">
        <v>341</v>
      </c>
      <c r="F263">
        <v>4</v>
      </c>
      <c r="G263">
        <v>300</v>
      </c>
      <c r="H263" t="str">
        <f t="shared" si="29"/>
        <v>4x300</v>
      </c>
      <c r="I263">
        <v>375</v>
      </c>
      <c r="J263" s="4">
        <f t="shared" si="30"/>
        <v>5.2083333333333336E-2</v>
      </c>
      <c r="K263">
        <v>565</v>
      </c>
      <c r="L263" s="4">
        <f t="shared" si="31"/>
        <v>7.8472222222222221E-2</v>
      </c>
      <c r="M263">
        <v>858</v>
      </c>
      <c r="N263" s="4">
        <f t="shared" si="32"/>
        <v>0.11916666666666666</v>
      </c>
      <c r="O263">
        <v>1711</v>
      </c>
      <c r="P263" s="4">
        <f t="shared" si="33"/>
        <v>0.23763888888888887</v>
      </c>
      <c r="Q263" s="6">
        <f t="shared" si="28"/>
        <v>2035</v>
      </c>
      <c r="R263" s="6">
        <f t="shared" si="34"/>
        <v>4</v>
      </c>
      <c r="S263">
        <v>245</v>
      </c>
      <c r="T263">
        <v>129</v>
      </c>
      <c r="U263">
        <v>-50</v>
      </c>
      <c r="V263">
        <v>-3</v>
      </c>
      <c r="W263">
        <v>-15</v>
      </c>
      <c r="X263">
        <v>116</v>
      </c>
      <c r="Y263" s="2" t="s">
        <v>342</v>
      </c>
      <c r="Z263">
        <v>45.517616099999998</v>
      </c>
      <c r="AA263">
        <v>12.237434800000001</v>
      </c>
      <c r="AB263" t="s">
        <v>78</v>
      </c>
      <c r="AC263" t="s">
        <v>81</v>
      </c>
      <c r="AD263" t="s">
        <v>82</v>
      </c>
      <c r="AE263">
        <v>133452</v>
      </c>
      <c r="AF263">
        <v>95408</v>
      </c>
      <c r="AG263">
        <v>0</v>
      </c>
      <c r="AH263">
        <v>18512</v>
      </c>
      <c r="AI263">
        <v>1403</v>
      </c>
      <c r="AJ263">
        <v>15919</v>
      </c>
      <c r="AK263">
        <v>2210</v>
      </c>
      <c r="AL263">
        <v>2043</v>
      </c>
      <c r="AM263">
        <v>18156</v>
      </c>
      <c r="AN263">
        <v>161291</v>
      </c>
      <c r="AO263">
        <v>312009</v>
      </c>
      <c r="AP263">
        <v>0</v>
      </c>
      <c r="AQ263">
        <v>0</v>
      </c>
      <c r="AR263">
        <v>1</v>
      </c>
      <c r="AS263">
        <v>2</v>
      </c>
      <c r="AT263">
        <v>4</v>
      </c>
      <c r="AU263">
        <v>11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14</v>
      </c>
      <c r="BB263">
        <v>39</v>
      </c>
      <c r="BC263">
        <v>11</v>
      </c>
      <c r="BD263">
        <v>0</v>
      </c>
      <c r="BE263">
        <v>0</v>
      </c>
      <c r="BF263">
        <v>2</v>
      </c>
      <c r="BG263">
        <v>0</v>
      </c>
      <c r="BH263">
        <v>8</v>
      </c>
      <c r="BI263">
        <v>0</v>
      </c>
      <c r="BJ263">
        <v>45.517622799999998</v>
      </c>
      <c r="BK263">
        <v>12.237425699999999</v>
      </c>
      <c r="BL263">
        <v>1200</v>
      </c>
      <c r="BM263" t="s">
        <v>83</v>
      </c>
      <c r="BN263" t="s">
        <v>84</v>
      </c>
      <c r="BO263" t="s">
        <v>85</v>
      </c>
      <c r="BP263" t="s">
        <v>160</v>
      </c>
      <c r="BQ263" t="s">
        <v>161</v>
      </c>
      <c r="BR263" t="s">
        <v>343</v>
      </c>
      <c r="BS263">
        <v>3146222</v>
      </c>
      <c r="BT263">
        <v>2385226</v>
      </c>
      <c r="BU263">
        <v>0</v>
      </c>
      <c r="BV263">
        <v>370254</v>
      </c>
      <c r="BW263">
        <v>28076</v>
      </c>
      <c r="BX263">
        <v>318425</v>
      </c>
      <c r="BY263">
        <v>44241</v>
      </c>
      <c r="BZ263">
        <v>1</v>
      </c>
      <c r="CA263" t="s">
        <v>344</v>
      </c>
      <c r="CB263" t="s">
        <v>345</v>
      </c>
      <c r="CC263" s="3">
        <v>46092.557106481479</v>
      </c>
      <c r="CD263" t="s">
        <v>91</v>
      </c>
    </row>
    <row r="264" spans="1:82" ht="16" x14ac:dyDescent="0.2">
      <c r="A264" t="s">
        <v>346</v>
      </c>
      <c r="B264" t="s">
        <v>347</v>
      </c>
      <c r="C264" t="s">
        <v>348</v>
      </c>
      <c r="D264" t="s">
        <v>78</v>
      </c>
      <c r="E264" t="s">
        <v>349</v>
      </c>
      <c r="F264">
        <v>4</v>
      </c>
      <c r="G264">
        <v>300</v>
      </c>
      <c r="H264" t="str">
        <f t="shared" si="29"/>
        <v>4x300</v>
      </c>
      <c r="I264">
        <v>374</v>
      </c>
      <c r="J264" s="4">
        <f t="shared" si="30"/>
        <v>5.1944444444444439E-2</v>
      </c>
      <c r="K264">
        <v>565</v>
      </c>
      <c r="L264" s="4">
        <f t="shared" si="31"/>
        <v>7.8472222222222221E-2</v>
      </c>
      <c r="M264">
        <v>857</v>
      </c>
      <c r="N264" s="4">
        <f t="shared" si="32"/>
        <v>0.11902777777777777</v>
      </c>
      <c r="O264">
        <v>1711</v>
      </c>
      <c r="P264" s="4">
        <f t="shared" si="33"/>
        <v>0.23763888888888887</v>
      </c>
      <c r="Q264" s="6">
        <f t="shared" si="28"/>
        <v>2035</v>
      </c>
      <c r="R264" s="6">
        <f t="shared" si="34"/>
        <v>4</v>
      </c>
      <c r="S264">
        <v>245</v>
      </c>
      <c r="T264">
        <v>62</v>
      </c>
      <c r="U264">
        <v>1</v>
      </c>
      <c r="V264">
        <v>2</v>
      </c>
      <c r="W264">
        <v>4</v>
      </c>
      <c r="X264">
        <v>102</v>
      </c>
      <c r="Y264" s="2" t="s">
        <v>350</v>
      </c>
      <c r="Z264">
        <v>45.518430665843702</v>
      </c>
      <c r="AA264">
        <v>9.3526549641985497</v>
      </c>
      <c r="AB264" t="s">
        <v>78</v>
      </c>
      <c r="AC264" t="s">
        <v>81</v>
      </c>
      <c r="AD264" t="s">
        <v>82</v>
      </c>
      <c r="AE264">
        <v>66059</v>
      </c>
      <c r="AF264">
        <v>0</v>
      </c>
      <c r="AG264">
        <v>0</v>
      </c>
      <c r="AH264">
        <v>15443</v>
      </c>
      <c r="AI264">
        <v>20420</v>
      </c>
      <c r="AJ264">
        <v>25439</v>
      </c>
      <c r="AK264">
        <v>4757</v>
      </c>
      <c r="AL264">
        <v>6771</v>
      </c>
      <c r="AM264">
        <v>36038</v>
      </c>
      <c r="AN264">
        <v>163620</v>
      </c>
      <c r="AO264">
        <v>673893</v>
      </c>
      <c r="AP264">
        <v>0</v>
      </c>
      <c r="AQ264">
        <v>0</v>
      </c>
      <c r="AR264">
        <v>3</v>
      </c>
      <c r="AS264">
        <v>5</v>
      </c>
      <c r="AT264">
        <v>2</v>
      </c>
      <c r="AU264">
        <v>20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3</v>
      </c>
      <c r="BB264">
        <v>7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45.518380000000001</v>
      </c>
      <c r="BK264">
        <v>9.3526100000000003</v>
      </c>
      <c r="BL264">
        <v>1200</v>
      </c>
      <c r="BM264" t="s">
        <v>83</v>
      </c>
      <c r="BN264" t="s">
        <v>84</v>
      </c>
      <c r="BO264" t="s">
        <v>85</v>
      </c>
      <c r="BP264" t="s">
        <v>107</v>
      </c>
      <c r="BQ264" t="s">
        <v>108</v>
      </c>
      <c r="BR264" t="s">
        <v>109</v>
      </c>
      <c r="BS264">
        <v>1321307</v>
      </c>
      <c r="BT264">
        <v>0</v>
      </c>
      <c r="BU264">
        <v>0</v>
      </c>
      <c r="BV264">
        <v>308890</v>
      </c>
      <c r="BW264">
        <v>408405</v>
      </c>
      <c r="BX264">
        <v>508840</v>
      </c>
      <c r="BY264">
        <v>95172</v>
      </c>
      <c r="BZ264">
        <v>1</v>
      </c>
      <c r="CA264" t="s">
        <v>351</v>
      </c>
      <c r="CB264" t="s">
        <v>352</v>
      </c>
      <c r="CC264" s="3">
        <v>46092.557106481479</v>
      </c>
      <c r="CD264" t="s">
        <v>91</v>
      </c>
    </row>
    <row r="265" spans="1:82" ht="16" x14ac:dyDescent="0.2">
      <c r="A265" t="s">
        <v>353</v>
      </c>
      <c r="B265" t="s">
        <v>354</v>
      </c>
      <c r="C265" t="s">
        <v>355</v>
      </c>
      <c r="D265" t="s">
        <v>78</v>
      </c>
      <c r="E265" t="s">
        <v>356</v>
      </c>
      <c r="F265">
        <v>4</v>
      </c>
      <c r="G265">
        <v>300</v>
      </c>
      <c r="H265" t="str">
        <f t="shared" si="29"/>
        <v>4x300</v>
      </c>
      <c r="I265">
        <v>369</v>
      </c>
      <c r="J265" s="4">
        <f t="shared" si="30"/>
        <v>5.1249999999999997E-2</v>
      </c>
      <c r="K265">
        <v>557</v>
      </c>
      <c r="L265" s="4">
        <f t="shared" si="31"/>
        <v>7.7361111111111117E-2</v>
      </c>
      <c r="M265">
        <v>844</v>
      </c>
      <c r="N265" s="4">
        <f t="shared" si="32"/>
        <v>0.11722222222222223</v>
      </c>
      <c r="O265">
        <v>1685</v>
      </c>
      <c r="P265" s="4">
        <f t="shared" si="33"/>
        <v>0.23402777777777775</v>
      </c>
      <c r="Q265" s="6">
        <f t="shared" si="28"/>
        <v>2035</v>
      </c>
      <c r="R265" s="6">
        <f t="shared" si="34"/>
        <v>4</v>
      </c>
      <c r="S265">
        <v>245</v>
      </c>
      <c r="T265">
        <v>66</v>
      </c>
      <c r="U265">
        <v>-27</v>
      </c>
      <c r="V265">
        <v>44</v>
      </c>
      <c r="W265">
        <v>-19</v>
      </c>
      <c r="X265">
        <v>100</v>
      </c>
      <c r="Y265" s="2" t="s">
        <v>357</v>
      </c>
      <c r="Z265">
        <v>45.508908091499897</v>
      </c>
      <c r="AA265">
        <v>10.3238094594935</v>
      </c>
      <c r="AB265" t="s">
        <v>78</v>
      </c>
      <c r="AC265" t="s">
        <v>81</v>
      </c>
      <c r="AD265" t="s">
        <v>82</v>
      </c>
      <c r="AE265">
        <v>63041</v>
      </c>
      <c r="AF265">
        <v>0</v>
      </c>
      <c r="AG265">
        <v>39287</v>
      </c>
      <c r="AH265">
        <v>7496</v>
      </c>
      <c r="AI265">
        <v>0</v>
      </c>
      <c r="AJ265">
        <v>15229</v>
      </c>
      <c r="AK265">
        <v>1029</v>
      </c>
      <c r="AL265">
        <v>6403</v>
      </c>
      <c r="AM265">
        <v>14060</v>
      </c>
      <c r="AN265">
        <v>59617</v>
      </c>
      <c r="AO265">
        <v>247710</v>
      </c>
      <c r="AP265">
        <v>6</v>
      </c>
      <c r="AQ265">
        <v>0</v>
      </c>
      <c r="AR265">
        <v>7</v>
      </c>
      <c r="AS265">
        <v>16</v>
      </c>
      <c r="AT265">
        <v>0</v>
      </c>
      <c r="AU265">
        <v>19</v>
      </c>
      <c r="AV265">
        <v>9</v>
      </c>
      <c r="AW265">
        <v>1</v>
      </c>
      <c r="AX265">
        <v>0</v>
      </c>
      <c r="AY265">
        <v>0</v>
      </c>
      <c r="AZ265">
        <v>2</v>
      </c>
      <c r="BA265">
        <v>11</v>
      </c>
      <c r="BB265">
        <v>23</v>
      </c>
      <c r="BC265">
        <v>7</v>
      </c>
      <c r="BD265">
        <v>6</v>
      </c>
      <c r="BE265">
        <v>0</v>
      </c>
      <c r="BF265">
        <v>6</v>
      </c>
      <c r="BG265">
        <v>0</v>
      </c>
      <c r="BH265">
        <v>6</v>
      </c>
      <c r="BI265">
        <v>0</v>
      </c>
      <c r="BJ265">
        <v>45.508969899999997</v>
      </c>
      <c r="BK265">
        <v>10.32385</v>
      </c>
      <c r="BL265">
        <v>1200</v>
      </c>
      <c r="BM265" t="s">
        <v>83</v>
      </c>
      <c r="BN265" t="s">
        <v>84</v>
      </c>
      <c r="BO265" t="s">
        <v>85</v>
      </c>
      <c r="BP265" t="s">
        <v>107</v>
      </c>
      <c r="BQ265" t="s">
        <v>108</v>
      </c>
      <c r="BR265" t="s">
        <v>179</v>
      </c>
      <c r="BS265">
        <v>1342650</v>
      </c>
      <c r="BT265">
        <v>0</v>
      </c>
      <c r="BU265">
        <v>902853</v>
      </c>
      <c r="BV265">
        <v>149938</v>
      </c>
      <c r="BW265">
        <v>0</v>
      </c>
      <c r="BX265">
        <v>269263</v>
      </c>
      <c r="BY265">
        <v>20596</v>
      </c>
      <c r="BZ265">
        <v>1</v>
      </c>
      <c r="CA265" t="s">
        <v>358</v>
      </c>
      <c r="CB265" t="s">
        <v>359</v>
      </c>
      <c r="CC265" s="3">
        <v>46092.557106481479</v>
      </c>
      <c r="CD265" t="s">
        <v>91</v>
      </c>
    </row>
    <row r="266" spans="1:82" ht="16" x14ac:dyDescent="0.2">
      <c r="A266" t="s">
        <v>360</v>
      </c>
      <c r="B266" t="s">
        <v>361</v>
      </c>
      <c r="C266" t="s">
        <v>362</v>
      </c>
      <c r="D266" t="s">
        <v>78</v>
      </c>
      <c r="E266" t="s">
        <v>363</v>
      </c>
      <c r="F266">
        <v>4</v>
      </c>
      <c r="G266">
        <v>300</v>
      </c>
      <c r="H266" t="str">
        <f t="shared" si="29"/>
        <v>4x300</v>
      </c>
      <c r="I266">
        <v>367</v>
      </c>
      <c r="J266" s="4">
        <f t="shared" si="30"/>
        <v>5.0972222222222224E-2</v>
      </c>
      <c r="K266">
        <v>555</v>
      </c>
      <c r="L266" s="4">
        <f t="shared" si="31"/>
        <v>7.7083333333333337E-2</v>
      </c>
      <c r="M266">
        <v>841</v>
      </c>
      <c r="N266" s="4">
        <f t="shared" si="32"/>
        <v>0.11680555555555555</v>
      </c>
      <c r="O266">
        <v>1679</v>
      </c>
      <c r="P266" s="4">
        <f t="shared" si="33"/>
        <v>0.23319444444444445</v>
      </c>
      <c r="Q266" s="6">
        <f t="shared" si="28"/>
        <v>2035</v>
      </c>
      <c r="R266" s="6">
        <f t="shared" si="34"/>
        <v>4</v>
      </c>
      <c r="S266">
        <v>245</v>
      </c>
      <c r="T266">
        <v>88</v>
      </c>
      <c r="U266">
        <v>1</v>
      </c>
      <c r="V266">
        <v>-20</v>
      </c>
      <c r="W266">
        <v>-2</v>
      </c>
      <c r="X266">
        <v>95</v>
      </c>
      <c r="Y266" s="2" t="s">
        <v>364</v>
      </c>
      <c r="Z266">
        <v>45.692639999999997</v>
      </c>
      <c r="AA266">
        <v>9.1022800000000004</v>
      </c>
      <c r="AB266" t="s">
        <v>78</v>
      </c>
      <c r="AC266" t="s">
        <v>81</v>
      </c>
      <c r="AD266" t="s">
        <v>82</v>
      </c>
      <c r="AE266">
        <v>114840</v>
      </c>
      <c r="AF266">
        <v>21704</v>
      </c>
      <c r="AG266">
        <v>0</v>
      </c>
      <c r="AH266">
        <v>37140</v>
      </c>
      <c r="AI266">
        <v>23760</v>
      </c>
      <c r="AJ266">
        <v>32236</v>
      </c>
      <c r="AK266">
        <v>0</v>
      </c>
      <c r="AL266">
        <v>4237</v>
      </c>
      <c r="AM266">
        <v>18208</v>
      </c>
      <c r="AN266">
        <v>93407</v>
      </c>
      <c r="AO266">
        <v>516459</v>
      </c>
      <c r="AP266">
        <v>1</v>
      </c>
      <c r="AQ266">
        <v>0</v>
      </c>
      <c r="AR266">
        <v>2</v>
      </c>
      <c r="AS266">
        <v>16</v>
      </c>
      <c r="AT266">
        <v>1</v>
      </c>
      <c r="AU266">
        <v>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26</v>
      </c>
      <c r="BB266">
        <v>37</v>
      </c>
      <c r="BC266">
        <v>24</v>
      </c>
      <c r="BD266">
        <v>0</v>
      </c>
      <c r="BE266">
        <v>0</v>
      </c>
      <c r="BF266">
        <v>0</v>
      </c>
      <c r="BG266">
        <v>0</v>
      </c>
      <c r="BH266">
        <v>4</v>
      </c>
      <c r="BI266">
        <v>0</v>
      </c>
      <c r="BJ266">
        <v>45.692601500000002</v>
      </c>
      <c r="BK266">
        <v>9.1022406999999994</v>
      </c>
      <c r="BL266">
        <v>1200</v>
      </c>
      <c r="BM266" t="s">
        <v>83</v>
      </c>
      <c r="BN266" t="s">
        <v>84</v>
      </c>
      <c r="BO266" t="s">
        <v>85</v>
      </c>
      <c r="BP266" t="s">
        <v>107</v>
      </c>
      <c r="BQ266" t="s">
        <v>108</v>
      </c>
      <c r="BR266" t="s">
        <v>145</v>
      </c>
      <c r="BS266">
        <v>2595079</v>
      </c>
      <c r="BT266">
        <v>564329</v>
      </c>
      <c r="BU266">
        <v>0</v>
      </c>
      <c r="BV266">
        <v>910723</v>
      </c>
      <c r="BW266">
        <v>475217</v>
      </c>
      <c r="BX266">
        <v>644810</v>
      </c>
      <c r="BY266">
        <v>0</v>
      </c>
      <c r="BZ266">
        <v>1</v>
      </c>
      <c r="CA266" t="s">
        <v>365</v>
      </c>
      <c r="CB266" t="s">
        <v>366</v>
      </c>
      <c r="CC266" s="3">
        <v>46092.557106481479</v>
      </c>
      <c r="CD266" t="s">
        <v>91</v>
      </c>
    </row>
    <row r="267" spans="1:82" ht="16" x14ac:dyDescent="0.2">
      <c r="A267" t="s">
        <v>367</v>
      </c>
      <c r="B267" t="s">
        <v>368</v>
      </c>
      <c r="C267" t="s">
        <v>369</v>
      </c>
      <c r="D267" t="s">
        <v>78</v>
      </c>
      <c r="E267" t="s">
        <v>370</v>
      </c>
      <c r="F267">
        <v>4</v>
      </c>
      <c r="G267">
        <v>300</v>
      </c>
      <c r="H267" t="str">
        <f t="shared" si="29"/>
        <v>4x300</v>
      </c>
      <c r="I267">
        <v>365</v>
      </c>
      <c r="J267" s="4">
        <f t="shared" si="30"/>
        <v>5.0694444444444438E-2</v>
      </c>
      <c r="K267">
        <v>551</v>
      </c>
      <c r="L267" s="4">
        <f t="shared" si="31"/>
        <v>7.6527777777777778E-2</v>
      </c>
      <c r="M267">
        <v>836</v>
      </c>
      <c r="N267" s="4">
        <f t="shared" si="32"/>
        <v>0.11611111111111111</v>
      </c>
      <c r="O267">
        <v>1669</v>
      </c>
      <c r="P267" s="4">
        <f t="shared" si="33"/>
        <v>0.23180555555555557</v>
      </c>
      <c r="Q267" s="6">
        <f t="shared" si="28"/>
        <v>2035</v>
      </c>
      <c r="R267" s="6">
        <f t="shared" si="34"/>
        <v>4</v>
      </c>
      <c r="S267">
        <v>245</v>
      </c>
      <c r="T267">
        <v>62</v>
      </c>
      <c r="U267">
        <v>-33</v>
      </c>
      <c r="V267">
        <v>14</v>
      </c>
      <c r="W267">
        <v>-5</v>
      </c>
      <c r="X267">
        <v>131</v>
      </c>
      <c r="Y267" s="2" t="s">
        <v>371</v>
      </c>
      <c r="Z267">
        <v>43.549818000000002</v>
      </c>
      <c r="AA267">
        <v>13.511400099999999</v>
      </c>
      <c r="AB267" t="s">
        <v>78</v>
      </c>
      <c r="AC267" t="s">
        <v>81</v>
      </c>
      <c r="AD267" t="s">
        <v>82</v>
      </c>
      <c r="AE267">
        <v>78966</v>
      </c>
      <c r="AF267">
        <v>0</v>
      </c>
      <c r="AG267">
        <v>0</v>
      </c>
      <c r="AH267">
        <v>34317</v>
      </c>
      <c r="AI267">
        <v>12688</v>
      </c>
      <c r="AJ267">
        <v>31961</v>
      </c>
      <c r="AK267">
        <v>0</v>
      </c>
      <c r="AL267">
        <v>301</v>
      </c>
      <c r="AM267">
        <v>3178</v>
      </c>
      <c r="AN267">
        <v>35232</v>
      </c>
      <c r="AO267">
        <v>158297</v>
      </c>
      <c r="AP267">
        <v>0</v>
      </c>
      <c r="AQ267">
        <v>0</v>
      </c>
      <c r="AR267">
        <v>2</v>
      </c>
      <c r="AS267">
        <v>15</v>
      </c>
      <c r="AT267">
        <v>0</v>
      </c>
      <c r="AU267">
        <v>36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7</v>
      </c>
      <c r="BB267">
        <v>19</v>
      </c>
      <c r="BC267">
        <v>1</v>
      </c>
      <c r="BD267">
        <v>2</v>
      </c>
      <c r="BE267">
        <v>0</v>
      </c>
      <c r="BF267">
        <v>2</v>
      </c>
      <c r="BG267">
        <v>2</v>
      </c>
      <c r="BH267">
        <v>2</v>
      </c>
      <c r="BI267">
        <v>2</v>
      </c>
      <c r="BJ267">
        <v>43.549857299999999</v>
      </c>
      <c r="BK267">
        <v>13.511385799999999</v>
      </c>
      <c r="BL267">
        <v>1200</v>
      </c>
      <c r="BM267" t="s">
        <v>83</v>
      </c>
      <c r="BN267" t="s">
        <v>84</v>
      </c>
      <c r="BO267" t="s">
        <v>85</v>
      </c>
      <c r="BP267" t="s">
        <v>86</v>
      </c>
      <c r="BQ267" t="s">
        <v>372</v>
      </c>
      <c r="BR267" t="s">
        <v>369</v>
      </c>
      <c r="BS267">
        <v>1579407</v>
      </c>
      <c r="BT267">
        <v>0</v>
      </c>
      <c r="BU267">
        <v>0</v>
      </c>
      <c r="BV267">
        <v>686356</v>
      </c>
      <c r="BW267">
        <v>253776</v>
      </c>
      <c r="BX267">
        <v>639275</v>
      </c>
      <c r="BY267">
        <v>0</v>
      </c>
      <c r="BZ267">
        <v>1</v>
      </c>
      <c r="CA267" t="s">
        <v>373</v>
      </c>
      <c r="CB267" t="s">
        <v>374</v>
      </c>
      <c r="CC267" s="3">
        <v>46092.557106481479</v>
      </c>
      <c r="CD267" t="s">
        <v>91</v>
      </c>
    </row>
    <row r="268" spans="1:82" ht="16" x14ac:dyDescent="0.2">
      <c r="A268" t="s">
        <v>375</v>
      </c>
      <c r="B268" t="s">
        <v>376</v>
      </c>
      <c r="C268" t="s">
        <v>377</v>
      </c>
      <c r="D268" t="s">
        <v>78</v>
      </c>
      <c r="E268" t="s">
        <v>378</v>
      </c>
      <c r="F268">
        <v>4</v>
      </c>
      <c r="G268">
        <v>300</v>
      </c>
      <c r="H268" t="str">
        <f t="shared" si="29"/>
        <v>4x300</v>
      </c>
      <c r="I268">
        <v>362</v>
      </c>
      <c r="J268" s="4">
        <f t="shared" si="30"/>
        <v>5.0277777777777782E-2</v>
      </c>
      <c r="K268">
        <v>547</v>
      </c>
      <c r="L268" s="4">
        <f t="shared" si="31"/>
        <v>7.5972222222222219E-2</v>
      </c>
      <c r="M268">
        <v>829</v>
      </c>
      <c r="N268" s="4">
        <f t="shared" si="32"/>
        <v>0.11513888888888889</v>
      </c>
      <c r="O268">
        <v>1655</v>
      </c>
      <c r="P268" s="4">
        <f t="shared" si="33"/>
        <v>0.2298611111111111</v>
      </c>
      <c r="Q268" s="6">
        <f t="shared" si="28"/>
        <v>2035</v>
      </c>
      <c r="R268" s="6">
        <f t="shared" si="34"/>
        <v>4</v>
      </c>
      <c r="S268">
        <v>245</v>
      </c>
      <c r="T268">
        <v>64</v>
      </c>
      <c r="U268">
        <v>9</v>
      </c>
      <c r="V268">
        <v>-6</v>
      </c>
      <c r="W268">
        <v>-9</v>
      </c>
      <c r="X268">
        <v>99</v>
      </c>
      <c r="Y268" s="2" t="s">
        <v>379</v>
      </c>
      <c r="Z268">
        <v>43.735779999999998</v>
      </c>
      <c r="AA268">
        <v>11.29599</v>
      </c>
      <c r="AB268" t="s">
        <v>78</v>
      </c>
      <c r="AC268" t="s">
        <v>81</v>
      </c>
      <c r="AD268" t="s">
        <v>82</v>
      </c>
      <c r="AE268">
        <v>107998</v>
      </c>
      <c r="AF268">
        <v>47825</v>
      </c>
      <c r="AG268">
        <v>0</v>
      </c>
      <c r="AH268">
        <v>46119</v>
      </c>
      <c r="AI268">
        <v>0</v>
      </c>
      <c r="AJ268">
        <v>14054</v>
      </c>
      <c r="AK268">
        <v>0</v>
      </c>
      <c r="AL268">
        <v>4389</v>
      </c>
      <c r="AM268">
        <v>16210</v>
      </c>
      <c r="AN268">
        <v>126571</v>
      </c>
      <c r="AO268">
        <v>439266</v>
      </c>
      <c r="AP268">
        <v>0</v>
      </c>
      <c r="AQ268">
        <v>1</v>
      </c>
      <c r="AR268">
        <v>3</v>
      </c>
      <c r="AS268">
        <v>10</v>
      </c>
      <c r="AT268">
        <v>2</v>
      </c>
      <c r="AU268">
        <v>24</v>
      </c>
      <c r="AV268">
        <v>1</v>
      </c>
      <c r="AW268">
        <v>0</v>
      </c>
      <c r="AX268">
        <v>0</v>
      </c>
      <c r="AY268">
        <v>2</v>
      </c>
      <c r="AZ268">
        <v>0</v>
      </c>
      <c r="BA268">
        <v>10</v>
      </c>
      <c r="BB268">
        <v>22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4</v>
      </c>
      <c r="BJ268">
        <v>43.735883800000003</v>
      </c>
      <c r="BK268">
        <v>11.296255199999999</v>
      </c>
      <c r="BL268">
        <v>1200</v>
      </c>
      <c r="BM268" t="s">
        <v>83</v>
      </c>
      <c r="BN268" t="s">
        <v>84</v>
      </c>
      <c r="BO268" t="s">
        <v>85</v>
      </c>
      <c r="BP268" t="s">
        <v>86</v>
      </c>
      <c r="BQ268" t="s">
        <v>212</v>
      </c>
      <c r="BR268" t="s">
        <v>213</v>
      </c>
      <c r="BS268">
        <v>2542112</v>
      </c>
      <c r="BT268">
        <v>1195645</v>
      </c>
      <c r="BU268">
        <v>0</v>
      </c>
      <c r="BV268">
        <v>1065330</v>
      </c>
      <c r="BW268">
        <v>0</v>
      </c>
      <c r="BX268">
        <v>281137</v>
      </c>
      <c r="BY268">
        <v>0</v>
      </c>
      <c r="BZ268">
        <v>1</v>
      </c>
      <c r="CA268" t="s">
        <v>380</v>
      </c>
      <c r="CB268" t="s">
        <v>381</v>
      </c>
      <c r="CC268" s="3">
        <v>46092.557106481479</v>
      </c>
      <c r="CD268" t="s">
        <v>91</v>
      </c>
    </row>
    <row r="269" spans="1:82" ht="16" x14ac:dyDescent="0.2">
      <c r="A269" t="s">
        <v>382</v>
      </c>
      <c r="B269" t="s">
        <v>383</v>
      </c>
      <c r="C269" t="s">
        <v>384</v>
      </c>
      <c r="D269" t="s">
        <v>78</v>
      </c>
      <c r="E269" t="s">
        <v>385</v>
      </c>
      <c r="F269">
        <v>4</v>
      </c>
      <c r="G269">
        <v>300</v>
      </c>
      <c r="H269" t="str">
        <f t="shared" si="29"/>
        <v>4x300</v>
      </c>
      <c r="I269">
        <v>360</v>
      </c>
      <c r="J269" s="4">
        <f t="shared" si="30"/>
        <v>4.9999999999999996E-2</v>
      </c>
      <c r="K269">
        <v>544</v>
      </c>
      <c r="L269" s="4">
        <f t="shared" si="31"/>
        <v>7.5555555555555556E-2</v>
      </c>
      <c r="M269">
        <v>825</v>
      </c>
      <c r="N269" s="4">
        <f t="shared" si="32"/>
        <v>0.11458333333333333</v>
      </c>
      <c r="O269">
        <v>1646</v>
      </c>
      <c r="P269" s="4">
        <f t="shared" si="33"/>
        <v>0.2286111111111111</v>
      </c>
      <c r="Q269" s="6">
        <f t="shared" si="28"/>
        <v>2035</v>
      </c>
      <c r="R269" s="6">
        <f t="shared" si="34"/>
        <v>4</v>
      </c>
      <c r="S269">
        <v>245</v>
      </c>
      <c r="T269">
        <v>57</v>
      </c>
      <c r="U269">
        <v>-6</v>
      </c>
      <c r="V269">
        <v>9</v>
      </c>
      <c r="W269">
        <v>-3</v>
      </c>
      <c r="X269">
        <v>96</v>
      </c>
      <c r="Y269" s="2" t="s">
        <v>386</v>
      </c>
      <c r="Z269">
        <v>45.542691599016301</v>
      </c>
      <c r="AA269">
        <v>9.0104153595161502</v>
      </c>
      <c r="AB269" t="s">
        <v>78</v>
      </c>
      <c r="AC269" t="s">
        <v>81</v>
      </c>
      <c r="AD269" t="s">
        <v>82</v>
      </c>
      <c r="AE269">
        <v>74194</v>
      </c>
      <c r="AF269">
        <v>0</v>
      </c>
      <c r="AG269">
        <v>0</v>
      </c>
      <c r="AH269">
        <v>28734</v>
      </c>
      <c r="AI269">
        <v>27593</v>
      </c>
      <c r="AJ269">
        <v>17081</v>
      </c>
      <c r="AK269">
        <v>786</v>
      </c>
      <c r="AL269">
        <v>8574</v>
      </c>
      <c r="AM269">
        <v>30058</v>
      </c>
      <c r="AN269">
        <v>144477</v>
      </c>
      <c r="AO269">
        <v>608045</v>
      </c>
      <c r="AP269">
        <v>3</v>
      </c>
      <c r="AQ269">
        <v>0</v>
      </c>
      <c r="AR269">
        <v>2</v>
      </c>
      <c r="AS269">
        <v>18</v>
      </c>
      <c r="AT269">
        <v>5</v>
      </c>
      <c r="AU269">
        <v>29</v>
      </c>
      <c r="AV269">
        <v>1</v>
      </c>
      <c r="AW269">
        <v>0</v>
      </c>
      <c r="AX269">
        <v>2</v>
      </c>
      <c r="AY269">
        <v>0</v>
      </c>
      <c r="AZ269">
        <v>0</v>
      </c>
      <c r="BA269">
        <v>5</v>
      </c>
      <c r="BB269">
        <v>20</v>
      </c>
      <c r="BC269">
        <v>4</v>
      </c>
      <c r="BD269">
        <v>2</v>
      </c>
      <c r="BE269">
        <v>0</v>
      </c>
      <c r="BF269">
        <v>3</v>
      </c>
      <c r="BG269">
        <v>0</v>
      </c>
      <c r="BH269">
        <v>13</v>
      </c>
      <c r="BI269">
        <v>4</v>
      </c>
      <c r="BJ269">
        <v>45.542679300000003</v>
      </c>
      <c r="BK269">
        <v>9.0103826999999992</v>
      </c>
      <c r="BL269">
        <v>1200</v>
      </c>
      <c r="BM269" t="s">
        <v>83</v>
      </c>
      <c r="BN269" t="s">
        <v>84</v>
      </c>
      <c r="BO269" t="s">
        <v>85</v>
      </c>
      <c r="BP269" t="s">
        <v>107</v>
      </c>
      <c r="BQ269" t="s">
        <v>108</v>
      </c>
      <c r="BR269" t="s">
        <v>109</v>
      </c>
      <c r="BS269">
        <v>1483989</v>
      </c>
      <c r="BT269">
        <v>0</v>
      </c>
      <c r="BU269">
        <v>0</v>
      </c>
      <c r="BV269">
        <v>574704</v>
      </c>
      <c r="BW269">
        <v>551894</v>
      </c>
      <c r="BX269">
        <v>341668</v>
      </c>
      <c r="BY269">
        <v>15723</v>
      </c>
      <c r="BZ269">
        <v>1</v>
      </c>
      <c r="CA269" t="s">
        <v>387</v>
      </c>
      <c r="CB269" t="s">
        <v>388</v>
      </c>
      <c r="CC269" s="3">
        <v>46092.557106481479</v>
      </c>
      <c r="CD269" t="s">
        <v>91</v>
      </c>
    </row>
    <row r="270" spans="1:82" ht="16" x14ac:dyDescent="0.2">
      <c r="A270" t="s">
        <v>389</v>
      </c>
      <c r="B270" t="s">
        <v>390</v>
      </c>
      <c r="C270" t="s">
        <v>391</v>
      </c>
      <c r="D270" t="s">
        <v>78</v>
      </c>
      <c r="E270" t="s">
        <v>392</v>
      </c>
      <c r="F270">
        <v>4</v>
      </c>
      <c r="G270">
        <v>300</v>
      </c>
      <c r="H270" t="str">
        <f t="shared" si="29"/>
        <v>4x300</v>
      </c>
      <c r="I270">
        <v>358</v>
      </c>
      <c r="J270" s="4">
        <f t="shared" si="30"/>
        <v>4.9722222222222223E-2</v>
      </c>
      <c r="K270">
        <v>541</v>
      </c>
      <c r="L270" s="4">
        <f t="shared" si="31"/>
        <v>7.513888888888888E-2</v>
      </c>
      <c r="M270">
        <v>821</v>
      </c>
      <c r="N270" s="4">
        <f t="shared" si="32"/>
        <v>0.11402777777777778</v>
      </c>
      <c r="O270">
        <v>1638</v>
      </c>
      <c r="P270" s="4">
        <f t="shared" si="33"/>
        <v>0.22750000000000001</v>
      </c>
      <c r="Q270" s="6">
        <f t="shared" si="28"/>
        <v>2035</v>
      </c>
      <c r="R270" s="6">
        <f t="shared" si="34"/>
        <v>4</v>
      </c>
      <c r="S270">
        <v>245</v>
      </c>
      <c r="T270">
        <v>51</v>
      </c>
      <c r="U270">
        <v>9</v>
      </c>
      <c r="V270">
        <v>3</v>
      </c>
      <c r="W270">
        <v>-5</v>
      </c>
      <c r="X270">
        <v>99</v>
      </c>
      <c r="Y270" s="2" t="s">
        <v>393</v>
      </c>
      <c r="Z270">
        <v>43.805397399999997</v>
      </c>
      <c r="AA270">
        <v>11.1132697</v>
      </c>
      <c r="AB270" t="s">
        <v>78</v>
      </c>
      <c r="AC270" t="s">
        <v>81</v>
      </c>
      <c r="AD270" t="s">
        <v>82</v>
      </c>
      <c r="AE270">
        <v>26906</v>
      </c>
      <c r="AF270">
        <v>0</v>
      </c>
      <c r="AG270">
        <v>0</v>
      </c>
      <c r="AH270">
        <v>0</v>
      </c>
      <c r="AI270">
        <v>16760</v>
      </c>
      <c r="AJ270">
        <v>8904</v>
      </c>
      <c r="AK270">
        <v>1242</v>
      </c>
      <c r="AL270">
        <v>3756</v>
      </c>
      <c r="AM270">
        <v>15914</v>
      </c>
      <c r="AN270">
        <v>103128</v>
      </c>
      <c r="AO270">
        <v>503984</v>
      </c>
      <c r="AP270">
        <v>3</v>
      </c>
      <c r="AQ270">
        <v>1</v>
      </c>
      <c r="AR270">
        <v>4</v>
      </c>
      <c r="AS270">
        <v>15</v>
      </c>
      <c r="AT270">
        <v>4</v>
      </c>
      <c r="AU270">
        <v>20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4</v>
      </c>
      <c r="BI270">
        <v>0</v>
      </c>
      <c r="BJ270">
        <v>43.8054299</v>
      </c>
      <c r="BK270">
        <v>11.113152400000001</v>
      </c>
      <c r="BL270">
        <v>1200</v>
      </c>
      <c r="BM270" t="s">
        <v>83</v>
      </c>
      <c r="BN270" t="s">
        <v>84</v>
      </c>
      <c r="BO270" t="s">
        <v>85</v>
      </c>
      <c r="BP270" t="s">
        <v>86</v>
      </c>
      <c r="BQ270" t="s">
        <v>212</v>
      </c>
      <c r="BR270" t="s">
        <v>213</v>
      </c>
      <c r="BS270">
        <v>538175</v>
      </c>
      <c r="BT270">
        <v>0</v>
      </c>
      <c r="BU270">
        <v>0</v>
      </c>
      <c r="BV270">
        <v>0</v>
      </c>
      <c r="BW270">
        <v>335221</v>
      </c>
      <c r="BX270">
        <v>178098</v>
      </c>
      <c r="BY270">
        <v>24856</v>
      </c>
      <c r="BZ270">
        <v>1</v>
      </c>
      <c r="CA270" t="s">
        <v>394</v>
      </c>
      <c r="CB270" t="s">
        <v>395</v>
      </c>
      <c r="CC270" s="3">
        <v>46092.557106481479</v>
      </c>
      <c r="CD270" t="s">
        <v>91</v>
      </c>
    </row>
    <row r="271" spans="1:82" ht="16" x14ac:dyDescent="0.2">
      <c r="A271" t="s">
        <v>396</v>
      </c>
      <c r="B271" t="s">
        <v>397</v>
      </c>
      <c r="C271" t="s">
        <v>398</v>
      </c>
      <c r="D271" t="s">
        <v>78</v>
      </c>
      <c r="E271" t="s">
        <v>399</v>
      </c>
      <c r="F271">
        <v>4</v>
      </c>
      <c r="G271">
        <v>300</v>
      </c>
      <c r="H271" t="str">
        <f t="shared" si="29"/>
        <v>4x300</v>
      </c>
      <c r="I271">
        <v>356</v>
      </c>
      <c r="J271" s="4">
        <f t="shared" si="30"/>
        <v>4.9444444444444451E-2</v>
      </c>
      <c r="K271">
        <v>537</v>
      </c>
      <c r="L271" s="4">
        <f t="shared" si="31"/>
        <v>7.4583333333333335E-2</v>
      </c>
      <c r="M271">
        <v>814</v>
      </c>
      <c r="N271" s="4">
        <f t="shared" si="32"/>
        <v>0.11305555555555556</v>
      </c>
      <c r="O271">
        <v>1625</v>
      </c>
      <c r="P271" s="4">
        <f t="shared" si="33"/>
        <v>0.22569444444444445</v>
      </c>
      <c r="Q271" s="6">
        <f t="shared" si="28"/>
        <v>2035</v>
      </c>
      <c r="R271" s="6">
        <f t="shared" si="34"/>
        <v>4</v>
      </c>
      <c r="S271">
        <v>245</v>
      </c>
      <c r="T271">
        <v>109</v>
      </c>
      <c r="U271">
        <v>-33</v>
      </c>
      <c r="V271">
        <v>-9</v>
      </c>
      <c r="W271">
        <v>-30</v>
      </c>
      <c r="X271">
        <v>116</v>
      </c>
      <c r="Y271" s="2" t="s">
        <v>400</v>
      </c>
      <c r="Z271">
        <v>41.6770861878679</v>
      </c>
      <c r="AA271">
        <v>12.500755177912099</v>
      </c>
      <c r="AB271" t="s">
        <v>78</v>
      </c>
      <c r="AC271" t="s">
        <v>81</v>
      </c>
      <c r="AD271" t="s">
        <v>82</v>
      </c>
      <c r="AE271">
        <v>99459</v>
      </c>
      <c r="AF271">
        <v>0</v>
      </c>
      <c r="AG271">
        <v>66148</v>
      </c>
      <c r="AH271">
        <v>0</v>
      </c>
      <c r="AI271">
        <v>0</v>
      </c>
      <c r="AJ271">
        <v>23420</v>
      </c>
      <c r="AK271">
        <v>9891</v>
      </c>
      <c r="AL271">
        <v>9326</v>
      </c>
      <c r="AM271">
        <v>25111</v>
      </c>
      <c r="AN271">
        <v>41559</v>
      </c>
      <c r="AO271">
        <v>110995</v>
      </c>
      <c r="AP271">
        <v>6</v>
      </c>
      <c r="AQ271">
        <v>1</v>
      </c>
      <c r="AR271">
        <v>4</v>
      </c>
      <c r="AS271">
        <v>7</v>
      </c>
      <c r="AT271">
        <v>2</v>
      </c>
      <c r="AU271">
        <v>21</v>
      </c>
      <c r="AV271">
        <v>17</v>
      </c>
      <c r="AW271">
        <v>1</v>
      </c>
      <c r="AX271">
        <v>0</v>
      </c>
      <c r="AY271">
        <v>1</v>
      </c>
      <c r="AZ271">
        <v>0</v>
      </c>
      <c r="BA271">
        <v>26</v>
      </c>
      <c r="BB271">
        <v>40</v>
      </c>
      <c r="BC271">
        <v>8</v>
      </c>
      <c r="BD271">
        <v>2</v>
      </c>
      <c r="BE271">
        <v>0</v>
      </c>
      <c r="BF271">
        <v>6</v>
      </c>
      <c r="BG271">
        <v>4</v>
      </c>
      <c r="BH271">
        <v>14</v>
      </c>
      <c r="BI271">
        <v>4</v>
      </c>
      <c r="BJ271">
        <v>41.6772834</v>
      </c>
      <c r="BK271">
        <v>12.500575700000001</v>
      </c>
      <c r="BL271">
        <v>1200</v>
      </c>
      <c r="BM271" t="s">
        <v>83</v>
      </c>
      <c r="BN271" t="s">
        <v>84</v>
      </c>
      <c r="BO271" t="s">
        <v>85</v>
      </c>
      <c r="BP271" t="s">
        <v>86</v>
      </c>
      <c r="BQ271" t="s">
        <v>87</v>
      </c>
      <c r="BR271" t="s">
        <v>88</v>
      </c>
      <c r="BS271">
        <v>2319199</v>
      </c>
      <c r="BT271">
        <v>0</v>
      </c>
      <c r="BU271">
        <v>1719870</v>
      </c>
      <c r="BV271">
        <v>0</v>
      </c>
      <c r="BW271">
        <v>0</v>
      </c>
      <c r="BX271">
        <v>401454</v>
      </c>
      <c r="BY271">
        <v>197875</v>
      </c>
      <c r="BZ271">
        <v>1</v>
      </c>
      <c r="CA271" t="s">
        <v>401</v>
      </c>
      <c r="CB271" t="s">
        <v>402</v>
      </c>
      <c r="CC271" s="3">
        <v>46092.557106481479</v>
      </c>
      <c r="CD271" t="s">
        <v>91</v>
      </c>
    </row>
    <row r="272" spans="1:82" ht="16" x14ac:dyDescent="0.2">
      <c r="A272" t="s">
        <v>403</v>
      </c>
      <c r="B272" t="s">
        <v>404</v>
      </c>
      <c r="C272" t="s">
        <v>405</v>
      </c>
      <c r="D272" t="s">
        <v>78</v>
      </c>
      <c r="E272" t="s">
        <v>406</v>
      </c>
      <c r="F272">
        <v>4</v>
      </c>
      <c r="G272">
        <v>300</v>
      </c>
      <c r="H272" t="str">
        <f t="shared" si="29"/>
        <v>4x300</v>
      </c>
      <c r="I272">
        <v>354</v>
      </c>
      <c r="J272" s="4">
        <f t="shared" si="30"/>
        <v>4.9166666666666664E-2</v>
      </c>
      <c r="K272">
        <v>534</v>
      </c>
      <c r="L272" s="4">
        <f t="shared" si="31"/>
        <v>7.4166666666666672E-2</v>
      </c>
      <c r="M272">
        <v>810</v>
      </c>
      <c r="N272" s="4">
        <f t="shared" si="32"/>
        <v>0.1125</v>
      </c>
      <c r="O272">
        <v>1616</v>
      </c>
      <c r="P272" s="4">
        <f t="shared" si="33"/>
        <v>0.22444444444444445</v>
      </c>
      <c r="Q272" s="6">
        <f t="shared" si="28"/>
        <v>2035</v>
      </c>
      <c r="R272" s="6">
        <f t="shared" si="34"/>
        <v>4</v>
      </c>
      <c r="S272">
        <v>245</v>
      </c>
      <c r="T272">
        <v>108</v>
      </c>
      <c r="U272">
        <v>-32</v>
      </c>
      <c r="V272">
        <v>-4</v>
      </c>
      <c r="W272">
        <v>-15</v>
      </c>
      <c r="X272">
        <v>83</v>
      </c>
      <c r="Y272" s="2" t="s">
        <v>407</v>
      </c>
      <c r="Z272">
        <v>43.996139999999997</v>
      </c>
      <c r="AA272">
        <v>12.645759999999999</v>
      </c>
      <c r="AB272" t="s">
        <v>78</v>
      </c>
      <c r="AC272" t="s">
        <v>81</v>
      </c>
      <c r="AD272" t="s">
        <v>82</v>
      </c>
      <c r="AE272">
        <v>75496</v>
      </c>
      <c r="AF272">
        <v>40126</v>
      </c>
      <c r="AG272">
        <v>0</v>
      </c>
      <c r="AH272">
        <v>7125</v>
      </c>
      <c r="AI272">
        <v>0</v>
      </c>
      <c r="AJ272">
        <v>13436</v>
      </c>
      <c r="AK272">
        <v>14809</v>
      </c>
      <c r="AL272">
        <v>8591</v>
      </c>
      <c r="AM272">
        <v>23990</v>
      </c>
      <c r="AN272">
        <v>57288</v>
      </c>
      <c r="AO272">
        <v>185551</v>
      </c>
      <c r="AP272">
        <v>0</v>
      </c>
      <c r="AQ272">
        <v>2</v>
      </c>
      <c r="AR272">
        <v>3</v>
      </c>
      <c r="AS272">
        <v>11</v>
      </c>
      <c r="AT272">
        <v>5</v>
      </c>
      <c r="AU272">
        <v>14</v>
      </c>
      <c r="AV272">
        <v>5</v>
      </c>
      <c r="AW272">
        <v>2</v>
      </c>
      <c r="AX272">
        <v>0</v>
      </c>
      <c r="AY272">
        <v>1</v>
      </c>
      <c r="AZ272">
        <v>0</v>
      </c>
      <c r="BA272">
        <v>13</v>
      </c>
      <c r="BB272">
        <v>46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6</v>
      </c>
      <c r="BI272">
        <v>0</v>
      </c>
      <c r="BJ272">
        <v>43.996139900000003</v>
      </c>
      <c r="BK272">
        <v>12.645739900000001</v>
      </c>
      <c r="BL272">
        <v>1200</v>
      </c>
      <c r="BM272" t="s">
        <v>83</v>
      </c>
      <c r="BN272" t="s">
        <v>84</v>
      </c>
      <c r="BO272" t="s">
        <v>85</v>
      </c>
      <c r="BP272" t="s">
        <v>160</v>
      </c>
      <c r="BQ272" t="s">
        <v>170</v>
      </c>
      <c r="BR272" t="s">
        <v>408</v>
      </c>
      <c r="BS272">
        <v>1710627</v>
      </c>
      <c r="BT272">
        <v>1003151</v>
      </c>
      <c r="BU272">
        <v>0</v>
      </c>
      <c r="BV272">
        <v>142511</v>
      </c>
      <c r="BW272">
        <v>0</v>
      </c>
      <c r="BX272">
        <v>268733</v>
      </c>
      <c r="BY272">
        <v>296232</v>
      </c>
      <c r="BZ272">
        <v>1</v>
      </c>
      <c r="CA272" t="s">
        <v>409</v>
      </c>
      <c r="CB272" t="s">
        <v>410</v>
      </c>
      <c r="CC272" s="3">
        <v>46092.557106481479</v>
      </c>
      <c r="CD272" t="s">
        <v>91</v>
      </c>
    </row>
    <row r="273" spans="1:82" ht="16" x14ac:dyDescent="0.2">
      <c r="A273" t="s">
        <v>411</v>
      </c>
      <c r="B273" t="s">
        <v>412</v>
      </c>
      <c r="C273" t="s">
        <v>413</v>
      </c>
      <c r="D273" t="s">
        <v>78</v>
      </c>
      <c r="E273" t="s">
        <v>414</v>
      </c>
      <c r="F273">
        <v>4</v>
      </c>
      <c r="G273">
        <v>300</v>
      </c>
      <c r="H273" t="str">
        <f t="shared" si="29"/>
        <v>4x300</v>
      </c>
      <c r="I273">
        <v>352</v>
      </c>
      <c r="J273" s="4">
        <f t="shared" si="30"/>
        <v>4.8888888888888891E-2</v>
      </c>
      <c r="K273">
        <v>532</v>
      </c>
      <c r="L273" s="4">
        <f t="shared" si="31"/>
        <v>7.3888888888888893E-2</v>
      </c>
      <c r="M273">
        <v>807</v>
      </c>
      <c r="N273" s="4">
        <f t="shared" si="32"/>
        <v>0.11208333333333333</v>
      </c>
      <c r="O273">
        <v>1610</v>
      </c>
      <c r="P273" s="4">
        <f t="shared" si="33"/>
        <v>0.22361111111111109</v>
      </c>
      <c r="Q273" s="6">
        <f t="shared" si="28"/>
        <v>2035</v>
      </c>
      <c r="R273" s="6">
        <f t="shared" si="34"/>
        <v>4</v>
      </c>
      <c r="S273">
        <v>245</v>
      </c>
      <c r="T273">
        <v>51</v>
      </c>
      <c r="U273">
        <v>-28</v>
      </c>
      <c r="V273">
        <v>-8</v>
      </c>
      <c r="W273">
        <v>20</v>
      </c>
      <c r="X273">
        <v>120</v>
      </c>
      <c r="Y273" s="2" t="s">
        <v>415</v>
      </c>
      <c r="Z273">
        <v>40.900849999999998</v>
      </c>
      <c r="AA273">
        <v>14.040596000000001</v>
      </c>
      <c r="AB273" t="s">
        <v>78</v>
      </c>
      <c r="AC273" t="s">
        <v>81</v>
      </c>
      <c r="AD273" t="s">
        <v>82</v>
      </c>
      <c r="AE273">
        <v>19160</v>
      </c>
      <c r="AF273">
        <v>0</v>
      </c>
      <c r="AG273">
        <v>0</v>
      </c>
      <c r="AH273">
        <v>0</v>
      </c>
      <c r="AI273">
        <v>12088</v>
      </c>
      <c r="AJ273">
        <v>5580</v>
      </c>
      <c r="AK273">
        <v>1492</v>
      </c>
      <c r="AL273">
        <v>1799</v>
      </c>
      <c r="AM273">
        <v>8336</v>
      </c>
      <c r="AN273">
        <v>42529</v>
      </c>
      <c r="AO273">
        <v>187729</v>
      </c>
      <c r="AP273">
        <v>3</v>
      </c>
      <c r="AQ273">
        <v>0</v>
      </c>
      <c r="AR273">
        <v>3</v>
      </c>
      <c r="AS273">
        <v>12</v>
      </c>
      <c r="AT273">
        <v>2</v>
      </c>
      <c r="AU273">
        <v>21</v>
      </c>
      <c r="AV273">
        <v>0</v>
      </c>
      <c r="AW273">
        <v>0</v>
      </c>
      <c r="AX273">
        <v>5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2</v>
      </c>
      <c r="BE273">
        <v>0</v>
      </c>
      <c r="BF273">
        <v>2</v>
      </c>
      <c r="BG273">
        <v>0</v>
      </c>
      <c r="BH273">
        <v>2</v>
      </c>
      <c r="BI273">
        <v>0</v>
      </c>
      <c r="BJ273">
        <v>40.900739999999999</v>
      </c>
      <c r="BK273">
        <v>14.040509999999999</v>
      </c>
      <c r="BL273">
        <v>1200</v>
      </c>
      <c r="BM273" t="s">
        <v>83</v>
      </c>
      <c r="BN273" t="s">
        <v>84</v>
      </c>
      <c r="BO273" t="s">
        <v>85</v>
      </c>
      <c r="BP273" t="s">
        <v>97</v>
      </c>
      <c r="BQ273" t="s">
        <v>98</v>
      </c>
      <c r="BR273" t="s">
        <v>99</v>
      </c>
      <c r="BS273">
        <v>383320</v>
      </c>
      <c r="BT273">
        <v>0</v>
      </c>
      <c r="BU273">
        <v>0</v>
      </c>
      <c r="BV273">
        <v>0</v>
      </c>
      <c r="BW273">
        <v>241817</v>
      </c>
      <c r="BX273">
        <v>111626</v>
      </c>
      <c r="BY273">
        <v>29877</v>
      </c>
      <c r="BZ273">
        <v>1</v>
      </c>
      <c r="CA273" t="s">
        <v>416</v>
      </c>
      <c r="CB273" t="s">
        <v>417</v>
      </c>
      <c r="CC273" s="3">
        <v>46092.557106481479</v>
      </c>
      <c r="CD273" t="s">
        <v>91</v>
      </c>
    </row>
    <row r="274" spans="1:82" ht="16" x14ac:dyDescent="0.2">
      <c r="A274" t="s">
        <v>418</v>
      </c>
      <c r="B274" t="s">
        <v>419</v>
      </c>
      <c r="C274" t="s">
        <v>420</v>
      </c>
      <c r="D274" t="s">
        <v>78</v>
      </c>
      <c r="E274" t="s">
        <v>421</v>
      </c>
      <c r="F274">
        <v>4</v>
      </c>
      <c r="G274">
        <v>300</v>
      </c>
      <c r="H274" t="str">
        <f t="shared" si="29"/>
        <v>4x300</v>
      </c>
      <c r="I274">
        <v>349</v>
      </c>
      <c r="J274" s="4">
        <f t="shared" si="30"/>
        <v>4.8472222222222222E-2</v>
      </c>
      <c r="K274">
        <v>527</v>
      </c>
      <c r="L274" s="4">
        <f t="shared" si="31"/>
        <v>7.3194444444444437E-2</v>
      </c>
      <c r="M274">
        <v>799</v>
      </c>
      <c r="N274" s="4">
        <f t="shared" si="32"/>
        <v>0.11097222222222224</v>
      </c>
      <c r="O274">
        <v>1594</v>
      </c>
      <c r="P274" s="4">
        <f t="shared" si="33"/>
        <v>0.22138888888888889</v>
      </c>
      <c r="Q274" s="6">
        <f t="shared" si="28"/>
        <v>2035</v>
      </c>
      <c r="R274" s="6">
        <f t="shared" si="34"/>
        <v>4</v>
      </c>
      <c r="S274">
        <v>245</v>
      </c>
      <c r="T274">
        <v>95</v>
      </c>
      <c r="U274">
        <v>-32</v>
      </c>
      <c r="V274">
        <v>-14</v>
      </c>
      <c r="W274">
        <v>-6</v>
      </c>
      <c r="X274">
        <v>104</v>
      </c>
      <c r="Y274" s="2" t="s">
        <v>422</v>
      </c>
      <c r="Z274">
        <v>43.549980120000001</v>
      </c>
      <c r="AA274">
        <v>11.56096037</v>
      </c>
      <c r="AB274" t="s">
        <v>78</v>
      </c>
      <c r="AC274" t="s">
        <v>81</v>
      </c>
      <c r="AD274" t="s">
        <v>82</v>
      </c>
      <c r="AE274">
        <v>106421</v>
      </c>
      <c r="AF274">
        <v>79216</v>
      </c>
      <c r="AG274">
        <v>0</v>
      </c>
      <c r="AH274">
        <v>0</v>
      </c>
      <c r="AI274">
        <v>15083</v>
      </c>
      <c r="AJ274">
        <v>10099</v>
      </c>
      <c r="AK274">
        <v>2023</v>
      </c>
      <c r="AL274">
        <v>1277</v>
      </c>
      <c r="AM274">
        <v>8549</v>
      </c>
      <c r="AN274">
        <v>46015</v>
      </c>
      <c r="AO274">
        <v>83632</v>
      </c>
      <c r="AP274">
        <v>2</v>
      </c>
      <c r="AQ274">
        <v>0</v>
      </c>
      <c r="AR274">
        <v>6</v>
      </c>
      <c r="AS274">
        <v>4</v>
      </c>
      <c r="AT274">
        <v>2</v>
      </c>
      <c r="AU274">
        <v>21</v>
      </c>
      <c r="AV274">
        <v>2</v>
      </c>
      <c r="AW274">
        <v>0</v>
      </c>
      <c r="AX274">
        <v>1</v>
      </c>
      <c r="AY274">
        <v>0</v>
      </c>
      <c r="AZ274">
        <v>0</v>
      </c>
      <c r="BA274">
        <v>6</v>
      </c>
      <c r="BB274">
        <v>21</v>
      </c>
      <c r="BC274">
        <v>4</v>
      </c>
      <c r="BD274">
        <v>4</v>
      </c>
      <c r="BE274">
        <v>0</v>
      </c>
      <c r="BF274">
        <v>4</v>
      </c>
      <c r="BG274">
        <v>0</v>
      </c>
      <c r="BH274">
        <v>6</v>
      </c>
      <c r="BI274">
        <v>0</v>
      </c>
      <c r="BJ274">
        <v>43.549951</v>
      </c>
      <c r="BK274">
        <v>11.560915</v>
      </c>
      <c r="BL274">
        <v>1200</v>
      </c>
      <c r="BM274" t="s">
        <v>83</v>
      </c>
      <c r="BN274" t="s">
        <v>84</v>
      </c>
      <c r="BO274" t="s">
        <v>85</v>
      </c>
      <c r="BP274" t="s">
        <v>86</v>
      </c>
      <c r="BQ274" t="s">
        <v>212</v>
      </c>
      <c r="BR274" t="s">
        <v>423</v>
      </c>
      <c r="BS274">
        <v>2524220</v>
      </c>
      <c r="BT274">
        <v>2018247</v>
      </c>
      <c r="BU274">
        <v>0</v>
      </c>
      <c r="BV274">
        <v>0</v>
      </c>
      <c r="BW274">
        <v>301694</v>
      </c>
      <c r="BX274">
        <v>163813</v>
      </c>
      <c r="BY274">
        <v>40466</v>
      </c>
      <c r="BZ274">
        <v>1</v>
      </c>
      <c r="CA274" t="s">
        <v>424</v>
      </c>
      <c r="CB274" t="s">
        <v>425</v>
      </c>
      <c r="CC274" s="3">
        <v>46092.557106481479</v>
      </c>
      <c r="CD274" t="s">
        <v>91</v>
      </c>
    </row>
    <row r="275" spans="1:82" ht="16" x14ac:dyDescent="0.2">
      <c r="A275" t="s">
        <v>426</v>
      </c>
      <c r="B275" t="s">
        <v>427</v>
      </c>
      <c r="C275" t="s">
        <v>428</v>
      </c>
      <c r="D275" t="s">
        <v>78</v>
      </c>
      <c r="E275" t="s">
        <v>429</v>
      </c>
      <c r="F275">
        <v>4</v>
      </c>
      <c r="G275">
        <v>300</v>
      </c>
      <c r="H275" t="str">
        <f t="shared" si="29"/>
        <v>4x300</v>
      </c>
      <c r="I275">
        <v>344</v>
      </c>
      <c r="J275" s="4">
        <f t="shared" si="30"/>
        <v>4.777777777777778E-2</v>
      </c>
      <c r="K275">
        <v>520</v>
      </c>
      <c r="L275" s="4">
        <f t="shared" si="31"/>
        <v>7.2222222222222229E-2</v>
      </c>
      <c r="M275">
        <v>788</v>
      </c>
      <c r="N275" s="4">
        <f t="shared" si="32"/>
        <v>0.10944444444444444</v>
      </c>
      <c r="O275">
        <v>1573</v>
      </c>
      <c r="P275" s="4">
        <f t="shared" si="33"/>
        <v>0.21847222222222221</v>
      </c>
      <c r="Q275" s="6">
        <f t="shared" si="28"/>
        <v>2035</v>
      </c>
      <c r="R275" s="6">
        <f t="shared" si="34"/>
        <v>4</v>
      </c>
      <c r="S275">
        <v>245</v>
      </c>
      <c r="T275">
        <v>100</v>
      </c>
      <c r="U275">
        <v>-30</v>
      </c>
      <c r="V275">
        <v>-45</v>
      </c>
      <c r="W275">
        <v>4</v>
      </c>
      <c r="X275">
        <v>117</v>
      </c>
      <c r="Y275" s="2" t="s">
        <v>430</v>
      </c>
      <c r="Z275">
        <v>45.648725403241002</v>
      </c>
      <c r="AA275">
        <v>12.311449886505301</v>
      </c>
      <c r="AB275" t="s">
        <v>78</v>
      </c>
      <c r="AC275" t="s">
        <v>81</v>
      </c>
      <c r="AD275" t="s">
        <v>82</v>
      </c>
      <c r="AE275">
        <v>103576</v>
      </c>
      <c r="AF275">
        <v>57988</v>
      </c>
      <c r="AG275">
        <v>0</v>
      </c>
      <c r="AH275">
        <v>22600</v>
      </c>
      <c r="AI275">
        <v>19027</v>
      </c>
      <c r="AJ275">
        <v>3961</v>
      </c>
      <c r="AK275">
        <v>0</v>
      </c>
      <c r="AL275">
        <v>1601</v>
      </c>
      <c r="AM275">
        <v>7961</v>
      </c>
      <c r="AN275">
        <v>54450</v>
      </c>
      <c r="AO275">
        <v>211501</v>
      </c>
      <c r="AP275">
        <v>0</v>
      </c>
      <c r="AQ275">
        <v>0</v>
      </c>
      <c r="AR275">
        <v>2</v>
      </c>
      <c r="AS275">
        <v>2</v>
      </c>
      <c r="AT275">
        <v>0</v>
      </c>
      <c r="AU275">
        <v>23</v>
      </c>
      <c r="AV275">
        <v>3</v>
      </c>
      <c r="AW275">
        <v>0</v>
      </c>
      <c r="AX275">
        <v>0</v>
      </c>
      <c r="AY275">
        <v>0</v>
      </c>
      <c r="AZ275">
        <v>0</v>
      </c>
      <c r="BA275">
        <v>5</v>
      </c>
      <c r="BB275">
        <v>11</v>
      </c>
      <c r="BC275">
        <v>3</v>
      </c>
      <c r="BD275">
        <v>4</v>
      </c>
      <c r="BE275">
        <v>0</v>
      </c>
      <c r="BF275">
        <v>4</v>
      </c>
      <c r="BG275">
        <v>0</v>
      </c>
      <c r="BH275">
        <v>4</v>
      </c>
      <c r="BI275">
        <v>0</v>
      </c>
      <c r="BJ275">
        <v>45.648766100000003</v>
      </c>
      <c r="BK275">
        <v>12.3114645</v>
      </c>
      <c r="BL275">
        <v>1200</v>
      </c>
      <c r="BM275" t="s">
        <v>83</v>
      </c>
      <c r="BN275" t="s">
        <v>84</v>
      </c>
      <c r="BO275" t="s">
        <v>85</v>
      </c>
      <c r="BP275" t="s">
        <v>160</v>
      </c>
      <c r="BQ275" t="s">
        <v>161</v>
      </c>
      <c r="BR275" t="s">
        <v>428</v>
      </c>
      <c r="BS275">
        <v>2555112</v>
      </c>
      <c r="BT275">
        <v>1507720</v>
      </c>
      <c r="BU275">
        <v>0</v>
      </c>
      <c r="BV275">
        <v>587606</v>
      </c>
      <c r="BW275">
        <v>380550</v>
      </c>
      <c r="BX275">
        <v>79236</v>
      </c>
      <c r="BY275">
        <v>0</v>
      </c>
      <c r="BZ275">
        <v>1</v>
      </c>
      <c r="CA275" t="s">
        <v>431</v>
      </c>
      <c r="CB275" t="s">
        <v>432</v>
      </c>
      <c r="CC275" s="3">
        <v>46092.557106481479</v>
      </c>
      <c r="CD275" t="s">
        <v>91</v>
      </c>
    </row>
    <row r="276" spans="1:82" ht="16" x14ac:dyDescent="0.2">
      <c r="A276" t="s">
        <v>433</v>
      </c>
      <c r="B276" t="s">
        <v>434</v>
      </c>
      <c r="C276" t="s">
        <v>435</v>
      </c>
      <c r="D276" t="s">
        <v>78</v>
      </c>
      <c r="E276" t="s">
        <v>436</v>
      </c>
      <c r="F276">
        <v>4</v>
      </c>
      <c r="G276">
        <v>300</v>
      </c>
      <c r="H276" t="str">
        <f t="shared" si="29"/>
        <v>4x300</v>
      </c>
      <c r="I276">
        <v>342</v>
      </c>
      <c r="J276" s="4">
        <f t="shared" si="30"/>
        <v>4.7499999999999994E-2</v>
      </c>
      <c r="K276">
        <v>516</v>
      </c>
      <c r="L276" s="4">
        <f t="shared" si="31"/>
        <v>7.166666666666667E-2</v>
      </c>
      <c r="M276">
        <v>783</v>
      </c>
      <c r="N276" s="4">
        <f t="shared" si="32"/>
        <v>0.10875</v>
      </c>
      <c r="O276">
        <v>1563</v>
      </c>
      <c r="P276" s="4">
        <f t="shared" si="33"/>
        <v>0.21708333333333332</v>
      </c>
      <c r="Q276" s="6">
        <f t="shared" si="28"/>
        <v>2035</v>
      </c>
      <c r="R276" s="6">
        <f t="shared" si="34"/>
        <v>4</v>
      </c>
      <c r="S276">
        <v>245</v>
      </c>
      <c r="T276">
        <v>90</v>
      </c>
      <c r="U276">
        <v>-26</v>
      </c>
      <c r="V276">
        <v>-39</v>
      </c>
      <c r="W276">
        <v>7</v>
      </c>
      <c r="X276">
        <v>108</v>
      </c>
      <c r="Y276" s="2" t="s">
        <v>437</v>
      </c>
      <c r="Z276">
        <v>45.142439353893003</v>
      </c>
      <c r="AA276">
        <v>10.0618828085932</v>
      </c>
      <c r="AB276" t="s">
        <v>78</v>
      </c>
      <c r="AC276" t="s">
        <v>81</v>
      </c>
      <c r="AD276" t="s">
        <v>82</v>
      </c>
      <c r="AE276">
        <v>89445</v>
      </c>
      <c r="AF276">
        <v>24722</v>
      </c>
      <c r="AG276">
        <v>14924</v>
      </c>
      <c r="AH276">
        <v>16497</v>
      </c>
      <c r="AI276">
        <v>19496</v>
      </c>
      <c r="AJ276">
        <v>12373</v>
      </c>
      <c r="AK276">
        <v>1433</v>
      </c>
      <c r="AL276">
        <v>2183</v>
      </c>
      <c r="AM276">
        <v>13363</v>
      </c>
      <c r="AN276">
        <v>74879</v>
      </c>
      <c r="AO276">
        <v>108543</v>
      </c>
      <c r="AP276">
        <v>0</v>
      </c>
      <c r="AQ276">
        <v>0</v>
      </c>
      <c r="AR276">
        <v>1</v>
      </c>
      <c r="AS276">
        <v>0</v>
      </c>
      <c r="AT276">
        <v>2</v>
      </c>
      <c r="AU276">
        <v>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2</v>
      </c>
      <c r="BB276">
        <v>19</v>
      </c>
      <c r="BC276">
        <v>2</v>
      </c>
      <c r="BD276">
        <v>0</v>
      </c>
      <c r="BE276">
        <v>0</v>
      </c>
      <c r="BF276">
        <v>0</v>
      </c>
      <c r="BG276">
        <v>0</v>
      </c>
      <c r="BH276">
        <v>2</v>
      </c>
      <c r="BI276">
        <v>6</v>
      </c>
      <c r="BJ276">
        <v>45.142510000000001</v>
      </c>
      <c r="BK276">
        <v>10.06179</v>
      </c>
      <c r="BL276">
        <v>1200</v>
      </c>
      <c r="BM276" t="s">
        <v>83</v>
      </c>
      <c r="BN276" t="s">
        <v>84</v>
      </c>
      <c r="BO276" t="s">
        <v>85</v>
      </c>
      <c r="BP276" t="s">
        <v>107</v>
      </c>
      <c r="BQ276" t="s">
        <v>108</v>
      </c>
      <c r="BR276" t="s">
        <v>435</v>
      </c>
      <c r="BS276">
        <v>1937462</v>
      </c>
      <c r="BT276">
        <v>642788</v>
      </c>
      <c r="BU276">
        <v>298500</v>
      </c>
      <c r="BV276">
        <v>329948</v>
      </c>
      <c r="BW276">
        <v>390006</v>
      </c>
      <c r="BX276">
        <v>247538</v>
      </c>
      <c r="BY276">
        <v>28682</v>
      </c>
      <c r="BZ276">
        <v>1</v>
      </c>
      <c r="CA276" t="s">
        <v>438</v>
      </c>
      <c r="CB276" t="s">
        <v>439</v>
      </c>
      <c r="CC276" s="3">
        <v>46092.557106481479</v>
      </c>
      <c r="CD276" t="s">
        <v>91</v>
      </c>
    </row>
    <row r="277" spans="1:82" ht="16" x14ac:dyDescent="0.2">
      <c r="A277" t="s">
        <v>440</v>
      </c>
      <c r="B277" t="s">
        <v>441</v>
      </c>
      <c r="C277" t="s">
        <v>442</v>
      </c>
      <c r="D277" t="s">
        <v>78</v>
      </c>
      <c r="E277" t="s">
        <v>443</v>
      </c>
      <c r="F277">
        <v>4</v>
      </c>
      <c r="G277">
        <v>300</v>
      </c>
      <c r="H277" t="str">
        <f t="shared" si="29"/>
        <v>4x300</v>
      </c>
      <c r="I277">
        <v>341</v>
      </c>
      <c r="J277" s="4">
        <f t="shared" si="30"/>
        <v>4.7361111111111111E-2</v>
      </c>
      <c r="K277">
        <v>515</v>
      </c>
      <c r="L277" s="4">
        <f t="shared" si="31"/>
        <v>7.1527777777777773E-2</v>
      </c>
      <c r="M277">
        <v>781</v>
      </c>
      <c r="N277" s="4">
        <f t="shared" si="32"/>
        <v>0.10847222222222223</v>
      </c>
      <c r="O277">
        <v>1559</v>
      </c>
      <c r="P277" s="4">
        <f t="shared" si="33"/>
        <v>0.21652777777777776</v>
      </c>
      <c r="Q277" s="6">
        <f t="shared" si="28"/>
        <v>2035</v>
      </c>
      <c r="R277" s="6">
        <f t="shared" si="34"/>
        <v>4</v>
      </c>
      <c r="S277">
        <v>245</v>
      </c>
      <c r="T277">
        <v>-3</v>
      </c>
      <c r="U277">
        <v>65</v>
      </c>
      <c r="V277">
        <v>-6</v>
      </c>
      <c r="W277">
        <v>-18</v>
      </c>
      <c r="X277">
        <v>86</v>
      </c>
      <c r="Y277" s="2" t="s">
        <v>444</v>
      </c>
      <c r="Z277">
        <v>40.455229899999999</v>
      </c>
      <c r="AA277">
        <v>17.2685414</v>
      </c>
      <c r="AB277" t="s">
        <v>78</v>
      </c>
      <c r="AC277" t="s">
        <v>81</v>
      </c>
      <c r="AD277" t="s">
        <v>82</v>
      </c>
      <c r="AE277">
        <v>43997</v>
      </c>
      <c r="AF277">
        <v>0</v>
      </c>
      <c r="AG277">
        <v>0</v>
      </c>
      <c r="AH277">
        <v>0</v>
      </c>
      <c r="AI277">
        <v>0</v>
      </c>
      <c r="AJ277">
        <v>43997</v>
      </c>
      <c r="AK277">
        <v>0</v>
      </c>
      <c r="AL277">
        <v>29576</v>
      </c>
      <c r="AM277">
        <v>89223</v>
      </c>
      <c r="AN277">
        <v>129066</v>
      </c>
      <c r="AO277">
        <v>216513</v>
      </c>
      <c r="AP277">
        <v>1</v>
      </c>
      <c r="AQ277">
        <v>0</v>
      </c>
      <c r="AR277">
        <v>1</v>
      </c>
      <c r="AS277">
        <v>1</v>
      </c>
      <c r="AT277">
        <v>2</v>
      </c>
      <c r="AU277">
        <v>13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16</v>
      </c>
      <c r="BB277">
        <v>38</v>
      </c>
      <c r="BC277">
        <v>5</v>
      </c>
      <c r="BD277">
        <v>4</v>
      </c>
      <c r="BE277">
        <v>0</v>
      </c>
      <c r="BF277">
        <v>6</v>
      </c>
      <c r="BG277">
        <v>0</v>
      </c>
      <c r="BH277">
        <v>10</v>
      </c>
      <c r="BI277">
        <v>0</v>
      </c>
      <c r="BJ277">
        <v>40.455267300000003</v>
      </c>
      <c r="BK277">
        <v>17.2684839</v>
      </c>
      <c r="BL277">
        <v>1200</v>
      </c>
      <c r="BM277" t="s">
        <v>83</v>
      </c>
      <c r="BN277" t="s">
        <v>84</v>
      </c>
      <c r="BO277" t="s">
        <v>85</v>
      </c>
      <c r="BP277" t="s">
        <v>97</v>
      </c>
      <c r="BQ277" t="s">
        <v>187</v>
      </c>
      <c r="BR277" t="s">
        <v>442</v>
      </c>
      <c r="BS277">
        <v>777417</v>
      </c>
      <c r="BT277">
        <v>0</v>
      </c>
      <c r="BU277">
        <v>0</v>
      </c>
      <c r="BV277">
        <v>0</v>
      </c>
      <c r="BW277">
        <v>0</v>
      </c>
      <c r="BX277">
        <v>777417</v>
      </c>
      <c r="BY277">
        <v>0</v>
      </c>
      <c r="BZ277">
        <v>1</v>
      </c>
      <c r="CA277" t="s">
        <v>445</v>
      </c>
      <c r="CB277" t="s">
        <v>446</v>
      </c>
      <c r="CC277" s="3">
        <v>46092.557106481479</v>
      </c>
      <c r="CD277" t="s">
        <v>91</v>
      </c>
    </row>
    <row r="278" spans="1:82" ht="16" x14ac:dyDescent="0.2">
      <c r="A278" t="s">
        <v>449</v>
      </c>
      <c r="B278" t="s">
        <v>450</v>
      </c>
      <c r="C278" t="s">
        <v>451</v>
      </c>
      <c r="D278" t="s">
        <v>78</v>
      </c>
      <c r="E278" t="s">
        <v>452</v>
      </c>
      <c r="F278">
        <v>4</v>
      </c>
      <c r="G278">
        <v>300</v>
      </c>
      <c r="H278" t="str">
        <f t="shared" si="29"/>
        <v>4x300</v>
      </c>
      <c r="I278">
        <v>337</v>
      </c>
      <c r="J278" s="4">
        <f t="shared" si="30"/>
        <v>4.6805555555555552E-2</v>
      </c>
      <c r="K278">
        <v>509</v>
      </c>
      <c r="L278" s="4">
        <f t="shared" si="31"/>
        <v>7.0694444444444449E-2</v>
      </c>
      <c r="M278">
        <v>772</v>
      </c>
      <c r="N278" s="4">
        <f t="shared" si="32"/>
        <v>0.10722222222222222</v>
      </c>
      <c r="O278">
        <v>1541</v>
      </c>
      <c r="P278" s="4">
        <f t="shared" si="33"/>
        <v>0.21402777777777779</v>
      </c>
      <c r="Q278" s="6">
        <f t="shared" si="28"/>
        <v>2035</v>
      </c>
      <c r="R278" s="6">
        <f t="shared" si="34"/>
        <v>4</v>
      </c>
      <c r="S278">
        <v>245</v>
      </c>
      <c r="T278">
        <v>78</v>
      </c>
      <c r="U278">
        <v>-35</v>
      </c>
      <c r="V278">
        <v>-11</v>
      </c>
      <c r="W278">
        <v>-12</v>
      </c>
      <c r="X278">
        <v>115</v>
      </c>
      <c r="Y278" s="2" t="s">
        <v>453</v>
      </c>
      <c r="Z278">
        <v>43.572907600000001</v>
      </c>
      <c r="AA278">
        <v>10.3305513</v>
      </c>
      <c r="AB278" t="s">
        <v>78</v>
      </c>
      <c r="AC278" t="s">
        <v>81</v>
      </c>
      <c r="AD278" t="s">
        <v>82</v>
      </c>
      <c r="AE278">
        <v>74950</v>
      </c>
      <c r="AF278">
        <v>0</v>
      </c>
      <c r="AG278">
        <v>50105</v>
      </c>
      <c r="AH278">
        <v>17331</v>
      </c>
      <c r="AI278">
        <v>2357</v>
      </c>
      <c r="AJ278">
        <v>567</v>
      </c>
      <c r="AK278">
        <v>4590</v>
      </c>
      <c r="AL278">
        <v>4182</v>
      </c>
      <c r="AM278">
        <v>26464</v>
      </c>
      <c r="AN278">
        <v>124618</v>
      </c>
      <c r="AO278">
        <v>168659</v>
      </c>
      <c r="AP278">
        <v>1</v>
      </c>
      <c r="AQ278">
        <v>0</v>
      </c>
      <c r="AR278">
        <v>1</v>
      </c>
      <c r="AS278">
        <v>3</v>
      </c>
      <c r="AT278">
        <v>0</v>
      </c>
      <c r="AU278">
        <v>14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6</v>
      </c>
      <c r="BB278">
        <v>16</v>
      </c>
      <c r="BC278">
        <v>4</v>
      </c>
      <c r="BD278">
        <v>0</v>
      </c>
      <c r="BE278">
        <v>0</v>
      </c>
      <c r="BF278">
        <v>0</v>
      </c>
      <c r="BG278">
        <v>0</v>
      </c>
      <c r="BH278">
        <v>8</v>
      </c>
      <c r="BI278">
        <v>0</v>
      </c>
      <c r="BJ278">
        <v>43.573089899999999</v>
      </c>
      <c r="BK278">
        <v>10.330909999999999</v>
      </c>
      <c r="BL278">
        <v>1200</v>
      </c>
      <c r="BM278" t="s">
        <v>83</v>
      </c>
      <c r="BN278" t="s">
        <v>84</v>
      </c>
      <c r="BO278" t="s">
        <v>85</v>
      </c>
      <c r="BP278" t="s">
        <v>86</v>
      </c>
      <c r="BQ278" t="s">
        <v>212</v>
      </c>
      <c r="BR278" t="s">
        <v>454</v>
      </c>
      <c r="BS278">
        <v>1499176</v>
      </c>
      <c r="BT278">
        <v>0</v>
      </c>
      <c r="BU278">
        <v>1002140</v>
      </c>
      <c r="BV278">
        <v>346682</v>
      </c>
      <c r="BW278">
        <v>47171</v>
      </c>
      <c r="BX278">
        <v>11355</v>
      </c>
      <c r="BY278">
        <v>91828</v>
      </c>
      <c r="BZ278">
        <v>1</v>
      </c>
      <c r="CA278" t="s">
        <v>455</v>
      </c>
      <c r="CB278" t="s">
        <v>456</v>
      </c>
      <c r="CC278" s="3">
        <v>46092.557106481479</v>
      </c>
      <c r="CD278" t="s">
        <v>91</v>
      </c>
    </row>
    <row r="279" spans="1:82" ht="16" x14ac:dyDescent="0.2">
      <c r="A279" t="s">
        <v>457</v>
      </c>
      <c r="B279" t="s">
        <v>458</v>
      </c>
      <c r="C279" t="s">
        <v>459</v>
      </c>
      <c r="D279" t="s">
        <v>78</v>
      </c>
      <c r="E279" t="s">
        <v>460</v>
      </c>
      <c r="F279">
        <v>4</v>
      </c>
      <c r="G279">
        <v>300</v>
      </c>
      <c r="H279" t="str">
        <f t="shared" si="29"/>
        <v>4x300</v>
      </c>
      <c r="I279">
        <v>336</v>
      </c>
      <c r="J279" s="4">
        <f t="shared" si="30"/>
        <v>4.6666666666666669E-2</v>
      </c>
      <c r="K279">
        <v>507</v>
      </c>
      <c r="L279" s="4">
        <f t="shared" si="31"/>
        <v>7.0416666666666669E-2</v>
      </c>
      <c r="M279">
        <v>769</v>
      </c>
      <c r="N279" s="4">
        <f t="shared" si="32"/>
        <v>0.10680555555555556</v>
      </c>
      <c r="O279">
        <v>1535</v>
      </c>
      <c r="P279" s="4">
        <f t="shared" si="33"/>
        <v>0.21319444444444444</v>
      </c>
      <c r="Q279" s="6">
        <f t="shared" si="28"/>
        <v>2035</v>
      </c>
      <c r="R279" s="6">
        <f t="shared" si="34"/>
        <v>4</v>
      </c>
      <c r="S279">
        <v>245</v>
      </c>
      <c r="T279">
        <v>63</v>
      </c>
      <c r="U279">
        <v>-41</v>
      </c>
      <c r="V279">
        <v>25</v>
      </c>
      <c r="W279">
        <v>-19</v>
      </c>
      <c r="X279">
        <v>102</v>
      </c>
      <c r="Y279" s="2" t="s">
        <v>461</v>
      </c>
      <c r="Z279">
        <v>44.548679999999997</v>
      </c>
      <c r="AA279">
        <v>10.797639999999999</v>
      </c>
      <c r="AB279" t="s">
        <v>78</v>
      </c>
      <c r="AC279" t="s">
        <v>81</v>
      </c>
      <c r="AD279" t="s">
        <v>82</v>
      </c>
      <c r="AE279">
        <v>73261</v>
      </c>
      <c r="AF279">
        <v>0</v>
      </c>
      <c r="AG279">
        <v>0</v>
      </c>
      <c r="AH279">
        <v>0</v>
      </c>
      <c r="AI279">
        <v>36143</v>
      </c>
      <c r="AJ279">
        <v>26183</v>
      </c>
      <c r="AK279">
        <v>10935</v>
      </c>
      <c r="AL279">
        <v>10536</v>
      </c>
      <c r="AM279">
        <v>30689</v>
      </c>
      <c r="AN279">
        <v>79623</v>
      </c>
      <c r="AO279">
        <v>162896</v>
      </c>
      <c r="AP279">
        <v>3</v>
      </c>
      <c r="AQ279">
        <v>0</v>
      </c>
      <c r="AR279">
        <v>3</v>
      </c>
      <c r="AS279">
        <v>10</v>
      </c>
      <c r="AT279">
        <v>0</v>
      </c>
      <c r="AU279">
        <v>33</v>
      </c>
      <c r="AV279">
        <v>5</v>
      </c>
      <c r="AW279">
        <v>2</v>
      </c>
      <c r="AX279">
        <v>2</v>
      </c>
      <c r="AY279">
        <v>0</v>
      </c>
      <c r="AZ279">
        <v>2</v>
      </c>
      <c r="BA279">
        <v>21</v>
      </c>
      <c r="BB279">
        <v>55</v>
      </c>
      <c r="BC279">
        <v>4</v>
      </c>
      <c r="BD279">
        <v>0</v>
      </c>
      <c r="BE279">
        <v>0</v>
      </c>
      <c r="BF279">
        <v>6</v>
      </c>
      <c r="BG279">
        <v>0</v>
      </c>
      <c r="BH279">
        <v>8</v>
      </c>
      <c r="BI279">
        <v>0</v>
      </c>
      <c r="BJ279">
        <v>44.548670000000001</v>
      </c>
      <c r="BK279">
        <v>10.7974999</v>
      </c>
      <c r="BL279">
        <v>1200</v>
      </c>
      <c r="BM279" t="s">
        <v>83</v>
      </c>
      <c r="BN279" t="s">
        <v>84</v>
      </c>
      <c r="BO279" t="s">
        <v>85</v>
      </c>
      <c r="BP279" t="s">
        <v>160</v>
      </c>
      <c r="BQ279" t="s">
        <v>170</v>
      </c>
      <c r="BR279" t="s">
        <v>462</v>
      </c>
      <c r="BS279">
        <v>1139497</v>
      </c>
      <c r="BT279">
        <v>0</v>
      </c>
      <c r="BU279">
        <v>0</v>
      </c>
      <c r="BV279">
        <v>0</v>
      </c>
      <c r="BW279">
        <v>397020</v>
      </c>
      <c r="BX279">
        <v>523705</v>
      </c>
      <c r="BY279">
        <v>218772</v>
      </c>
      <c r="BZ279">
        <v>1</v>
      </c>
      <c r="CA279" t="s">
        <v>463</v>
      </c>
      <c r="CB279" t="s">
        <v>464</v>
      </c>
      <c r="CC279" s="3">
        <v>46092.557106481479</v>
      </c>
      <c r="CD279" t="s">
        <v>91</v>
      </c>
    </row>
    <row r="280" spans="1:82" ht="16" x14ac:dyDescent="0.2">
      <c r="A280" t="s">
        <v>465</v>
      </c>
      <c r="B280" t="s">
        <v>466</v>
      </c>
      <c r="C280" t="s">
        <v>179</v>
      </c>
      <c r="D280" t="s">
        <v>78</v>
      </c>
      <c r="E280" t="s">
        <v>467</v>
      </c>
      <c r="F280">
        <v>4</v>
      </c>
      <c r="G280">
        <v>300</v>
      </c>
      <c r="H280" t="str">
        <f t="shared" si="29"/>
        <v>4x300</v>
      </c>
      <c r="I280">
        <v>335</v>
      </c>
      <c r="J280" s="4">
        <f t="shared" si="30"/>
        <v>4.6527777777777779E-2</v>
      </c>
      <c r="K280">
        <v>505</v>
      </c>
      <c r="L280" s="4">
        <f t="shared" si="31"/>
        <v>7.013888888888889E-2</v>
      </c>
      <c r="M280">
        <v>767</v>
      </c>
      <c r="N280" s="4">
        <f t="shared" si="32"/>
        <v>0.10652777777777778</v>
      </c>
      <c r="O280">
        <v>1530</v>
      </c>
      <c r="P280" s="4">
        <f t="shared" si="33"/>
        <v>0.21249999999999999</v>
      </c>
      <c r="Q280" s="6">
        <f t="shared" si="28"/>
        <v>2035</v>
      </c>
      <c r="R280" s="6">
        <f t="shared" si="34"/>
        <v>4</v>
      </c>
      <c r="S280">
        <v>245</v>
      </c>
      <c r="T280">
        <v>76</v>
      </c>
      <c r="U280">
        <v>-37</v>
      </c>
      <c r="V280">
        <v>20</v>
      </c>
      <c r="W280">
        <v>-32</v>
      </c>
      <c r="X280">
        <v>104</v>
      </c>
      <c r="Y280" s="2" t="s">
        <v>468</v>
      </c>
      <c r="Z280">
        <v>45.558286191935501</v>
      </c>
      <c r="AA280">
        <v>10.2275211779121</v>
      </c>
      <c r="AB280" t="s">
        <v>78</v>
      </c>
      <c r="AC280" t="s">
        <v>81</v>
      </c>
      <c r="AD280" t="s">
        <v>82</v>
      </c>
      <c r="AE280">
        <v>131017</v>
      </c>
      <c r="AF280">
        <v>0</v>
      </c>
      <c r="AG280">
        <v>0</v>
      </c>
      <c r="AH280">
        <v>10595</v>
      </c>
      <c r="AI280">
        <v>59406</v>
      </c>
      <c r="AJ280">
        <v>53084</v>
      </c>
      <c r="AK280">
        <v>7932</v>
      </c>
      <c r="AL280">
        <v>14985</v>
      </c>
      <c r="AM280">
        <v>48242</v>
      </c>
      <c r="AN280">
        <v>185581</v>
      </c>
      <c r="AO280">
        <v>349290</v>
      </c>
      <c r="AP280">
        <v>5</v>
      </c>
      <c r="AQ280">
        <v>0</v>
      </c>
      <c r="AR280">
        <v>4</v>
      </c>
      <c r="AS280">
        <v>5</v>
      </c>
      <c r="AT280">
        <v>2</v>
      </c>
      <c r="AU280">
        <v>31</v>
      </c>
      <c r="AV280">
        <v>8</v>
      </c>
      <c r="AW280">
        <v>0</v>
      </c>
      <c r="AX280">
        <v>3</v>
      </c>
      <c r="AY280">
        <v>1</v>
      </c>
      <c r="AZ280">
        <v>1</v>
      </c>
      <c r="BA280">
        <v>55</v>
      </c>
      <c r="BB280">
        <v>105</v>
      </c>
      <c r="BC280">
        <v>12</v>
      </c>
      <c r="BD280">
        <v>6</v>
      </c>
      <c r="BE280">
        <v>0</v>
      </c>
      <c r="BF280">
        <v>20</v>
      </c>
      <c r="BG280">
        <v>0</v>
      </c>
      <c r="BH280">
        <v>34</v>
      </c>
      <c r="BI280">
        <v>1</v>
      </c>
      <c r="BJ280">
        <v>45.558267899999997</v>
      </c>
      <c r="BK280">
        <v>10.227610200000001</v>
      </c>
      <c r="BL280">
        <v>1200</v>
      </c>
      <c r="BM280" t="s">
        <v>83</v>
      </c>
      <c r="BN280" t="s">
        <v>84</v>
      </c>
      <c r="BO280" t="s">
        <v>85</v>
      </c>
      <c r="BP280" t="s">
        <v>107</v>
      </c>
      <c r="BQ280" t="s">
        <v>108</v>
      </c>
      <c r="BR280" t="s">
        <v>179</v>
      </c>
      <c r="BS280">
        <v>2412912</v>
      </c>
      <c r="BT280">
        <v>0</v>
      </c>
      <c r="BU280">
        <v>0</v>
      </c>
      <c r="BV280">
        <v>211906</v>
      </c>
      <c r="BW280">
        <v>1198584</v>
      </c>
      <c r="BX280">
        <v>843753</v>
      </c>
      <c r="BY280">
        <v>158669</v>
      </c>
      <c r="BZ280">
        <v>1</v>
      </c>
      <c r="CA280" t="s">
        <v>469</v>
      </c>
      <c r="CB280" t="s">
        <v>470</v>
      </c>
      <c r="CC280" s="3">
        <v>46092.557106481479</v>
      </c>
      <c r="CD280" t="s">
        <v>91</v>
      </c>
    </row>
    <row r="281" spans="1:82" ht="16" x14ac:dyDescent="0.2">
      <c r="A281" t="s">
        <v>471</v>
      </c>
      <c r="B281" t="s">
        <v>472</v>
      </c>
      <c r="C281" t="s">
        <v>473</v>
      </c>
      <c r="D281" t="s">
        <v>78</v>
      </c>
      <c r="E281" t="s">
        <v>474</v>
      </c>
      <c r="F281">
        <v>4</v>
      </c>
      <c r="G281">
        <v>300</v>
      </c>
      <c r="H281" t="str">
        <f t="shared" si="29"/>
        <v>4x300</v>
      </c>
      <c r="I281">
        <v>332</v>
      </c>
      <c r="J281" s="4">
        <f t="shared" si="30"/>
        <v>4.611111111111111E-2</v>
      </c>
      <c r="K281">
        <v>502</v>
      </c>
      <c r="L281" s="4">
        <f t="shared" si="31"/>
        <v>6.9722222222222227E-2</v>
      </c>
      <c r="M281">
        <v>761</v>
      </c>
      <c r="N281" s="4">
        <f t="shared" si="32"/>
        <v>0.10569444444444444</v>
      </c>
      <c r="O281">
        <v>1519</v>
      </c>
      <c r="P281" s="4">
        <f t="shared" si="33"/>
        <v>0.21097222222222223</v>
      </c>
      <c r="Q281" s="6">
        <f t="shared" si="28"/>
        <v>2035</v>
      </c>
      <c r="R281" s="6">
        <f t="shared" si="34"/>
        <v>4</v>
      </c>
      <c r="S281">
        <v>245</v>
      </c>
      <c r="T281">
        <v>10</v>
      </c>
      <c r="U281">
        <v>-30</v>
      </c>
      <c r="V281">
        <v>28</v>
      </c>
      <c r="W281">
        <v>17</v>
      </c>
      <c r="X281">
        <v>100</v>
      </c>
      <c r="Y281" s="2" t="s">
        <v>475</v>
      </c>
      <c r="Z281">
        <v>45.326529999999998</v>
      </c>
      <c r="AA281">
        <v>9.1355400000000007</v>
      </c>
      <c r="AB281" t="s">
        <v>78</v>
      </c>
      <c r="AC281" t="s">
        <v>81</v>
      </c>
      <c r="AD281" t="s">
        <v>82</v>
      </c>
      <c r="AE281">
        <v>58690</v>
      </c>
      <c r="AF281">
        <v>0</v>
      </c>
      <c r="AG281">
        <v>0</v>
      </c>
      <c r="AH281">
        <v>45539</v>
      </c>
      <c r="AI281">
        <v>0</v>
      </c>
      <c r="AJ281">
        <v>13151</v>
      </c>
      <c r="AK281">
        <v>0</v>
      </c>
      <c r="AL281">
        <v>5432</v>
      </c>
      <c r="AM281">
        <v>8434</v>
      </c>
      <c r="AN281">
        <v>43328</v>
      </c>
      <c r="AO281">
        <v>205129</v>
      </c>
      <c r="AP281">
        <v>0</v>
      </c>
      <c r="AQ281">
        <v>0</v>
      </c>
      <c r="AR281">
        <v>4</v>
      </c>
      <c r="AS281">
        <v>4</v>
      </c>
      <c r="AT281">
        <v>4</v>
      </c>
      <c r="AU281">
        <v>7</v>
      </c>
      <c r="AV281">
        <v>9</v>
      </c>
      <c r="AW281">
        <v>1</v>
      </c>
      <c r="AX281">
        <v>2</v>
      </c>
      <c r="AY281">
        <v>0</v>
      </c>
      <c r="AZ281">
        <v>1</v>
      </c>
      <c r="BA281">
        <v>3</v>
      </c>
      <c r="BB281">
        <v>3</v>
      </c>
      <c r="BC281">
        <v>0</v>
      </c>
      <c r="BD281">
        <v>2</v>
      </c>
      <c r="BE281">
        <v>0</v>
      </c>
      <c r="BF281">
        <v>2</v>
      </c>
      <c r="BG281">
        <v>0</v>
      </c>
      <c r="BH281">
        <v>2</v>
      </c>
      <c r="BI281">
        <v>0</v>
      </c>
      <c r="BJ281">
        <v>45.326535499999999</v>
      </c>
      <c r="BK281">
        <v>9.1357391999999997</v>
      </c>
      <c r="BL281">
        <v>1200</v>
      </c>
      <c r="BM281" t="s">
        <v>83</v>
      </c>
      <c r="BN281" t="s">
        <v>84</v>
      </c>
      <c r="BO281" t="s">
        <v>85</v>
      </c>
      <c r="BP281" t="s">
        <v>107</v>
      </c>
      <c r="BQ281" t="s">
        <v>108</v>
      </c>
      <c r="BR281" t="s">
        <v>109</v>
      </c>
      <c r="BS281">
        <v>1173885</v>
      </c>
      <c r="BT281">
        <v>0</v>
      </c>
      <c r="BU281">
        <v>0</v>
      </c>
      <c r="BV281">
        <v>910822</v>
      </c>
      <c r="BW281">
        <v>0</v>
      </c>
      <c r="BX281">
        <v>263063</v>
      </c>
      <c r="BY281">
        <v>0</v>
      </c>
      <c r="BZ281">
        <v>1</v>
      </c>
      <c r="CA281" t="s">
        <v>476</v>
      </c>
      <c r="CB281" t="s">
        <v>477</v>
      </c>
      <c r="CC281" s="3">
        <v>46092.557106481479</v>
      </c>
      <c r="CD281" t="s">
        <v>91</v>
      </c>
    </row>
    <row r="282" spans="1:82" ht="16" x14ac:dyDescent="0.2">
      <c r="A282" t="s">
        <v>478</v>
      </c>
      <c r="B282" t="s">
        <v>479</v>
      </c>
      <c r="C282" t="s">
        <v>480</v>
      </c>
      <c r="D282" t="s">
        <v>78</v>
      </c>
      <c r="E282" t="s">
        <v>481</v>
      </c>
      <c r="F282">
        <v>4</v>
      </c>
      <c r="G282">
        <v>300</v>
      </c>
      <c r="H282" t="str">
        <f t="shared" si="29"/>
        <v>4x300</v>
      </c>
      <c r="I282">
        <v>328</v>
      </c>
      <c r="J282" s="4">
        <f t="shared" si="30"/>
        <v>4.5555555555555551E-2</v>
      </c>
      <c r="K282">
        <v>496</v>
      </c>
      <c r="L282" s="4">
        <f t="shared" si="31"/>
        <v>6.8888888888888888E-2</v>
      </c>
      <c r="M282">
        <v>752</v>
      </c>
      <c r="N282" s="4">
        <f t="shared" si="32"/>
        <v>0.10444444444444445</v>
      </c>
      <c r="O282">
        <v>1500</v>
      </c>
      <c r="P282" s="4">
        <f t="shared" si="33"/>
        <v>0.20833333333333334</v>
      </c>
      <c r="Q282" s="6">
        <f t="shared" si="28"/>
        <v>2035</v>
      </c>
      <c r="R282" s="6">
        <f t="shared" si="34"/>
        <v>4</v>
      </c>
      <c r="S282">
        <v>245</v>
      </c>
      <c r="T282">
        <v>11</v>
      </c>
      <c r="U282">
        <v>4</v>
      </c>
      <c r="V282">
        <v>7</v>
      </c>
      <c r="W282">
        <v>1</v>
      </c>
      <c r="X282">
        <v>97</v>
      </c>
      <c r="Y282" s="2" t="s">
        <v>482</v>
      </c>
      <c r="Z282">
        <v>45.482546900000003</v>
      </c>
      <c r="AA282">
        <v>8.9633058000000005</v>
      </c>
      <c r="AB282" t="s">
        <v>78</v>
      </c>
      <c r="AC282" t="s">
        <v>81</v>
      </c>
      <c r="AD282" t="s">
        <v>82</v>
      </c>
      <c r="AE282">
        <v>60635</v>
      </c>
      <c r="AF282">
        <v>0</v>
      </c>
      <c r="AG282">
        <v>0</v>
      </c>
      <c r="AH282">
        <v>17172</v>
      </c>
      <c r="AI282">
        <v>10053</v>
      </c>
      <c r="AJ282">
        <v>22381</v>
      </c>
      <c r="AK282">
        <v>11029</v>
      </c>
      <c r="AL282">
        <v>8239</v>
      </c>
      <c r="AM282">
        <v>22409</v>
      </c>
      <c r="AN282">
        <v>94841</v>
      </c>
      <c r="AO282">
        <v>386818</v>
      </c>
      <c r="AP282">
        <v>0</v>
      </c>
      <c r="AQ282">
        <v>0</v>
      </c>
      <c r="AR282">
        <v>2</v>
      </c>
      <c r="AS282">
        <v>2</v>
      </c>
      <c r="AT282">
        <v>0</v>
      </c>
      <c r="AU282">
        <v>9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20</v>
      </c>
      <c r="BB282">
        <v>33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2</v>
      </c>
      <c r="BI282">
        <v>0</v>
      </c>
      <c r="BJ282">
        <v>45.482489899999997</v>
      </c>
      <c r="BK282">
        <v>8.9632699999999996</v>
      </c>
      <c r="BL282">
        <v>1200</v>
      </c>
      <c r="BM282" t="s">
        <v>83</v>
      </c>
      <c r="BN282" t="s">
        <v>84</v>
      </c>
      <c r="BO282" t="s">
        <v>85</v>
      </c>
      <c r="BP282" t="s">
        <v>107</v>
      </c>
      <c r="BQ282" t="s">
        <v>108</v>
      </c>
      <c r="BR282" t="s">
        <v>109</v>
      </c>
      <c r="BS282">
        <v>1127254</v>
      </c>
      <c r="BT282">
        <v>0</v>
      </c>
      <c r="BU282">
        <v>0</v>
      </c>
      <c r="BV282">
        <v>343459</v>
      </c>
      <c r="BW282">
        <v>201064</v>
      </c>
      <c r="BX282">
        <v>362151</v>
      </c>
      <c r="BY282">
        <v>220580</v>
      </c>
      <c r="BZ282">
        <v>1</v>
      </c>
      <c r="CA282" t="s">
        <v>483</v>
      </c>
      <c r="CB282" t="s">
        <v>484</v>
      </c>
      <c r="CC282" s="3">
        <v>46092.557106481479</v>
      </c>
      <c r="CD282" t="s">
        <v>91</v>
      </c>
    </row>
    <row r="283" spans="1:82" ht="16" x14ac:dyDescent="0.2">
      <c r="A283" t="s">
        <v>485</v>
      </c>
      <c r="B283" t="s">
        <v>486</v>
      </c>
      <c r="C283" t="s">
        <v>487</v>
      </c>
      <c r="D283" t="s">
        <v>78</v>
      </c>
      <c r="E283" t="s">
        <v>488</v>
      </c>
      <c r="F283">
        <v>4</v>
      </c>
      <c r="G283">
        <v>300</v>
      </c>
      <c r="H283" t="str">
        <f t="shared" si="29"/>
        <v>4x300</v>
      </c>
      <c r="I283">
        <v>324</v>
      </c>
      <c r="J283" s="4">
        <f t="shared" si="30"/>
        <v>4.5000000000000005E-2</v>
      </c>
      <c r="K283">
        <v>489</v>
      </c>
      <c r="L283" s="4">
        <f t="shared" si="31"/>
        <v>6.7916666666666667E-2</v>
      </c>
      <c r="M283">
        <v>742</v>
      </c>
      <c r="N283" s="4">
        <f t="shared" si="32"/>
        <v>0.10305555555555555</v>
      </c>
      <c r="O283">
        <v>1481</v>
      </c>
      <c r="P283" s="4">
        <f t="shared" si="33"/>
        <v>0.20569444444444443</v>
      </c>
      <c r="Q283" s="6">
        <f t="shared" si="28"/>
        <v>2035</v>
      </c>
      <c r="R283" s="6">
        <f t="shared" si="34"/>
        <v>4</v>
      </c>
      <c r="S283">
        <v>245</v>
      </c>
      <c r="T283">
        <v>31</v>
      </c>
      <c r="U283">
        <v>0</v>
      </c>
      <c r="V283">
        <v>5</v>
      </c>
      <c r="W283">
        <v>-12</v>
      </c>
      <c r="X283">
        <v>89</v>
      </c>
      <c r="Y283" s="2" t="s">
        <v>489</v>
      </c>
      <c r="Z283">
        <v>45.633763480705198</v>
      </c>
      <c r="AA283">
        <v>8.8334207826973206</v>
      </c>
      <c r="AB283" t="s">
        <v>78</v>
      </c>
      <c r="AC283" t="s">
        <v>81</v>
      </c>
      <c r="AD283" t="s">
        <v>82</v>
      </c>
      <c r="AE283">
        <v>122532</v>
      </c>
      <c r="AF283">
        <v>0</v>
      </c>
      <c r="AG283">
        <v>0</v>
      </c>
      <c r="AH283">
        <v>54210</v>
      </c>
      <c r="AI283">
        <v>11128</v>
      </c>
      <c r="AJ283">
        <v>44571</v>
      </c>
      <c r="AK283">
        <v>12623</v>
      </c>
      <c r="AL283">
        <v>7819</v>
      </c>
      <c r="AM283">
        <v>22609</v>
      </c>
      <c r="AN283">
        <v>176153</v>
      </c>
      <c r="AO283">
        <v>469344</v>
      </c>
      <c r="AP283">
        <v>2</v>
      </c>
      <c r="AQ283">
        <v>0</v>
      </c>
      <c r="AR283">
        <v>4</v>
      </c>
      <c r="AS283">
        <v>13</v>
      </c>
      <c r="AT283">
        <v>1</v>
      </c>
      <c r="AU283">
        <v>18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14</v>
      </c>
      <c r="BB283">
        <v>30</v>
      </c>
      <c r="BC283">
        <v>14</v>
      </c>
      <c r="BD283">
        <v>2</v>
      </c>
      <c r="BE283">
        <v>0</v>
      </c>
      <c r="BF283">
        <v>2</v>
      </c>
      <c r="BG283">
        <v>0</v>
      </c>
      <c r="BH283">
        <v>12</v>
      </c>
      <c r="BI283">
        <v>0</v>
      </c>
      <c r="BJ283">
        <v>45.633851999999997</v>
      </c>
      <c r="BK283">
        <v>8.8332733999999995</v>
      </c>
      <c r="BL283">
        <v>1200</v>
      </c>
      <c r="BM283" t="s">
        <v>83</v>
      </c>
      <c r="BN283" t="s">
        <v>84</v>
      </c>
      <c r="BO283" t="s">
        <v>85</v>
      </c>
      <c r="BP283" t="s">
        <v>107</v>
      </c>
      <c r="BQ283" t="s">
        <v>108</v>
      </c>
      <c r="BR283" t="s">
        <v>305</v>
      </c>
      <c r="BS283">
        <v>2079723</v>
      </c>
      <c r="BT283">
        <v>0</v>
      </c>
      <c r="BU283">
        <v>0</v>
      </c>
      <c r="BV283">
        <v>881330</v>
      </c>
      <c r="BW283">
        <v>222565</v>
      </c>
      <c r="BX283">
        <v>723343</v>
      </c>
      <c r="BY283">
        <v>252485</v>
      </c>
      <c r="BZ283">
        <v>1</v>
      </c>
      <c r="CA283" t="s">
        <v>490</v>
      </c>
      <c r="CB283" t="s">
        <v>491</v>
      </c>
      <c r="CC283" s="3">
        <v>46092.557106481479</v>
      </c>
      <c r="CD283" t="s">
        <v>91</v>
      </c>
    </row>
    <row r="284" spans="1:82" ht="16" x14ac:dyDescent="0.2">
      <c r="A284" t="s">
        <v>492</v>
      </c>
      <c r="B284" t="s">
        <v>493</v>
      </c>
      <c r="C284" t="s">
        <v>494</v>
      </c>
      <c r="D284" t="s">
        <v>78</v>
      </c>
      <c r="E284" t="s">
        <v>495</v>
      </c>
      <c r="F284">
        <v>4</v>
      </c>
      <c r="G284">
        <v>300</v>
      </c>
      <c r="H284" t="str">
        <f t="shared" si="29"/>
        <v>4x300</v>
      </c>
      <c r="I284">
        <v>322</v>
      </c>
      <c r="J284" s="4">
        <f t="shared" si="30"/>
        <v>4.4722222222222219E-2</v>
      </c>
      <c r="K284">
        <v>486</v>
      </c>
      <c r="L284" s="4">
        <f t="shared" si="31"/>
        <v>6.7500000000000004E-2</v>
      </c>
      <c r="M284">
        <v>736</v>
      </c>
      <c r="N284" s="4">
        <f t="shared" si="32"/>
        <v>0.10222222222222221</v>
      </c>
      <c r="O284">
        <v>1470</v>
      </c>
      <c r="P284" s="4">
        <f t="shared" si="33"/>
        <v>0.20416666666666669</v>
      </c>
      <c r="Q284" s="6">
        <f t="shared" si="28"/>
        <v>2035</v>
      </c>
      <c r="R284" s="6">
        <f t="shared" si="34"/>
        <v>4</v>
      </c>
      <c r="S284">
        <v>245</v>
      </c>
      <c r="T284">
        <v>58</v>
      </c>
      <c r="U284">
        <v>-38</v>
      </c>
      <c r="V284">
        <v>24</v>
      </c>
      <c r="W284">
        <v>-24</v>
      </c>
      <c r="X284">
        <v>90</v>
      </c>
      <c r="Y284" s="2" t="s">
        <v>496</v>
      </c>
      <c r="Z284">
        <v>45.149234633140402</v>
      </c>
      <c r="AA284">
        <v>9.9948157797580706</v>
      </c>
      <c r="AB284" t="s">
        <v>78</v>
      </c>
      <c r="AC284" t="s">
        <v>81</v>
      </c>
      <c r="AD284" t="s">
        <v>82</v>
      </c>
      <c r="AE284">
        <v>58738</v>
      </c>
      <c r="AF284">
        <v>0</v>
      </c>
      <c r="AG284">
        <v>0</v>
      </c>
      <c r="AH284">
        <v>26191</v>
      </c>
      <c r="AI284">
        <v>29765</v>
      </c>
      <c r="AJ284">
        <v>2335</v>
      </c>
      <c r="AK284">
        <v>447</v>
      </c>
      <c r="AL284">
        <v>3613</v>
      </c>
      <c r="AM284">
        <v>15098</v>
      </c>
      <c r="AN284">
        <v>73867</v>
      </c>
      <c r="AO284">
        <v>104579</v>
      </c>
      <c r="AP284">
        <v>0</v>
      </c>
      <c r="AQ284">
        <v>0</v>
      </c>
      <c r="AR284">
        <v>5</v>
      </c>
      <c r="AS284">
        <v>29</v>
      </c>
      <c r="AT284">
        <v>3</v>
      </c>
      <c r="AU284">
        <v>16</v>
      </c>
      <c r="AV284">
        <v>1</v>
      </c>
      <c r="AW284">
        <v>2</v>
      </c>
      <c r="AX284">
        <v>0</v>
      </c>
      <c r="AY284">
        <v>0</v>
      </c>
      <c r="AZ284">
        <v>0</v>
      </c>
      <c r="BA284">
        <v>22</v>
      </c>
      <c r="BB284">
        <v>43</v>
      </c>
      <c r="BC284">
        <v>17</v>
      </c>
      <c r="BD284">
        <v>4</v>
      </c>
      <c r="BE284">
        <v>0</v>
      </c>
      <c r="BF284">
        <v>10</v>
      </c>
      <c r="BG284">
        <v>0</v>
      </c>
      <c r="BH284">
        <v>14</v>
      </c>
      <c r="BI284">
        <v>0</v>
      </c>
      <c r="BJ284">
        <v>45.1492</v>
      </c>
      <c r="BK284">
        <v>9.9948399000000006</v>
      </c>
      <c r="BL284">
        <v>1200</v>
      </c>
      <c r="BM284" t="s">
        <v>83</v>
      </c>
      <c r="BN284" t="s">
        <v>84</v>
      </c>
      <c r="BO284" t="s">
        <v>85</v>
      </c>
      <c r="BP284" t="s">
        <v>107</v>
      </c>
      <c r="BQ284" t="s">
        <v>108</v>
      </c>
      <c r="BR284" t="s">
        <v>435</v>
      </c>
      <c r="BS284">
        <v>1169738</v>
      </c>
      <c r="BT284">
        <v>0</v>
      </c>
      <c r="BU284">
        <v>0</v>
      </c>
      <c r="BV284">
        <v>523837</v>
      </c>
      <c r="BW284">
        <v>590215</v>
      </c>
      <c r="BX284">
        <v>46712</v>
      </c>
      <c r="BY284">
        <v>8974</v>
      </c>
      <c r="BZ284">
        <v>1</v>
      </c>
      <c r="CA284" t="s">
        <v>497</v>
      </c>
      <c r="CB284" t="s">
        <v>498</v>
      </c>
      <c r="CC284" s="3">
        <v>46092.557106481479</v>
      </c>
      <c r="CD284" t="s">
        <v>91</v>
      </c>
    </row>
    <row r="285" spans="1:82" ht="16" x14ac:dyDescent="0.2">
      <c r="A285" t="s">
        <v>499</v>
      </c>
      <c r="B285" t="s">
        <v>500</v>
      </c>
      <c r="C285" t="s">
        <v>501</v>
      </c>
      <c r="D285" t="s">
        <v>78</v>
      </c>
      <c r="E285" t="s">
        <v>502</v>
      </c>
      <c r="F285">
        <v>4</v>
      </c>
      <c r="G285">
        <v>300</v>
      </c>
      <c r="H285" t="str">
        <f t="shared" si="29"/>
        <v>4x300</v>
      </c>
      <c r="I285">
        <v>320</v>
      </c>
      <c r="J285" s="4">
        <f t="shared" si="30"/>
        <v>4.4444444444444446E-2</v>
      </c>
      <c r="K285">
        <v>483</v>
      </c>
      <c r="L285" s="4">
        <f t="shared" si="31"/>
        <v>6.7083333333333342E-2</v>
      </c>
      <c r="M285">
        <v>732</v>
      </c>
      <c r="N285" s="4">
        <f t="shared" si="32"/>
        <v>0.10166666666666667</v>
      </c>
      <c r="O285">
        <v>1461</v>
      </c>
      <c r="P285" s="4">
        <f t="shared" si="33"/>
        <v>0.20291666666666666</v>
      </c>
      <c r="Q285" s="6">
        <f t="shared" si="28"/>
        <v>2035</v>
      </c>
      <c r="R285" s="6">
        <f t="shared" si="34"/>
        <v>4</v>
      </c>
      <c r="S285">
        <v>245</v>
      </c>
      <c r="T285">
        <v>3</v>
      </c>
      <c r="U285">
        <v>-32</v>
      </c>
      <c r="V285">
        <v>45</v>
      </c>
      <c r="W285">
        <v>-5</v>
      </c>
      <c r="X285">
        <v>108</v>
      </c>
      <c r="Y285" s="2" t="s">
        <v>503</v>
      </c>
      <c r="Z285">
        <v>45.161174593903397</v>
      </c>
      <c r="AA285">
        <v>9.1316349018458904</v>
      </c>
      <c r="AB285" t="s">
        <v>78</v>
      </c>
      <c r="AC285" t="s">
        <v>81</v>
      </c>
      <c r="AD285" t="s">
        <v>82</v>
      </c>
      <c r="AE285">
        <v>50624</v>
      </c>
      <c r="AF285">
        <v>17953</v>
      </c>
      <c r="AG285">
        <v>0</v>
      </c>
      <c r="AH285">
        <v>16223</v>
      </c>
      <c r="AI285">
        <v>6121</v>
      </c>
      <c r="AJ285">
        <v>10327</v>
      </c>
      <c r="AK285">
        <v>0</v>
      </c>
      <c r="AL285">
        <v>3621</v>
      </c>
      <c r="AM285">
        <v>8949</v>
      </c>
      <c r="AN285">
        <v>68261</v>
      </c>
      <c r="AO285">
        <v>118625</v>
      </c>
      <c r="AP285">
        <v>0</v>
      </c>
      <c r="AQ285">
        <v>0</v>
      </c>
      <c r="AR285">
        <v>6</v>
      </c>
      <c r="AS285">
        <v>7</v>
      </c>
      <c r="AT285">
        <v>2</v>
      </c>
      <c r="AU285">
        <v>34</v>
      </c>
      <c r="AV285">
        <v>2</v>
      </c>
      <c r="AW285">
        <v>0</v>
      </c>
      <c r="AX285">
        <v>3</v>
      </c>
      <c r="AY285">
        <v>0</v>
      </c>
      <c r="AZ285">
        <v>1</v>
      </c>
      <c r="BA285">
        <v>14</v>
      </c>
      <c r="BB285">
        <v>24</v>
      </c>
      <c r="BC285">
        <v>9</v>
      </c>
      <c r="BD285">
        <v>2</v>
      </c>
      <c r="BE285">
        <v>0</v>
      </c>
      <c r="BF285">
        <v>4</v>
      </c>
      <c r="BG285">
        <v>0</v>
      </c>
      <c r="BH285">
        <v>6</v>
      </c>
      <c r="BI285">
        <v>0</v>
      </c>
      <c r="BJ285">
        <v>45.160783199999997</v>
      </c>
      <c r="BK285">
        <v>9.1322530999999998</v>
      </c>
      <c r="BL285">
        <v>1200</v>
      </c>
      <c r="BM285" t="s">
        <v>83</v>
      </c>
      <c r="BN285" t="s">
        <v>84</v>
      </c>
      <c r="BO285" t="s">
        <v>85</v>
      </c>
      <c r="BP285" t="s">
        <v>107</v>
      </c>
      <c r="BQ285" t="s">
        <v>108</v>
      </c>
      <c r="BR285" t="s">
        <v>501</v>
      </c>
      <c r="BS285">
        <v>1012573</v>
      </c>
      <c r="BT285">
        <v>359065</v>
      </c>
      <c r="BU285">
        <v>0</v>
      </c>
      <c r="BV285">
        <v>324488</v>
      </c>
      <c r="BW285">
        <v>122439</v>
      </c>
      <c r="BX285">
        <v>206581</v>
      </c>
      <c r="BY285">
        <v>0</v>
      </c>
      <c r="BZ285">
        <v>1</v>
      </c>
      <c r="CA285" t="s">
        <v>504</v>
      </c>
      <c r="CB285" t="s">
        <v>505</v>
      </c>
      <c r="CC285" s="3">
        <v>46092.557106481479</v>
      </c>
      <c r="CD285" t="s">
        <v>91</v>
      </c>
    </row>
    <row r="286" spans="1:82" ht="16" x14ac:dyDescent="0.2">
      <c r="A286" t="s">
        <v>507</v>
      </c>
      <c r="B286" t="s">
        <v>508</v>
      </c>
      <c r="C286" t="s">
        <v>509</v>
      </c>
      <c r="D286" t="s">
        <v>78</v>
      </c>
      <c r="E286" t="s">
        <v>510</v>
      </c>
      <c r="F286">
        <v>4</v>
      </c>
      <c r="G286">
        <v>300</v>
      </c>
      <c r="H286" t="str">
        <f t="shared" si="29"/>
        <v>4x300</v>
      </c>
      <c r="I286">
        <v>317</v>
      </c>
      <c r="J286" s="4">
        <f t="shared" si="30"/>
        <v>4.4027777777777777E-2</v>
      </c>
      <c r="K286">
        <v>479</v>
      </c>
      <c r="L286" s="4">
        <f t="shared" si="31"/>
        <v>6.6527777777777783E-2</v>
      </c>
      <c r="M286">
        <v>727</v>
      </c>
      <c r="N286" s="4">
        <f t="shared" si="32"/>
        <v>0.10097222222222223</v>
      </c>
      <c r="O286">
        <v>1451</v>
      </c>
      <c r="P286" s="4">
        <f t="shared" si="33"/>
        <v>0.20152777777777778</v>
      </c>
      <c r="Q286" s="6">
        <f t="shared" si="28"/>
        <v>2035</v>
      </c>
      <c r="R286" s="6">
        <f t="shared" si="34"/>
        <v>4</v>
      </c>
      <c r="S286">
        <v>245</v>
      </c>
      <c r="T286">
        <v>91</v>
      </c>
      <c r="U286">
        <v>-38</v>
      </c>
      <c r="V286">
        <v>-26</v>
      </c>
      <c r="W286">
        <v>-18</v>
      </c>
      <c r="X286">
        <v>107</v>
      </c>
      <c r="Y286" s="2" t="s">
        <v>511</v>
      </c>
      <c r="Z286">
        <v>44.653759999999998</v>
      </c>
      <c r="AA286">
        <v>10.909890000000001</v>
      </c>
      <c r="AB286" t="s">
        <v>78</v>
      </c>
      <c r="AC286" t="s">
        <v>81</v>
      </c>
      <c r="AD286" t="s">
        <v>82</v>
      </c>
      <c r="AE286">
        <v>100189</v>
      </c>
      <c r="AF286">
        <v>0</v>
      </c>
      <c r="AG286">
        <v>0</v>
      </c>
      <c r="AH286">
        <v>0</v>
      </c>
      <c r="AI286">
        <v>21684</v>
      </c>
      <c r="AJ286">
        <v>64945</v>
      </c>
      <c r="AK286">
        <v>13560</v>
      </c>
      <c r="AL286">
        <v>13026</v>
      </c>
      <c r="AM286">
        <v>55648</v>
      </c>
      <c r="AN286">
        <v>162561</v>
      </c>
      <c r="AO286">
        <v>232464</v>
      </c>
      <c r="AP286">
        <v>0</v>
      </c>
      <c r="AQ286">
        <v>1</v>
      </c>
      <c r="AR286">
        <v>4</v>
      </c>
      <c r="AS286">
        <v>10</v>
      </c>
      <c r="AT286">
        <v>5</v>
      </c>
      <c r="AU286">
        <v>30</v>
      </c>
      <c r="AV286">
        <v>1</v>
      </c>
      <c r="AW286">
        <v>0</v>
      </c>
      <c r="AX286">
        <v>1</v>
      </c>
      <c r="AY286">
        <v>0</v>
      </c>
      <c r="AZ286">
        <v>4</v>
      </c>
      <c r="BA286">
        <v>10</v>
      </c>
      <c r="BB286">
        <v>63</v>
      </c>
      <c r="BC286">
        <v>2</v>
      </c>
      <c r="BD286">
        <v>1</v>
      </c>
      <c r="BE286">
        <v>0</v>
      </c>
      <c r="BF286">
        <v>3</v>
      </c>
      <c r="BG286">
        <v>0</v>
      </c>
      <c r="BH286">
        <v>15</v>
      </c>
      <c r="BI286">
        <v>0</v>
      </c>
      <c r="BJ286">
        <v>44.653704300000001</v>
      </c>
      <c r="BK286">
        <v>10.910024399999999</v>
      </c>
      <c r="BL286">
        <v>1200</v>
      </c>
      <c r="BM286" t="s">
        <v>83</v>
      </c>
      <c r="BN286" t="s">
        <v>84</v>
      </c>
      <c r="BO286" t="s">
        <v>85</v>
      </c>
      <c r="BP286" t="s">
        <v>160</v>
      </c>
      <c r="BQ286" t="s">
        <v>170</v>
      </c>
      <c r="BR286" t="s">
        <v>462</v>
      </c>
      <c r="BS286">
        <v>1839620</v>
      </c>
      <c r="BT286">
        <v>0</v>
      </c>
      <c r="BU286">
        <v>0</v>
      </c>
      <c r="BV286">
        <v>0</v>
      </c>
      <c r="BW286">
        <v>433699</v>
      </c>
      <c r="BX286">
        <v>1134683</v>
      </c>
      <c r="BY286">
        <v>271238</v>
      </c>
      <c r="BZ286">
        <v>1</v>
      </c>
      <c r="CA286" t="s">
        <v>512</v>
      </c>
      <c r="CB286" t="s">
        <v>513</v>
      </c>
      <c r="CC286" s="3">
        <v>46092.557106481479</v>
      </c>
      <c r="CD286" t="s">
        <v>91</v>
      </c>
    </row>
    <row r="287" spans="1:82" ht="16" x14ac:dyDescent="0.2">
      <c r="A287" t="s">
        <v>514</v>
      </c>
      <c r="B287" t="s">
        <v>515</v>
      </c>
      <c r="C287" t="s">
        <v>516</v>
      </c>
      <c r="D287" t="s">
        <v>78</v>
      </c>
      <c r="E287" t="s">
        <v>517</v>
      </c>
      <c r="F287">
        <v>4</v>
      </c>
      <c r="G287">
        <v>300</v>
      </c>
      <c r="H287" t="str">
        <f t="shared" si="29"/>
        <v>4x300</v>
      </c>
      <c r="I287">
        <v>312</v>
      </c>
      <c r="J287" s="4">
        <f t="shared" si="30"/>
        <v>4.3333333333333335E-2</v>
      </c>
      <c r="K287">
        <v>471</v>
      </c>
      <c r="L287" s="4">
        <f t="shared" si="31"/>
        <v>6.5416666666666665E-2</v>
      </c>
      <c r="M287">
        <v>714</v>
      </c>
      <c r="N287" s="4">
        <f t="shared" si="32"/>
        <v>9.9166666666666667E-2</v>
      </c>
      <c r="O287">
        <v>1425</v>
      </c>
      <c r="P287" s="4">
        <f t="shared" si="33"/>
        <v>0.19791666666666666</v>
      </c>
      <c r="Q287" s="6">
        <f t="shared" si="28"/>
        <v>2035</v>
      </c>
      <c r="R287" s="6">
        <f t="shared" si="34"/>
        <v>4</v>
      </c>
      <c r="S287">
        <v>245</v>
      </c>
      <c r="T287">
        <v>34</v>
      </c>
      <c r="U287">
        <v>-29</v>
      </c>
      <c r="V287">
        <v>3</v>
      </c>
      <c r="W287">
        <v>1</v>
      </c>
      <c r="X287">
        <v>95</v>
      </c>
      <c r="Y287" s="2" t="s">
        <v>518</v>
      </c>
      <c r="Z287">
        <v>45.64284</v>
      </c>
      <c r="AA287">
        <v>11.77336</v>
      </c>
      <c r="AB287" t="s">
        <v>78</v>
      </c>
      <c r="AC287" t="s">
        <v>81</v>
      </c>
      <c r="AD287" t="s">
        <v>82</v>
      </c>
      <c r="AE287">
        <v>67358</v>
      </c>
      <c r="AF287">
        <v>0</v>
      </c>
      <c r="AG287">
        <v>20549</v>
      </c>
      <c r="AH287">
        <v>26964</v>
      </c>
      <c r="AI287">
        <v>0</v>
      </c>
      <c r="AJ287">
        <v>19845</v>
      </c>
      <c r="AK287">
        <v>0</v>
      </c>
      <c r="AL287">
        <v>3841</v>
      </c>
      <c r="AM287">
        <v>11982</v>
      </c>
      <c r="AN287">
        <v>44200</v>
      </c>
      <c r="AO287">
        <v>139715</v>
      </c>
      <c r="AP287">
        <v>0</v>
      </c>
      <c r="AQ287">
        <v>1</v>
      </c>
      <c r="AR287">
        <v>4</v>
      </c>
      <c r="AS287">
        <v>6</v>
      </c>
      <c r="AT287">
        <v>1</v>
      </c>
      <c r="AU287">
        <v>10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4</v>
      </c>
      <c r="BB287">
        <v>16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45.642820700000001</v>
      </c>
      <c r="BK287">
        <v>11.773377200000001</v>
      </c>
      <c r="BL287">
        <v>1200</v>
      </c>
      <c r="BM287" t="s">
        <v>83</v>
      </c>
      <c r="BN287" t="s">
        <v>84</v>
      </c>
      <c r="BO287" t="s">
        <v>85</v>
      </c>
      <c r="BP287" t="s">
        <v>160</v>
      </c>
      <c r="BQ287" t="s">
        <v>161</v>
      </c>
      <c r="BR287" t="s">
        <v>519</v>
      </c>
      <c r="BS287">
        <v>1347317</v>
      </c>
      <c r="BT287">
        <v>0</v>
      </c>
      <c r="BU287">
        <v>410998</v>
      </c>
      <c r="BV287">
        <v>539321</v>
      </c>
      <c r="BW287">
        <v>0</v>
      </c>
      <c r="BX287">
        <v>396998</v>
      </c>
      <c r="BY287">
        <v>0</v>
      </c>
      <c r="BZ287">
        <v>1</v>
      </c>
      <c r="CA287" t="s">
        <v>520</v>
      </c>
      <c r="CB287" t="s">
        <v>521</v>
      </c>
      <c r="CC287" s="3">
        <v>46092.557106481479</v>
      </c>
      <c r="CD287" t="s">
        <v>91</v>
      </c>
    </row>
    <row r="288" spans="1:82" ht="16" x14ac:dyDescent="0.2">
      <c r="A288" t="s">
        <v>522</v>
      </c>
      <c r="B288" t="s">
        <v>523</v>
      </c>
      <c r="C288" t="s">
        <v>524</v>
      </c>
      <c r="D288" t="s">
        <v>78</v>
      </c>
      <c r="E288" t="s">
        <v>525</v>
      </c>
      <c r="F288">
        <v>4</v>
      </c>
      <c r="G288">
        <v>300</v>
      </c>
      <c r="H288" t="str">
        <f t="shared" si="29"/>
        <v>4x300</v>
      </c>
      <c r="I288">
        <v>310</v>
      </c>
      <c r="J288" s="4">
        <f t="shared" si="30"/>
        <v>4.3055555555555562E-2</v>
      </c>
      <c r="K288">
        <v>468</v>
      </c>
      <c r="L288" s="4">
        <f t="shared" si="31"/>
        <v>6.5000000000000002E-2</v>
      </c>
      <c r="M288">
        <v>709</v>
      </c>
      <c r="N288" s="4">
        <f t="shared" si="32"/>
        <v>9.8472222222222225E-2</v>
      </c>
      <c r="O288">
        <v>1415</v>
      </c>
      <c r="P288" s="4">
        <f t="shared" si="33"/>
        <v>0.19652777777777777</v>
      </c>
      <c r="Q288" s="6">
        <f t="shared" si="28"/>
        <v>2035</v>
      </c>
      <c r="R288" s="6">
        <f t="shared" si="34"/>
        <v>4</v>
      </c>
      <c r="S288">
        <v>245</v>
      </c>
      <c r="T288">
        <v>61</v>
      </c>
      <c r="U288">
        <v>-31</v>
      </c>
      <c r="V288">
        <v>-16</v>
      </c>
      <c r="W288">
        <v>-5</v>
      </c>
      <c r="X288">
        <v>97</v>
      </c>
      <c r="Y288" s="2" t="s">
        <v>526</v>
      </c>
      <c r="Z288">
        <v>45.689129007680002</v>
      </c>
      <c r="AA288">
        <v>11.4842185865053</v>
      </c>
      <c r="AB288" t="s">
        <v>78</v>
      </c>
      <c r="AC288" t="s">
        <v>81</v>
      </c>
      <c r="AD288" t="s">
        <v>82</v>
      </c>
      <c r="AE288">
        <v>39893</v>
      </c>
      <c r="AF288">
        <v>0</v>
      </c>
      <c r="AG288">
        <v>0</v>
      </c>
      <c r="AH288">
        <v>0</v>
      </c>
      <c r="AI288">
        <v>32595</v>
      </c>
      <c r="AJ288">
        <v>7298</v>
      </c>
      <c r="AK288">
        <v>0</v>
      </c>
      <c r="AL288">
        <v>2790</v>
      </c>
      <c r="AM288">
        <v>12185</v>
      </c>
      <c r="AN288">
        <v>54584</v>
      </c>
      <c r="AO288">
        <v>172006</v>
      </c>
      <c r="AP288">
        <v>3</v>
      </c>
      <c r="AQ288">
        <v>0</v>
      </c>
      <c r="AR288">
        <v>6</v>
      </c>
      <c r="AS288">
        <v>16</v>
      </c>
      <c r="AT288">
        <v>1</v>
      </c>
      <c r="AU288">
        <v>29</v>
      </c>
      <c r="AV288">
        <v>2</v>
      </c>
      <c r="AW288">
        <v>1</v>
      </c>
      <c r="AX288">
        <v>0</v>
      </c>
      <c r="AY288">
        <v>0</v>
      </c>
      <c r="AZ288">
        <v>0</v>
      </c>
      <c r="BA288">
        <v>8</v>
      </c>
      <c r="BB288">
        <v>16</v>
      </c>
      <c r="BC288">
        <v>2</v>
      </c>
      <c r="BD288">
        <v>0</v>
      </c>
      <c r="BE288">
        <v>0</v>
      </c>
      <c r="BF288">
        <v>4</v>
      </c>
      <c r="BG288">
        <v>0</v>
      </c>
      <c r="BH288">
        <v>4</v>
      </c>
      <c r="BI288">
        <v>0</v>
      </c>
      <c r="BJ288">
        <v>45.689099599999999</v>
      </c>
      <c r="BK288">
        <v>11.4842213</v>
      </c>
      <c r="BL288">
        <v>1200</v>
      </c>
      <c r="BM288" t="s">
        <v>83</v>
      </c>
      <c r="BN288" t="s">
        <v>84</v>
      </c>
      <c r="BO288" t="s">
        <v>85</v>
      </c>
      <c r="BP288" t="s">
        <v>160</v>
      </c>
      <c r="BQ288" t="s">
        <v>161</v>
      </c>
      <c r="BR288" t="s">
        <v>527</v>
      </c>
      <c r="BS288">
        <v>797949</v>
      </c>
      <c r="BT288">
        <v>0</v>
      </c>
      <c r="BU288">
        <v>0</v>
      </c>
      <c r="BV288">
        <v>0</v>
      </c>
      <c r="BW288">
        <v>651960</v>
      </c>
      <c r="BX288">
        <v>145989</v>
      </c>
      <c r="BY288">
        <v>0</v>
      </c>
      <c r="BZ288">
        <v>1</v>
      </c>
      <c r="CA288" t="s">
        <v>528</v>
      </c>
      <c r="CB288" t="s">
        <v>529</v>
      </c>
      <c r="CC288" s="3">
        <v>46092.557106481479</v>
      </c>
      <c r="CD288" t="s">
        <v>91</v>
      </c>
    </row>
    <row r="289" spans="1:82" ht="16" x14ac:dyDescent="0.2">
      <c r="A289" t="s">
        <v>530</v>
      </c>
      <c r="B289" t="s">
        <v>531</v>
      </c>
      <c r="C289" t="s">
        <v>532</v>
      </c>
      <c r="D289" t="s">
        <v>78</v>
      </c>
      <c r="E289" t="s">
        <v>533</v>
      </c>
      <c r="F289">
        <v>4</v>
      </c>
      <c r="G289">
        <v>300</v>
      </c>
      <c r="H289" t="str">
        <f t="shared" si="29"/>
        <v>4x300</v>
      </c>
      <c r="I289">
        <v>309</v>
      </c>
      <c r="J289" s="4">
        <f t="shared" si="30"/>
        <v>4.2916666666666665E-2</v>
      </c>
      <c r="K289">
        <v>466</v>
      </c>
      <c r="L289" s="4">
        <f t="shared" si="31"/>
        <v>6.4722222222222223E-2</v>
      </c>
      <c r="M289">
        <v>707</v>
      </c>
      <c r="N289" s="4">
        <f t="shared" si="32"/>
        <v>9.8194444444444431E-2</v>
      </c>
      <c r="O289">
        <v>1411</v>
      </c>
      <c r="P289" s="4">
        <f t="shared" si="33"/>
        <v>0.19597222222222221</v>
      </c>
      <c r="Q289" s="6">
        <f t="shared" si="28"/>
        <v>2035</v>
      </c>
      <c r="R289" s="6">
        <f t="shared" si="34"/>
        <v>4</v>
      </c>
      <c r="S289">
        <v>245</v>
      </c>
      <c r="T289">
        <v>17</v>
      </c>
      <c r="U289">
        <v>-2</v>
      </c>
      <c r="V289">
        <v>6</v>
      </c>
      <c r="W289">
        <v>-13</v>
      </c>
      <c r="X289">
        <v>89</v>
      </c>
      <c r="Y289" s="2" t="s">
        <v>534</v>
      </c>
      <c r="Z289">
        <v>45.590515099999998</v>
      </c>
      <c r="AA289">
        <v>9.0504111999999992</v>
      </c>
      <c r="AB289" t="s">
        <v>78</v>
      </c>
      <c r="AC289" t="s">
        <v>81</v>
      </c>
      <c r="AD289" t="s">
        <v>82</v>
      </c>
      <c r="AE289">
        <v>44775</v>
      </c>
      <c r="AF289">
        <v>0</v>
      </c>
      <c r="AG289">
        <v>0</v>
      </c>
      <c r="AH289">
        <v>16158</v>
      </c>
      <c r="AI289">
        <v>0</v>
      </c>
      <c r="AJ289">
        <v>21245</v>
      </c>
      <c r="AK289">
        <v>7372</v>
      </c>
      <c r="AL289">
        <v>9548</v>
      </c>
      <c r="AM289">
        <v>31791</v>
      </c>
      <c r="AN289">
        <v>157161</v>
      </c>
      <c r="AO289">
        <v>675690</v>
      </c>
      <c r="AP289">
        <v>0</v>
      </c>
      <c r="AQ289">
        <v>1</v>
      </c>
      <c r="AR289">
        <v>4</v>
      </c>
      <c r="AS289">
        <v>11</v>
      </c>
      <c r="AT289">
        <v>0</v>
      </c>
      <c r="AU289">
        <v>19</v>
      </c>
      <c r="AV289">
        <v>3</v>
      </c>
      <c r="AW289">
        <v>0</v>
      </c>
      <c r="AX289">
        <v>0</v>
      </c>
      <c r="AY289">
        <v>0</v>
      </c>
      <c r="AZ289">
        <v>0</v>
      </c>
      <c r="BA289">
        <v>7</v>
      </c>
      <c r="BB289">
        <v>18</v>
      </c>
      <c r="BC289">
        <v>4</v>
      </c>
      <c r="BD289">
        <v>2</v>
      </c>
      <c r="BE289">
        <v>0</v>
      </c>
      <c r="BF289">
        <v>4</v>
      </c>
      <c r="BG289">
        <v>0</v>
      </c>
      <c r="BH289">
        <v>10</v>
      </c>
      <c r="BI289">
        <v>0</v>
      </c>
      <c r="BJ289">
        <v>45.590637800000003</v>
      </c>
      <c r="BK289">
        <v>9.0503678999999995</v>
      </c>
      <c r="BL289">
        <v>1200</v>
      </c>
      <c r="BM289" t="s">
        <v>83</v>
      </c>
      <c r="BN289" t="s">
        <v>84</v>
      </c>
      <c r="BO289" t="s">
        <v>85</v>
      </c>
      <c r="BP289" t="s">
        <v>107</v>
      </c>
      <c r="BQ289" t="s">
        <v>108</v>
      </c>
      <c r="BR289" t="s">
        <v>305</v>
      </c>
      <c r="BS289">
        <v>895644</v>
      </c>
      <c r="BT289">
        <v>0</v>
      </c>
      <c r="BU289">
        <v>0</v>
      </c>
      <c r="BV289">
        <v>323192</v>
      </c>
      <c r="BW289">
        <v>0</v>
      </c>
      <c r="BX289">
        <v>424962</v>
      </c>
      <c r="BY289">
        <v>147490</v>
      </c>
      <c r="BZ289">
        <v>1</v>
      </c>
      <c r="CA289" t="s">
        <v>535</v>
      </c>
      <c r="CB289" t="s">
        <v>536</v>
      </c>
      <c r="CC289" s="3">
        <v>46092.557106481479</v>
      </c>
      <c r="CD289" t="s">
        <v>91</v>
      </c>
    </row>
    <row r="290" spans="1:82" ht="16" x14ac:dyDescent="0.2">
      <c r="A290" t="s">
        <v>537</v>
      </c>
      <c r="B290" t="s">
        <v>538</v>
      </c>
      <c r="C290" t="s">
        <v>539</v>
      </c>
      <c r="D290" t="s">
        <v>78</v>
      </c>
      <c r="E290" t="s">
        <v>540</v>
      </c>
      <c r="F290">
        <v>4</v>
      </c>
      <c r="G290">
        <v>300</v>
      </c>
      <c r="H290" t="str">
        <f t="shared" si="29"/>
        <v>4x300</v>
      </c>
      <c r="I290">
        <v>308</v>
      </c>
      <c r="J290" s="4">
        <f t="shared" si="30"/>
        <v>4.2777777777777776E-2</v>
      </c>
      <c r="K290">
        <v>464</v>
      </c>
      <c r="L290" s="4">
        <f t="shared" si="31"/>
        <v>6.4444444444444443E-2</v>
      </c>
      <c r="M290">
        <v>704</v>
      </c>
      <c r="N290" s="4">
        <f t="shared" si="32"/>
        <v>9.7777777777777783E-2</v>
      </c>
      <c r="O290">
        <v>1405</v>
      </c>
      <c r="P290" s="4">
        <f t="shared" si="33"/>
        <v>0.19513888888888889</v>
      </c>
      <c r="Q290" s="6">
        <f t="shared" si="28"/>
        <v>2035</v>
      </c>
      <c r="R290" s="6">
        <f t="shared" si="34"/>
        <v>4</v>
      </c>
      <c r="S290">
        <v>245</v>
      </c>
      <c r="T290">
        <v>53</v>
      </c>
      <c r="U290">
        <v>-32</v>
      </c>
      <c r="V290">
        <v>-3</v>
      </c>
      <c r="W290">
        <v>-14</v>
      </c>
      <c r="X290">
        <v>92</v>
      </c>
      <c r="Y290" s="2" t="s">
        <v>541</v>
      </c>
      <c r="Z290">
        <v>45.302909378343401</v>
      </c>
      <c r="AA290">
        <v>9.4870821374283292</v>
      </c>
      <c r="AB290" t="s">
        <v>78</v>
      </c>
      <c r="AC290" t="s">
        <v>81</v>
      </c>
      <c r="AD290" t="s">
        <v>82</v>
      </c>
      <c r="AE290">
        <v>74116</v>
      </c>
      <c r="AF290">
        <v>0</v>
      </c>
      <c r="AG290">
        <v>0</v>
      </c>
      <c r="AH290">
        <v>24689</v>
      </c>
      <c r="AI290">
        <v>18084</v>
      </c>
      <c r="AJ290">
        <v>26146</v>
      </c>
      <c r="AK290">
        <v>5197</v>
      </c>
      <c r="AL290">
        <v>10334</v>
      </c>
      <c r="AM290">
        <v>29571</v>
      </c>
      <c r="AN290">
        <v>60127</v>
      </c>
      <c r="AO290">
        <v>120363</v>
      </c>
      <c r="AP290">
        <v>2</v>
      </c>
      <c r="AQ290">
        <v>1</v>
      </c>
      <c r="AR290">
        <v>4</v>
      </c>
      <c r="AS290">
        <v>5</v>
      </c>
      <c r="AT290">
        <v>0</v>
      </c>
      <c r="AU290">
        <v>10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2</v>
      </c>
      <c r="BB290">
        <v>15</v>
      </c>
      <c r="BC290">
        <v>2</v>
      </c>
      <c r="BD290">
        <v>4</v>
      </c>
      <c r="BE290">
        <v>0</v>
      </c>
      <c r="BF290">
        <v>4</v>
      </c>
      <c r="BG290">
        <v>0</v>
      </c>
      <c r="BH290">
        <v>6</v>
      </c>
      <c r="BI290">
        <v>0</v>
      </c>
      <c r="BJ290">
        <v>45.3029443</v>
      </c>
      <c r="BK290">
        <v>9.4871209000000007</v>
      </c>
      <c r="BL290">
        <v>1200</v>
      </c>
      <c r="BM290" t="s">
        <v>83</v>
      </c>
      <c r="BN290" t="s">
        <v>84</v>
      </c>
      <c r="BO290" t="s">
        <v>85</v>
      </c>
      <c r="BP290" t="s">
        <v>107</v>
      </c>
      <c r="BQ290" t="s">
        <v>108</v>
      </c>
      <c r="BR290" t="s">
        <v>539</v>
      </c>
      <c r="BS290">
        <v>1482451</v>
      </c>
      <c r="BT290">
        <v>0</v>
      </c>
      <c r="BU290">
        <v>0</v>
      </c>
      <c r="BV290">
        <v>493794</v>
      </c>
      <c r="BW290">
        <v>361692</v>
      </c>
      <c r="BX290">
        <v>523002</v>
      </c>
      <c r="BY290">
        <v>103963</v>
      </c>
      <c r="BZ290">
        <v>1</v>
      </c>
      <c r="CA290" t="s">
        <v>542</v>
      </c>
      <c r="CB290" t="s">
        <v>543</v>
      </c>
      <c r="CC290" s="3">
        <v>46092.557106481479</v>
      </c>
      <c r="CD290" t="s">
        <v>91</v>
      </c>
    </row>
    <row r="291" spans="1:82" ht="16" x14ac:dyDescent="0.2">
      <c r="A291" t="s">
        <v>544</v>
      </c>
      <c r="B291" t="s">
        <v>545</v>
      </c>
      <c r="C291" t="s">
        <v>546</v>
      </c>
      <c r="D291" t="s">
        <v>78</v>
      </c>
      <c r="E291" t="s">
        <v>547</v>
      </c>
      <c r="F291">
        <v>4</v>
      </c>
      <c r="G291">
        <v>300</v>
      </c>
      <c r="H291" t="str">
        <f t="shared" si="29"/>
        <v>4x300</v>
      </c>
      <c r="I291">
        <v>307</v>
      </c>
      <c r="J291" s="4">
        <f t="shared" si="30"/>
        <v>4.2638888888888893E-2</v>
      </c>
      <c r="K291">
        <v>463</v>
      </c>
      <c r="L291" s="4">
        <f t="shared" si="31"/>
        <v>6.4305555555555546E-2</v>
      </c>
      <c r="M291">
        <v>702</v>
      </c>
      <c r="N291" s="4">
        <f t="shared" si="32"/>
        <v>9.7499999999999989E-2</v>
      </c>
      <c r="O291">
        <v>1401</v>
      </c>
      <c r="P291" s="4">
        <f t="shared" si="33"/>
        <v>0.19458333333333333</v>
      </c>
      <c r="Q291" s="6">
        <f t="shared" si="28"/>
        <v>2035</v>
      </c>
      <c r="R291" s="6">
        <f t="shared" si="34"/>
        <v>4</v>
      </c>
      <c r="S291">
        <v>245</v>
      </c>
      <c r="T291">
        <v>14</v>
      </c>
      <c r="U291">
        <v>-35</v>
      </c>
      <c r="V291">
        <v>28</v>
      </c>
      <c r="W291">
        <v>-3</v>
      </c>
      <c r="X291">
        <v>90</v>
      </c>
      <c r="Y291" s="2" t="s">
        <v>548</v>
      </c>
      <c r="Z291">
        <v>44.781399999999998</v>
      </c>
      <c r="AA291">
        <v>10.3421</v>
      </c>
      <c r="AB291" t="s">
        <v>78</v>
      </c>
      <c r="AC291" t="s">
        <v>81</v>
      </c>
      <c r="AD291" t="s">
        <v>82</v>
      </c>
      <c r="AE291">
        <v>66264</v>
      </c>
      <c r="AF291">
        <v>0</v>
      </c>
      <c r="AG291">
        <v>0</v>
      </c>
      <c r="AH291">
        <v>23865</v>
      </c>
      <c r="AI291">
        <v>0</v>
      </c>
      <c r="AJ291">
        <v>36362</v>
      </c>
      <c r="AK291">
        <v>6037</v>
      </c>
      <c r="AL291">
        <v>12384</v>
      </c>
      <c r="AM291">
        <v>53587</v>
      </c>
      <c r="AN291">
        <v>160946</v>
      </c>
      <c r="AO291">
        <v>217431</v>
      </c>
      <c r="AP291">
        <v>1</v>
      </c>
      <c r="AQ291">
        <v>5</v>
      </c>
      <c r="AR291">
        <v>3</v>
      </c>
      <c r="AS291">
        <v>6</v>
      </c>
      <c r="AT291">
        <v>3</v>
      </c>
      <c r="AU291">
        <v>8</v>
      </c>
      <c r="AV291">
        <v>9</v>
      </c>
      <c r="AW291">
        <v>0</v>
      </c>
      <c r="AX291">
        <v>1</v>
      </c>
      <c r="AY291">
        <v>0</v>
      </c>
      <c r="AZ291">
        <v>0</v>
      </c>
      <c r="BA291">
        <v>12</v>
      </c>
      <c r="BB291">
        <v>28</v>
      </c>
      <c r="BC291">
        <v>6</v>
      </c>
      <c r="BD291">
        <v>4</v>
      </c>
      <c r="BE291">
        <v>0</v>
      </c>
      <c r="BF291">
        <v>4</v>
      </c>
      <c r="BG291">
        <v>0</v>
      </c>
      <c r="BH291">
        <v>4</v>
      </c>
      <c r="BI291">
        <v>0</v>
      </c>
      <c r="BJ291">
        <v>44.781359299999998</v>
      </c>
      <c r="BK291">
        <v>10.341948500000001</v>
      </c>
      <c r="BL291">
        <v>1200</v>
      </c>
      <c r="BM291" t="s">
        <v>83</v>
      </c>
      <c r="BN291" t="s">
        <v>84</v>
      </c>
      <c r="BO291" t="s">
        <v>85</v>
      </c>
      <c r="BP291" t="s">
        <v>160</v>
      </c>
      <c r="BQ291" t="s">
        <v>170</v>
      </c>
      <c r="BR291" t="s">
        <v>171</v>
      </c>
      <c r="BS291">
        <v>1325383</v>
      </c>
      <c r="BT291">
        <v>0</v>
      </c>
      <c r="BU291">
        <v>0</v>
      </c>
      <c r="BV291">
        <v>477327</v>
      </c>
      <c r="BW291">
        <v>0</v>
      </c>
      <c r="BX291">
        <v>727306</v>
      </c>
      <c r="BY291">
        <v>120750</v>
      </c>
      <c r="BZ291">
        <v>1</v>
      </c>
      <c r="CA291" t="s">
        <v>549</v>
      </c>
      <c r="CB291" t="s">
        <v>550</v>
      </c>
      <c r="CC291" s="3">
        <v>46092.557106481479</v>
      </c>
      <c r="CD291" t="s">
        <v>91</v>
      </c>
    </row>
    <row r="292" spans="1:82" ht="16" x14ac:dyDescent="0.2">
      <c r="A292" t="s">
        <v>551</v>
      </c>
      <c r="B292" t="s">
        <v>552</v>
      </c>
      <c r="C292" t="s">
        <v>423</v>
      </c>
      <c r="D292" t="s">
        <v>78</v>
      </c>
      <c r="E292" t="s">
        <v>553</v>
      </c>
      <c r="F292">
        <v>4</v>
      </c>
      <c r="G292">
        <v>300</v>
      </c>
      <c r="H292" t="str">
        <f t="shared" si="29"/>
        <v>4x300</v>
      </c>
      <c r="I292">
        <v>305</v>
      </c>
      <c r="J292" s="4">
        <f t="shared" si="30"/>
        <v>4.2361111111111106E-2</v>
      </c>
      <c r="K292">
        <v>461</v>
      </c>
      <c r="L292" s="4">
        <f t="shared" si="31"/>
        <v>6.4027777777777781E-2</v>
      </c>
      <c r="M292">
        <v>699</v>
      </c>
      <c r="N292" s="4">
        <f t="shared" si="32"/>
        <v>9.7083333333333341E-2</v>
      </c>
      <c r="O292">
        <v>1394</v>
      </c>
      <c r="P292" s="4">
        <f t="shared" si="33"/>
        <v>0.19361111111111109</v>
      </c>
      <c r="Q292" s="6">
        <f t="shared" si="28"/>
        <v>2035</v>
      </c>
      <c r="R292" s="6">
        <f t="shared" si="34"/>
        <v>4</v>
      </c>
      <c r="S292">
        <v>245</v>
      </c>
      <c r="T292">
        <v>33</v>
      </c>
      <c r="U292">
        <v>-32</v>
      </c>
      <c r="V292">
        <v>-4</v>
      </c>
      <c r="W292">
        <v>1</v>
      </c>
      <c r="X292">
        <v>100</v>
      </c>
      <c r="Y292" s="2" t="s">
        <v>554</v>
      </c>
      <c r="Z292">
        <v>43.4522209</v>
      </c>
      <c r="AA292">
        <v>11.88124</v>
      </c>
      <c r="AB292" t="s">
        <v>78</v>
      </c>
      <c r="AC292" t="s">
        <v>81</v>
      </c>
      <c r="AD292" t="s">
        <v>82</v>
      </c>
      <c r="AE292">
        <v>46565</v>
      </c>
      <c r="AF292">
        <v>0</v>
      </c>
      <c r="AG292">
        <v>15028</v>
      </c>
      <c r="AH292">
        <v>18399</v>
      </c>
      <c r="AI292">
        <v>5991</v>
      </c>
      <c r="AJ292">
        <v>5404</v>
      </c>
      <c r="AK292">
        <v>1743</v>
      </c>
      <c r="AL292">
        <v>12627</v>
      </c>
      <c r="AM292">
        <v>39989</v>
      </c>
      <c r="AN292">
        <v>73253</v>
      </c>
      <c r="AO292">
        <v>102463</v>
      </c>
      <c r="AP292">
        <v>0</v>
      </c>
      <c r="AQ292">
        <v>0</v>
      </c>
      <c r="AR292">
        <v>1</v>
      </c>
      <c r="AS292">
        <v>2</v>
      </c>
      <c r="AT292">
        <v>1</v>
      </c>
      <c r="AU292">
        <v>19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10</v>
      </c>
      <c r="BB292">
        <v>20</v>
      </c>
      <c r="BC292">
        <v>10</v>
      </c>
      <c r="BD292">
        <v>0</v>
      </c>
      <c r="BE292">
        <v>0</v>
      </c>
      <c r="BF292">
        <v>0</v>
      </c>
      <c r="BG292">
        <v>0</v>
      </c>
      <c r="BH292">
        <v>2</v>
      </c>
      <c r="BI292">
        <v>0</v>
      </c>
      <c r="BJ292">
        <v>43.452114399999999</v>
      </c>
      <c r="BK292">
        <v>11.8813212</v>
      </c>
      <c r="BL292">
        <v>1200</v>
      </c>
      <c r="BM292" t="s">
        <v>83</v>
      </c>
      <c r="BN292" t="s">
        <v>84</v>
      </c>
      <c r="BO292" t="s">
        <v>85</v>
      </c>
      <c r="BP292" t="s">
        <v>86</v>
      </c>
      <c r="BQ292" t="s">
        <v>212</v>
      </c>
      <c r="BR292" t="s">
        <v>423</v>
      </c>
      <c r="BS292">
        <v>931456</v>
      </c>
      <c r="BT292">
        <v>0</v>
      </c>
      <c r="BU292">
        <v>300580</v>
      </c>
      <c r="BV292">
        <v>368041</v>
      </c>
      <c r="BW292">
        <v>119832</v>
      </c>
      <c r="BX292">
        <v>108114</v>
      </c>
      <c r="BY292">
        <v>34889</v>
      </c>
      <c r="BZ292">
        <v>1</v>
      </c>
      <c r="CA292" t="s">
        <v>555</v>
      </c>
      <c r="CB292" t="s">
        <v>556</v>
      </c>
      <c r="CC292" s="3">
        <v>46092.557106481479</v>
      </c>
      <c r="CD292" t="s">
        <v>91</v>
      </c>
    </row>
    <row r="293" spans="1:82" ht="16" x14ac:dyDescent="0.2">
      <c r="A293" t="s">
        <v>557</v>
      </c>
      <c r="B293" t="s">
        <v>558</v>
      </c>
      <c r="C293" t="s">
        <v>559</v>
      </c>
      <c r="D293" t="s">
        <v>78</v>
      </c>
      <c r="E293" t="s">
        <v>560</v>
      </c>
      <c r="F293">
        <v>4</v>
      </c>
      <c r="G293">
        <v>300</v>
      </c>
      <c r="H293" t="str">
        <f t="shared" si="29"/>
        <v>4x300</v>
      </c>
      <c r="I293">
        <v>303</v>
      </c>
      <c r="J293" s="4">
        <f t="shared" si="30"/>
        <v>4.2083333333333334E-2</v>
      </c>
      <c r="K293">
        <v>458</v>
      </c>
      <c r="L293" s="4">
        <f t="shared" si="31"/>
        <v>6.3611111111111104E-2</v>
      </c>
      <c r="M293">
        <v>694</v>
      </c>
      <c r="N293" s="4">
        <f t="shared" si="32"/>
        <v>9.6388888888888899E-2</v>
      </c>
      <c r="O293">
        <v>1385</v>
      </c>
      <c r="P293" s="4">
        <f t="shared" si="33"/>
        <v>0.19236111111111109</v>
      </c>
      <c r="Q293" s="6">
        <f t="shared" si="28"/>
        <v>2035</v>
      </c>
      <c r="R293" s="6">
        <f t="shared" si="34"/>
        <v>4</v>
      </c>
      <c r="S293">
        <v>245</v>
      </c>
      <c r="T293">
        <v>-84</v>
      </c>
      <c r="U293">
        <v>220</v>
      </c>
      <c r="V293">
        <v>-116</v>
      </c>
      <c r="W293">
        <v>1</v>
      </c>
      <c r="X293">
        <v>62</v>
      </c>
      <c r="Y293" s="2" t="s">
        <v>561</v>
      </c>
      <c r="Z293">
        <v>41.833170000000003</v>
      </c>
      <c r="AA293">
        <v>12.50034</v>
      </c>
      <c r="AB293" t="s">
        <v>78</v>
      </c>
      <c r="AC293" t="s">
        <v>81</v>
      </c>
      <c r="AD293" t="s">
        <v>82</v>
      </c>
      <c r="AE293">
        <v>18020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18020</v>
      </c>
      <c r="AL293">
        <v>16426</v>
      </c>
      <c r="AM293">
        <v>62963</v>
      </c>
      <c r="AN293">
        <v>374829</v>
      </c>
      <c r="AO293">
        <v>1537591</v>
      </c>
      <c r="AP293">
        <v>1</v>
      </c>
      <c r="AQ293">
        <v>0</v>
      </c>
      <c r="AR293">
        <v>4</v>
      </c>
      <c r="AS293">
        <v>1</v>
      </c>
      <c r="AT293">
        <v>5</v>
      </c>
      <c r="AU293">
        <v>30</v>
      </c>
      <c r="AV293">
        <v>0</v>
      </c>
      <c r="AW293">
        <v>0</v>
      </c>
      <c r="AX293">
        <v>0</v>
      </c>
      <c r="AY293">
        <v>2</v>
      </c>
      <c r="AZ293">
        <v>4</v>
      </c>
      <c r="BA293">
        <v>20</v>
      </c>
      <c r="BB293">
        <v>88</v>
      </c>
      <c r="BC293">
        <v>12</v>
      </c>
      <c r="BD293">
        <v>0</v>
      </c>
      <c r="BE293">
        <v>0</v>
      </c>
      <c r="BF293">
        <v>0</v>
      </c>
      <c r="BG293">
        <v>0</v>
      </c>
      <c r="BH293">
        <v>20</v>
      </c>
      <c r="BI293">
        <v>0</v>
      </c>
      <c r="BJ293">
        <v>41.83314</v>
      </c>
      <c r="BK293">
        <v>12.50041</v>
      </c>
      <c r="BL293">
        <v>1200</v>
      </c>
      <c r="BM293" t="s">
        <v>83</v>
      </c>
      <c r="BN293" t="s">
        <v>84</v>
      </c>
      <c r="BO293" t="s">
        <v>85</v>
      </c>
      <c r="BP293" t="s">
        <v>86</v>
      </c>
      <c r="BQ293" t="s">
        <v>87</v>
      </c>
      <c r="BR293" t="s">
        <v>88</v>
      </c>
      <c r="BS293">
        <v>360412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360412</v>
      </c>
      <c r="BZ293">
        <v>1</v>
      </c>
      <c r="CA293" t="s">
        <v>562</v>
      </c>
      <c r="CB293" t="s">
        <v>563</v>
      </c>
      <c r="CC293" s="3">
        <v>46092.557106481479</v>
      </c>
      <c r="CD293" t="s">
        <v>91</v>
      </c>
    </row>
    <row r="294" spans="1:82" ht="16" x14ac:dyDescent="0.2">
      <c r="A294" t="s">
        <v>564</v>
      </c>
      <c r="B294" t="s">
        <v>565</v>
      </c>
      <c r="C294" t="s">
        <v>566</v>
      </c>
      <c r="D294" t="s">
        <v>78</v>
      </c>
      <c r="E294" t="s">
        <v>567</v>
      </c>
      <c r="F294">
        <v>4</v>
      </c>
      <c r="G294">
        <v>300</v>
      </c>
      <c r="H294" t="str">
        <f t="shared" si="29"/>
        <v>4x300</v>
      </c>
      <c r="I294">
        <v>302</v>
      </c>
      <c r="J294" s="4">
        <f t="shared" si="30"/>
        <v>4.1944444444444444E-2</v>
      </c>
      <c r="K294">
        <v>455</v>
      </c>
      <c r="L294" s="4">
        <f t="shared" si="31"/>
        <v>6.3194444444444442E-2</v>
      </c>
      <c r="M294">
        <v>691</v>
      </c>
      <c r="N294" s="4">
        <f t="shared" si="32"/>
        <v>9.5972222222222223E-2</v>
      </c>
      <c r="O294">
        <v>1378</v>
      </c>
      <c r="P294" s="4">
        <f t="shared" si="33"/>
        <v>0.19138888888888891</v>
      </c>
      <c r="Q294" s="6">
        <f t="shared" si="28"/>
        <v>2035</v>
      </c>
      <c r="R294" s="6">
        <f t="shared" si="34"/>
        <v>4</v>
      </c>
      <c r="S294">
        <v>245</v>
      </c>
      <c r="T294">
        <v>14</v>
      </c>
      <c r="U294">
        <v>-7</v>
      </c>
      <c r="V294">
        <v>5</v>
      </c>
      <c r="W294">
        <v>-11</v>
      </c>
      <c r="X294">
        <v>93</v>
      </c>
      <c r="Y294" s="2" t="s">
        <v>568</v>
      </c>
      <c r="Z294">
        <v>44.415803894806899</v>
      </c>
      <c r="AA294">
        <v>8.8660335355824298</v>
      </c>
      <c r="AB294" t="s">
        <v>78</v>
      </c>
      <c r="AC294" t="s">
        <v>81</v>
      </c>
      <c r="AD294" t="s">
        <v>82</v>
      </c>
      <c r="AE294">
        <v>60337</v>
      </c>
      <c r="AF294">
        <v>0</v>
      </c>
      <c r="AG294">
        <v>0</v>
      </c>
      <c r="AH294">
        <v>37816</v>
      </c>
      <c r="AI294">
        <v>0</v>
      </c>
      <c r="AJ294">
        <v>20349</v>
      </c>
      <c r="AK294">
        <v>2172</v>
      </c>
      <c r="AL294">
        <v>12388</v>
      </c>
      <c r="AM294">
        <v>50822</v>
      </c>
      <c r="AN294">
        <v>207291</v>
      </c>
      <c r="AO294">
        <v>517022</v>
      </c>
      <c r="AP294">
        <v>0</v>
      </c>
      <c r="AQ294">
        <v>1</v>
      </c>
      <c r="AR294">
        <v>5</v>
      </c>
      <c r="AS294">
        <v>7</v>
      </c>
      <c r="AT294">
        <v>7</v>
      </c>
      <c r="AU294">
        <v>33</v>
      </c>
      <c r="AV294">
        <v>2</v>
      </c>
      <c r="AW294">
        <v>0</v>
      </c>
      <c r="AX294">
        <v>4</v>
      </c>
      <c r="AY294">
        <v>1</v>
      </c>
      <c r="AZ294">
        <v>0</v>
      </c>
      <c r="BA294">
        <v>4</v>
      </c>
      <c r="BB294">
        <v>52</v>
      </c>
      <c r="BC294">
        <v>0</v>
      </c>
      <c r="BD294">
        <v>4</v>
      </c>
      <c r="BE294">
        <v>0</v>
      </c>
      <c r="BF294">
        <v>6</v>
      </c>
      <c r="BG294">
        <v>0</v>
      </c>
      <c r="BH294">
        <v>22</v>
      </c>
      <c r="BI294">
        <v>0</v>
      </c>
      <c r="BJ294">
        <v>44.415798299999999</v>
      </c>
      <c r="BK294">
        <v>8.8660335999999997</v>
      </c>
      <c r="BL294">
        <v>1200</v>
      </c>
      <c r="BM294" t="s">
        <v>83</v>
      </c>
      <c r="BN294" t="s">
        <v>84</v>
      </c>
      <c r="BO294" t="s">
        <v>85</v>
      </c>
      <c r="BP294" t="s">
        <v>107</v>
      </c>
      <c r="BQ294" t="s">
        <v>569</v>
      </c>
      <c r="BR294" t="s">
        <v>570</v>
      </c>
      <c r="BS294">
        <v>1354297</v>
      </c>
      <c r="BT294">
        <v>0</v>
      </c>
      <c r="BU294">
        <v>0</v>
      </c>
      <c r="BV294">
        <v>903841</v>
      </c>
      <c r="BW294">
        <v>0</v>
      </c>
      <c r="BX294">
        <v>407009</v>
      </c>
      <c r="BY294">
        <v>43447</v>
      </c>
      <c r="BZ294">
        <v>1</v>
      </c>
      <c r="CA294" t="s">
        <v>571</v>
      </c>
      <c r="CB294" t="s">
        <v>572</v>
      </c>
      <c r="CC294" s="3">
        <v>46092.557106481479</v>
      </c>
      <c r="CD294" t="s">
        <v>91</v>
      </c>
    </row>
    <row r="295" spans="1:82" ht="16" x14ac:dyDescent="0.2">
      <c r="A295" t="s">
        <v>573</v>
      </c>
      <c r="B295" t="s">
        <v>574</v>
      </c>
      <c r="C295" t="s">
        <v>575</v>
      </c>
      <c r="D295" t="s">
        <v>78</v>
      </c>
      <c r="E295" t="s">
        <v>576</v>
      </c>
      <c r="F295">
        <v>4</v>
      </c>
      <c r="G295">
        <v>300</v>
      </c>
      <c r="H295" t="str">
        <f t="shared" si="29"/>
        <v>4x300</v>
      </c>
      <c r="I295">
        <v>301</v>
      </c>
      <c r="J295" s="4">
        <f t="shared" si="30"/>
        <v>4.1805555555555561E-2</v>
      </c>
      <c r="K295">
        <v>455</v>
      </c>
      <c r="L295" s="4">
        <f t="shared" si="31"/>
        <v>6.3194444444444442E-2</v>
      </c>
      <c r="M295">
        <v>690</v>
      </c>
      <c r="N295" s="4">
        <f t="shared" si="32"/>
        <v>9.5833333333333326E-2</v>
      </c>
      <c r="O295">
        <v>1376</v>
      </c>
      <c r="P295" s="4">
        <f t="shared" si="33"/>
        <v>0.19111111111111112</v>
      </c>
      <c r="Q295" s="6">
        <f t="shared" si="28"/>
        <v>2035</v>
      </c>
      <c r="R295" s="6">
        <f t="shared" si="34"/>
        <v>4</v>
      </c>
      <c r="S295">
        <v>245</v>
      </c>
      <c r="T295">
        <v>70</v>
      </c>
      <c r="U295">
        <v>-39</v>
      </c>
      <c r="V295">
        <v>-9</v>
      </c>
      <c r="W295">
        <v>-26</v>
      </c>
      <c r="X295">
        <v>99</v>
      </c>
      <c r="Y295" s="2" t="s">
        <v>577</v>
      </c>
      <c r="Z295">
        <v>44.722234870075397</v>
      </c>
      <c r="AA295">
        <v>10.622212249077</v>
      </c>
      <c r="AB295" t="s">
        <v>78</v>
      </c>
      <c r="AC295" t="s">
        <v>81</v>
      </c>
      <c r="AD295" t="s">
        <v>82</v>
      </c>
      <c r="AE295">
        <v>65151</v>
      </c>
      <c r="AF295">
        <v>0</v>
      </c>
      <c r="AG295">
        <v>0</v>
      </c>
      <c r="AH295">
        <v>18080</v>
      </c>
      <c r="AI295">
        <v>42593</v>
      </c>
      <c r="AJ295">
        <v>4478</v>
      </c>
      <c r="AK295">
        <v>0</v>
      </c>
      <c r="AL295">
        <v>2871</v>
      </c>
      <c r="AM295">
        <v>15456</v>
      </c>
      <c r="AN295">
        <v>113992</v>
      </c>
      <c r="AO295">
        <v>201574</v>
      </c>
      <c r="AP295">
        <v>1</v>
      </c>
      <c r="AQ295">
        <v>2</v>
      </c>
      <c r="AR295">
        <v>2</v>
      </c>
      <c r="AS295">
        <v>2</v>
      </c>
      <c r="AT295">
        <v>0</v>
      </c>
      <c r="AU295">
        <v>10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33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8</v>
      </c>
      <c r="BI295">
        <v>0</v>
      </c>
      <c r="BJ295">
        <v>44.722169899999997</v>
      </c>
      <c r="BK295">
        <v>10.6227099</v>
      </c>
      <c r="BL295">
        <v>1200</v>
      </c>
      <c r="BM295" t="s">
        <v>83</v>
      </c>
      <c r="BN295" t="s">
        <v>84</v>
      </c>
      <c r="BO295" t="s">
        <v>85</v>
      </c>
      <c r="BP295" t="s">
        <v>160</v>
      </c>
      <c r="BQ295" t="s">
        <v>170</v>
      </c>
      <c r="BR295" t="s">
        <v>578</v>
      </c>
      <c r="BS295">
        <v>1431134</v>
      </c>
      <c r="BT295">
        <v>0</v>
      </c>
      <c r="BU295">
        <v>0</v>
      </c>
      <c r="BV295">
        <v>361616</v>
      </c>
      <c r="BW295">
        <v>979936</v>
      </c>
      <c r="BX295">
        <v>89582</v>
      </c>
      <c r="BY295">
        <v>0</v>
      </c>
      <c r="BZ295">
        <v>1</v>
      </c>
      <c r="CA295" t="s">
        <v>579</v>
      </c>
      <c r="CB295" t="s">
        <v>580</v>
      </c>
      <c r="CC295" s="3">
        <v>46092.557106481479</v>
      </c>
      <c r="CD295" t="s">
        <v>91</v>
      </c>
    </row>
    <row r="296" spans="1:82" ht="16" x14ac:dyDescent="0.2">
      <c r="A296" t="s">
        <v>581</v>
      </c>
      <c r="B296" t="s">
        <v>582</v>
      </c>
      <c r="C296" t="s">
        <v>583</v>
      </c>
      <c r="D296" t="s">
        <v>78</v>
      </c>
      <c r="E296" t="s">
        <v>584</v>
      </c>
      <c r="F296">
        <v>4</v>
      </c>
      <c r="G296">
        <v>300</v>
      </c>
      <c r="H296" t="str">
        <f t="shared" si="29"/>
        <v>4x300</v>
      </c>
      <c r="I296">
        <v>300</v>
      </c>
      <c r="J296" s="4">
        <f t="shared" si="30"/>
        <v>4.1666666666666664E-2</v>
      </c>
      <c r="K296">
        <v>453</v>
      </c>
      <c r="L296" s="4">
        <f t="shared" si="31"/>
        <v>6.2916666666666662E-2</v>
      </c>
      <c r="M296">
        <v>687</v>
      </c>
      <c r="N296" s="4">
        <f t="shared" si="32"/>
        <v>9.5416666666666664E-2</v>
      </c>
      <c r="O296">
        <v>1370</v>
      </c>
      <c r="P296" s="4">
        <f t="shared" si="33"/>
        <v>0.19027777777777777</v>
      </c>
      <c r="Q296" s="6">
        <f t="shared" si="28"/>
        <v>2035</v>
      </c>
      <c r="R296" s="6">
        <f t="shared" si="34"/>
        <v>4</v>
      </c>
      <c r="S296">
        <v>245</v>
      </c>
      <c r="T296">
        <v>48</v>
      </c>
      <c r="U296">
        <v>-27</v>
      </c>
      <c r="V296">
        <v>-11</v>
      </c>
      <c r="W296">
        <v>-24</v>
      </c>
      <c r="X296">
        <v>110</v>
      </c>
      <c r="Y296" s="2" t="s">
        <v>585</v>
      </c>
      <c r="Z296">
        <v>45.589790000000001</v>
      </c>
      <c r="AA296">
        <v>9.8967399999999994</v>
      </c>
      <c r="AB296" t="s">
        <v>78</v>
      </c>
      <c r="AC296" t="s">
        <v>81</v>
      </c>
      <c r="AD296" t="s">
        <v>82</v>
      </c>
      <c r="AE296">
        <v>16875</v>
      </c>
      <c r="AF296">
        <v>0</v>
      </c>
      <c r="AG296">
        <v>0</v>
      </c>
      <c r="AH296">
        <v>0</v>
      </c>
      <c r="AI296">
        <v>15353</v>
      </c>
      <c r="AJ296">
        <v>1522</v>
      </c>
      <c r="AK296">
        <v>0</v>
      </c>
      <c r="AL296">
        <v>4678</v>
      </c>
      <c r="AM296">
        <v>14005</v>
      </c>
      <c r="AN296">
        <v>49695</v>
      </c>
      <c r="AO296">
        <v>200002</v>
      </c>
      <c r="AP296">
        <v>1</v>
      </c>
      <c r="AQ296">
        <v>0</v>
      </c>
      <c r="AR296">
        <v>2</v>
      </c>
      <c r="AS296">
        <v>8</v>
      </c>
      <c r="AT296">
        <v>0</v>
      </c>
      <c r="AU296">
        <v>7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8</v>
      </c>
      <c r="BB296">
        <v>15</v>
      </c>
      <c r="BC296">
        <v>4</v>
      </c>
      <c r="BD296">
        <v>6</v>
      </c>
      <c r="BE296">
        <v>0</v>
      </c>
      <c r="BF296">
        <v>6</v>
      </c>
      <c r="BG296">
        <v>0</v>
      </c>
      <c r="BH296">
        <v>6</v>
      </c>
      <c r="BI296">
        <v>0</v>
      </c>
      <c r="BJ296">
        <v>45.589811699999998</v>
      </c>
      <c r="BK296">
        <v>9.8967262999999992</v>
      </c>
      <c r="BL296">
        <v>1200</v>
      </c>
      <c r="BM296" t="s">
        <v>83</v>
      </c>
      <c r="BN296" t="s">
        <v>84</v>
      </c>
      <c r="BO296" t="s">
        <v>85</v>
      </c>
      <c r="BP296" t="s">
        <v>107</v>
      </c>
      <c r="BQ296" t="s">
        <v>108</v>
      </c>
      <c r="BR296" t="s">
        <v>179</v>
      </c>
      <c r="BS296">
        <v>337524</v>
      </c>
      <c r="BT296">
        <v>0</v>
      </c>
      <c r="BU296">
        <v>0</v>
      </c>
      <c r="BV296">
        <v>0</v>
      </c>
      <c r="BW296">
        <v>307071</v>
      </c>
      <c r="BX296">
        <v>30453</v>
      </c>
      <c r="BY296">
        <v>0</v>
      </c>
      <c r="BZ296">
        <v>1</v>
      </c>
      <c r="CA296" t="s">
        <v>586</v>
      </c>
      <c r="CB296" t="s">
        <v>587</v>
      </c>
      <c r="CC296" s="3">
        <v>46092.557106481479</v>
      </c>
      <c r="CD296" t="s">
        <v>91</v>
      </c>
    </row>
    <row r="297" spans="1:82" ht="16" x14ac:dyDescent="0.2">
      <c r="A297" t="s">
        <v>588</v>
      </c>
      <c r="B297" t="s">
        <v>589</v>
      </c>
      <c r="C297" t="s">
        <v>590</v>
      </c>
      <c r="D297" t="s">
        <v>78</v>
      </c>
      <c r="E297" t="s">
        <v>591</v>
      </c>
      <c r="F297">
        <v>4</v>
      </c>
      <c r="G297">
        <v>300</v>
      </c>
      <c r="H297" t="str">
        <f t="shared" si="29"/>
        <v>4x300</v>
      </c>
      <c r="I297">
        <v>297</v>
      </c>
      <c r="J297" s="4">
        <f t="shared" si="30"/>
        <v>4.1250000000000002E-2</v>
      </c>
      <c r="K297">
        <v>448</v>
      </c>
      <c r="L297" s="4">
        <f t="shared" si="31"/>
        <v>6.2222222222222227E-2</v>
      </c>
      <c r="M297">
        <v>680</v>
      </c>
      <c r="N297" s="4">
        <f t="shared" si="32"/>
        <v>9.4444444444444442E-2</v>
      </c>
      <c r="O297">
        <v>1357</v>
      </c>
      <c r="P297" s="4">
        <f t="shared" si="33"/>
        <v>0.18847222222222224</v>
      </c>
      <c r="Q297" s="6">
        <f t="shared" si="28"/>
        <v>2035</v>
      </c>
      <c r="R297" s="6">
        <f t="shared" si="34"/>
        <v>4</v>
      </c>
      <c r="S297">
        <v>245</v>
      </c>
      <c r="T297">
        <v>30</v>
      </c>
      <c r="U297">
        <v>-34</v>
      </c>
      <c r="V297">
        <v>17</v>
      </c>
      <c r="W297">
        <v>-18</v>
      </c>
      <c r="X297">
        <v>96</v>
      </c>
      <c r="Y297" s="2" t="s">
        <v>592</v>
      </c>
      <c r="Z297">
        <v>45.393527400000004</v>
      </c>
      <c r="AA297">
        <v>11.031562600000001</v>
      </c>
      <c r="AB297" t="s">
        <v>78</v>
      </c>
      <c r="AC297" t="s">
        <v>81</v>
      </c>
      <c r="AD297" t="s">
        <v>82</v>
      </c>
      <c r="AE297">
        <v>69324</v>
      </c>
      <c r="AF297">
        <v>0</v>
      </c>
      <c r="AG297">
        <v>0</v>
      </c>
      <c r="AH297">
        <v>43630</v>
      </c>
      <c r="AI297">
        <v>15353</v>
      </c>
      <c r="AJ297">
        <v>10341</v>
      </c>
      <c r="AK297">
        <v>0</v>
      </c>
      <c r="AL297">
        <v>4063</v>
      </c>
      <c r="AM297">
        <v>14149</v>
      </c>
      <c r="AN297">
        <v>87257</v>
      </c>
      <c r="AO297">
        <v>338447</v>
      </c>
      <c r="AP297">
        <v>1</v>
      </c>
      <c r="AQ297">
        <v>0</v>
      </c>
      <c r="AR297">
        <v>8</v>
      </c>
      <c r="AS297">
        <v>18</v>
      </c>
      <c r="AT297">
        <v>1</v>
      </c>
      <c r="AU297">
        <v>27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6</v>
      </c>
      <c r="BB297">
        <v>10</v>
      </c>
      <c r="BC297">
        <v>5</v>
      </c>
      <c r="BD297">
        <v>6</v>
      </c>
      <c r="BE297">
        <v>0</v>
      </c>
      <c r="BF297">
        <v>8</v>
      </c>
      <c r="BG297">
        <v>0</v>
      </c>
      <c r="BH297">
        <v>8</v>
      </c>
      <c r="BI297">
        <v>0</v>
      </c>
      <c r="BJ297">
        <v>45.393520000000002</v>
      </c>
      <c r="BK297">
        <v>11.031560000000001</v>
      </c>
      <c r="BL297">
        <v>1200</v>
      </c>
      <c r="BM297" t="s">
        <v>83</v>
      </c>
      <c r="BN297" t="s">
        <v>84</v>
      </c>
      <c r="BO297" t="s">
        <v>85</v>
      </c>
      <c r="BP297" t="s">
        <v>160</v>
      </c>
      <c r="BQ297" t="s">
        <v>161</v>
      </c>
      <c r="BR297" t="s">
        <v>162</v>
      </c>
      <c r="BS297">
        <v>1648350</v>
      </c>
      <c r="BT297">
        <v>0</v>
      </c>
      <c r="BU297">
        <v>0</v>
      </c>
      <c r="BV297">
        <v>1134408</v>
      </c>
      <c r="BW297">
        <v>307091</v>
      </c>
      <c r="BX297">
        <v>206851</v>
      </c>
      <c r="BY297">
        <v>0</v>
      </c>
      <c r="BZ297">
        <v>1</v>
      </c>
      <c r="CA297" t="s">
        <v>593</v>
      </c>
      <c r="CB297" t="s">
        <v>594</v>
      </c>
      <c r="CC297" s="3">
        <v>46092.557106481479</v>
      </c>
      <c r="CD297" t="s">
        <v>91</v>
      </c>
    </row>
    <row r="298" spans="1:82" ht="16" x14ac:dyDescent="0.2">
      <c r="A298" t="s">
        <v>595</v>
      </c>
      <c r="B298" t="s">
        <v>596</v>
      </c>
      <c r="C298" t="s">
        <v>597</v>
      </c>
      <c r="D298" t="s">
        <v>78</v>
      </c>
      <c r="E298" t="s">
        <v>598</v>
      </c>
      <c r="F298">
        <v>4</v>
      </c>
      <c r="G298">
        <v>300</v>
      </c>
      <c r="H298" t="str">
        <f t="shared" si="29"/>
        <v>4x300</v>
      </c>
      <c r="I298">
        <v>296</v>
      </c>
      <c r="J298" s="4">
        <f t="shared" si="30"/>
        <v>4.1111111111111112E-2</v>
      </c>
      <c r="K298">
        <v>447</v>
      </c>
      <c r="L298" s="4">
        <f t="shared" si="31"/>
        <v>6.2083333333333331E-2</v>
      </c>
      <c r="M298">
        <v>679</v>
      </c>
      <c r="N298" s="4">
        <f t="shared" si="32"/>
        <v>9.4305555555555545E-2</v>
      </c>
      <c r="O298">
        <v>1354</v>
      </c>
      <c r="P298" s="4">
        <f t="shared" si="33"/>
        <v>0.18805555555555556</v>
      </c>
      <c r="Q298" s="6">
        <f t="shared" si="28"/>
        <v>2035</v>
      </c>
      <c r="R298" s="6">
        <f t="shared" si="34"/>
        <v>4</v>
      </c>
      <c r="S298">
        <v>245</v>
      </c>
      <c r="T298">
        <v>70</v>
      </c>
      <c r="U298">
        <v>-33</v>
      </c>
      <c r="V298">
        <v>-55</v>
      </c>
      <c r="W298">
        <v>4</v>
      </c>
      <c r="X298">
        <v>107</v>
      </c>
      <c r="Y298" s="2" t="s">
        <v>599</v>
      </c>
      <c r="Z298">
        <v>45.609499999999997</v>
      </c>
      <c r="AA298">
        <v>10.208</v>
      </c>
      <c r="AB298" t="s">
        <v>78</v>
      </c>
      <c r="AC298" t="s">
        <v>81</v>
      </c>
      <c r="AD298" t="s">
        <v>82</v>
      </c>
      <c r="AE298">
        <v>50945</v>
      </c>
      <c r="AF298">
        <v>0</v>
      </c>
      <c r="AG298">
        <v>0</v>
      </c>
      <c r="AH298">
        <v>0</v>
      </c>
      <c r="AI298">
        <v>37251</v>
      </c>
      <c r="AJ298">
        <v>12491</v>
      </c>
      <c r="AK298">
        <v>1203</v>
      </c>
      <c r="AL298">
        <v>5409</v>
      </c>
      <c r="AM298">
        <v>15201</v>
      </c>
      <c r="AN298">
        <v>72240</v>
      </c>
      <c r="AO298">
        <v>300794</v>
      </c>
      <c r="AP298">
        <v>3</v>
      </c>
      <c r="AQ298">
        <v>0</v>
      </c>
      <c r="AR298">
        <v>4</v>
      </c>
      <c r="AS298">
        <v>6</v>
      </c>
      <c r="AT298">
        <v>0</v>
      </c>
      <c r="AU298">
        <v>23</v>
      </c>
      <c r="AV298">
        <v>22</v>
      </c>
      <c r="AW298">
        <v>2</v>
      </c>
      <c r="AX298">
        <v>0</v>
      </c>
      <c r="AY298">
        <v>0</v>
      </c>
      <c r="AZ298">
        <v>0</v>
      </c>
      <c r="BA298">
        <v>8</v>
      </c>
      <c r="BB298">
        <v>12</v>
      </c>
      <c r="BC298">
        <v>4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45.6094632</v>
      </c>
      <c r="BK298">
        <v>10.207891999999999</v>
      </c>
      <c r="BL298">
        <v>1200</v>
      </c>
      <c r="BM298" t="s">
        <v>83</v>
      </c>
      <c r="BN298" t="s">
        <v>84</v>
      </c>
      <c r="BO298" t="s">
        <v>85</v>
      </c>
      <c r="BP298" t="s">
        <v>107</v>
      </c>
      <c r="BQ298" t="s">
        <v>108</v>
      </c>
      <c r="BR298" t="s">
        <v>179</v>
      </c>
      <c r="BS298">
        <v>1019030</v>
      </c>
      <c r="BT298">
        <v>0</v>
      </c>
      <c r="BU298">
        <v>0</v>
      </c>
      <c r="BV298">
        <v>0</v>
      </c>
      <c r="BW298">
        <v>745045</v>
      </c>
      <c r="BX298">
        <v>249902</v>
      </c>
      <c r="BY298">
        <v>24083</v>
      </c>
      <c r="BZ298">
        <v>1</v>
      </c>
      <c r="CA298" t="s">
        <v>600</v>
      </c>
      <c r="CB298" t="s">
        <v>601</v>
      </c>
      <c r="CC298" s="3">
        <v>46092.557106481479</v>
      </c>
      <c r="CD298" t="s">
        <v>91</v>
      </c>
    </row>
    <row r="299" spans="1:82" ht="16" x14ac:dyDescent="0.2">
      <c r="A299" t="s">
        <v>602</v>
      </c>
      <c r="B299" t="s">
        <v>603</v>
      </c>
      <c r="C299" t="s">
        <v>604</v>
      </c>
      <c r="D299" t="s">
        <v>78</v>
      </c>
      <c r="E299" t="s">
        <v>605</v>
      </c>
      <c r="F299">
        <v>4</v>
      </c>
      <c r="G299">
        <v>300</v>
      </c>
      <c r="H299" t="str">
        <f t="shared" si="29"/>
        <v>4x300</v>
      </c>
      <c r="I299">
        <v>296</v>
      </c>
      <c r="J299" s="4">
        <f t="shared" si="30"/>
        <v>4.1111111111111112E-2</v>
      </c>
      <c r="K299">
        <v>447</v>
      </c>
      <c r="L299" s="4">
        <f t="shared" si="31"/>
        <v>6.2083333333333331E-2</v>
      </c>
      <c r="M299">
        <v>677</v>
      </c>
      <c r="N299" s="4">
        <f t="shared" si="32"/>
        <v>9.402777777777778E-2</v>
      </c>
      <c r="O299">
        <v>1352</v>
      </c>
      <c r="P299" s="4">
        <f t="shared" si="33"/>
        <v>0.18777777777777779</v>
      </c>
      <c r="Q299" s="6">
        <f t="shared" si="28"/>
        <v>2035</v>
      </c>
      <c r="R299" s="6">
        <f t="shared" si="34"/>
        <v>4</v>
      </c>
      <c r="S299">
        <v>245</v>
      </c>
      <c r="T299">
        <v>-21</v>
      </c>
      <c r="U299">
        <v>11</v>
      </c>
      <c r="V299">
        <v>10</v>
      </c>
      <c r="W299">
        <v>1</v>
      </c>
      <c r="X299">
        <v>78</v>
      </c>
      <c r="Y299" s="2" t="s">
        <v>606</v>
      </c>
      <c r="Z299">
        <v>41.803801664339097</v>
      </c>
      <c r="AA299">
        <v>12.6044388625716</v>
      </c>
      <c r="AB299" t="s">
        <v>78</v>
      </c>
      <c r="AC299" t="s">
        <v>81</v>
      </c>
      <c r="AD299" t="s">
        <v>82</v>
      </c>
      <c r="AE299">
        <v>30062</v>
      </c>
      <c r="AF299">
        <v>0</v>
      </c>
      <c r="AG299">
        <v>0</v>
      </c>
      <c r="AH299">
        <v>0</v>
      </c>
      <c r="AI299">
        <v>9940</v>
      </c>
      <c r="AJ299">
        <v>20122</v>
      </c>
      <c r="AK299">
        <v>0</v>
      </c>
      <c r="AL299">
        <v>21399</v>
      </c>
      <c r="AM299">
        <v>50534</v>
      </c>
      <c r="AN299">
        <v>142746</v>
      </c>
      <c r="AO299">
        <v>751416</v>
      </c>
      <c r="AP299">
        <v>5</v>
      </c>
      <c r="AQ299">
        <v>0</v>
      </c>
      <c r="AR299">
        <v>3</v>
      </c>
      <c r="AS299">
        <v>11</v>
      </c>
      <c r="AT299">
        <v>2</v>
      </c>
      <c r="AU299">
        <v>29</v>
      </c>
      <c r="AV299">
        <v>7</v>
      </c>
      <c r="AW299">
        <v>0</v>
      </c>
      <c r="AX299">
        <v>2</v>
      </c>
      <c r="AY299">
        <v>0</v>
      </c>
      <c r="AZ299">
        <v>1</v>
      </c>
      <c r="BA299">
        <v>3</v>
      </c>
      <c r="BB299">
        <v>12</v>
      </c>
      <c r="BC299">
        <v>3</v>
      </c>
      <c r="BD299">
        <v>2</v>
      </c>
      <c r="BE299">
        <v>0</v>
      </c>
      <c r="BF299">
        <v>2</v>
      </c>
      <c r="BG299">
        <v>0</v>
      </c>
      <c r="BH299">
        <v>3</v>
      </c>
      <c r="BI299">
        <v>3</v>
      </c>
      <c r="BJ299">
        <v>41.803869900000002</v>
      </c>
      <c r="BK299">
        <v>12.604340000000001</v>
      </c>
      <c r="BL299">
        <v>1200</v>
      </c>
      <c r="BM299" t="s">
        <v>83</v>
      </c>
      <c r="BN299" t="s">
        <v>84</v>
      </c>
      <c r="BO299" t="s">
        <v>85</v>
      </c>
      <c r="BP299" t="s">
        <v>86</v>
      </c>
      <c r="BQ299" t="s">
        <v>87</v>
      </c>
      <c r="BR299" t="s">
        <v>88</v>
      </c>
      <c r="BS299">
        <v>601359</v>
      </c>
      <c r="BT299">
        <v>0</v>
      </c>
      <c r="BU299">
        <v>0</v>
      </c>
      <c r="BV299">
        <v>0</v>
      </c>
      <c r="BW299">
        <v>198814</v>
      </c>
      <c r="BX299">
        <v>402545</v>
      </c>
      <c r="BY299">
        <v>0</v>
      </c>
      <c r="BZ299">
        <v>1</v>
      </c>
      <c r="CA299" t="s">
        <v>607</v>
      </c>
      <c r="CB299" t="s">
        <v>608</v>
      </c>
      <c r="CC299" s="3">
        <v>46092.557106481479</v>
      </c>
      <c r="CD299" t="s">
        <v>91</v>
      </c>
    </row>
    <row r="300" spans="1:82" ht="16" x14ac:dyDescent="0.2">
      <c r="A300" t="s">
        <v>610</v>
      </c>
      <c r="B300" t="s">
        <v>611</v>
      </c>
      <c r="C300" t="s">
        <v>612</v>
      </c>
      <c r="D300" t="s">
        <v>78</v>
      </c>
      <c r="E300" t="s">
        <v>613</v>
      </c>
      <c r="F300">
        <v>4</v>
      </c>
      <c r="G300">
        <v>300</v>
      </c>
      <c r="H300" t="str">
        <f t="shared" si="29"/>
        <v>4x300</v>
      </c>
      <c r="I300">
        <v>292</v>
      </c>
      <c r="J300" s="4">
        <f t="shared" si="30"/>
        <v>4.055555555555556E-2</v>
      </c>
      <c r="K300">
        <v>441</v>
      </c>
      <c r="L300" s="4">
        <f t="shared" si="31"/>
        <v>6.1249999999999999E-2</v>
      </c>
      <c r="M300">
        <v>669</v>
      </c>
      <c r="N300" s="4">
        <f t="shared" si="32"/>
        <v>9.2916666666666661E-2</v>
      </c>
      <c r="O300">
        <v>1335</v>
      </c>
      <c r="P300" s="4">
        <f t="shared" si="33"/>
        <v>0.18541666666666667</v>
      </c>
      <c r="Q300" s="6">
        <f t="shared" si="28"/>
        <v>2035</v>
      </c>
      <c r="R300" s="6">
        <f t="shared" si="34"/>
        <v>4</v>
      </c>
      <c r="S300">
        <v>245</v>
      </c>
      <c r="T300">
        <v>12</v>
      </c>
      <c r="U300">
        <v>-37</v>
      </c>
      <c r="V300">
        <v>33</v>
      </c>
      <c r="W300">
        <v>-21</v>
      </c>
      <c r="X300">
        <v>92</v>
      </c>
      <c r="Y300" s="2" t="s">
        <v>614</v>
      </c>
      <c r="Z300">
        <v>44.817087954999899</v>
      </c>
      <c r="AA300">
        <v>11.607328093252599</v>
      </c>
      <c r="AB300" t="s">
        <v>78</v>
      </c>
      <c r="AC300" t="s">
        <v>81</v>
      </c>
      <c r="AD300" t="s">
        <v>82</v>
      </c>
      <c r="AE300">
        <v>46087</v>
      </c>
      <c r="AF300">
        <v>0</v>
      </c>
      <c r="AG300">
        <v>0</v>
      </c>
      <c r="AH300">
        <v>37545</v>
      </c>
      <c r="AI300">
        <v>4016</v>
      </c>
      <c r="AJ300">
        <v>3968</v>
      </c>
      <c r="AK300">
        <v>558</v>
      </c>
      <c r="AL300">
        <v>9117</v>
      </c>
      <c r="AM300">
        <v>30481</v>
      </c>
      <c r="AN300">
        <v>90579</v>
      </c>
      <c r="AO300">
        <v>137268</v>
      </c>
      <c r="AP300">
        <v>2</v>
      </c>
      <c r="AQ300">
        <v>1</v>
      </c>
      <c r="AR300">
        <v>2</v>
      </c>
      <c r="AS300">
        <v>34</v>
      </c>
      <c r="AT300">
        <v>0</v>
      </c>
      <c r="AU300">
        <v>20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14</v>
      </c>
      <c r="BB300">
        <v>33</v>
      </c>
      <c r="BC300">
        <v>1</v>
      </c>
      <c r="BD300">
        <v>6</v>
      </c>
      <c r="BE300">
        <v>0</v>
      </c>
      <c r="BF300">
        <v>8</v>
      </c>
      <c r="BG300">
        <v>0</v>
      </c>
      <c r="BH300">
        <v>12</v>
      </c>
      <c r="BI300">
        <v>0</v>
      </c>
      <c r="BJ300">
        <v>44.8171757</v>
      </c>
      <c r="BK300">
        <v>11.6068993</v>
      </c>
      <c r="BL300">
        <v>1200</v>
      </c>
      <c r="BM300" t="s">
        <v>83</v>
      </c>
      <c r="BN300" t="s">
        <v>84</v>
      </c>
      <c r="BO300" t="s">
        <v>85</v>
      </c>
      <c r="BP300" t="s">
        <v>160</v>
      </c>
      <c r="BQ300" t="s">
        <v>170</v>
      </c>
      <c r="BR300" t="s">
        <v>615</v>
      </c>
      <c r="BS300">
        <v>921813</v>
      </c>
      <c r="BT300">
        <v>0</v>
      </c>
      <c r="BU300">
        <v>0</v>
      </c>
      <c r="BV300">
        <v>750935</v>
      </c>
      <c r="BW300">
        <v>80333</v>
      </c>
      <c r="BX300">
        <v>79370</v>
      </c>
      <c r="BY300">
        <v>11175</v>
      </c>
      <c r="BZ300">
        <v>1</v>
      </c>
      <c r="CA300" t="s">
        <v>616</v>
      </c>
      <c r="CB300" t="s">
        <v>617</v>
      </c>
      <c r="CC300" s="3">
        <v>46092.557106481479</v>
      </c>
      <c r="CD300" t="s">
        <v>91</v>
      </c>
    </row>
    <row r="301" spans="1:82" ht="16" x14ac:dyDescent="0.2">
      <c r="A301" t="s">
        <v>619</v>
      </c>
      <c r="B301" t="s">
        <v>620</v>
      </c>
      <c r="C301" t="s">
        <v>621</v>
      </c>
      <c r="D301" t="s">
        <v>78</v>
      </c>
      <c r="E301" t="s">
        <v>622</v>
      </c>
      <c r="F301">
        <v>4</v>
      </c>
      <c r="G301">
        <v>300</v>
      </c>
      <c r="H301" t="str">
        <f t="shared" si="29"/>
        <v>4x300</v>
      </c>
      <c r="I301">
        <v>289</v>
      </c>
      <c r="J301" s="4">
        <f t="shared" si="30"/>
        <v>4.0138888888888891E-2</v>
      </c>
      <c r="K301">
        <v>437</v>
      </c>
      <c r="L301" s="4">
        <f t="shared" si="31"/>
        <v>6.0694444444444447E-2</v>
      </c>
      <c r="M301">
        <v>663</v>
      </c>
      <c r="N301" s="4">
        <f t="shared" si="32"/>
        <v>9.2083333333333336E-2</v>
      </c>
      <c r="O301">
        <v>1322</v>
      </c>
      <c r="P301" s="4">
        <f t="shared" si="33"/>
        <v>0.18361111111111109</v>
      </c>
      <c r="Q301" s="6">
        <f t="shared" si="28"/>
        <v>2035</v>
      </c>
      <c r="R301" s="6">
        <f t="shared" si="34"/>
        <v>4</v>
      </c>
      <c r="S301">
        <v>245</v>
      </c>
      <c r="T301">
        <v>58</v>
      </c>
      <c r="U301">
        <v>-32</v>
      </c>
      <c r="V301">
        <v>-23</v>
      </c>
      <c r="W301">
        <v>-19</v>
      </c>
      <c r="X301">
        <v>97</v>
      </c>
      <c r="Y301" s="2" t="s">
        <v>623</v>
      </c>
      <c r="Z301">
        <v>45.787334195420001</v>
      </c>
      <c r="AA301">
        <v>8.9563561940144201</v>
      </c>
      <c r="AB301" t="s">
        <v>78</v>
      </c>
      <c r="AC301" t="s">
        <v>81</v>
      </c>
      <c r="AD301" t="s">
        <v>82</v>
      </c>
      <c r="AE301">
        <v>30697</v>
      </c>
      <c r="AF301">
        <v>0</v>
      </c>
      <c r="AG301">
        <v>10032</v>
      </c>
      <c r="AH301">
        <v>0</v>
      </c>
      <c r="AI301">
        <v>17462</v>
      </c>
      <c r="AJ301">
        <v>3203</v>
      </c>
      <c r="AK301">
        <v>0</v>
      </c>
      <c r="AL301">
        <v>4078</v>
      </c>
      <c r="AM301">
        <v>14068</v>
      </c>
      <c r="AN301">
        <v>64051</v>
      </c>
      <c r="AO301">
        <v>292516</v>
      </c>
      <c r="AP301">
        <v>2</v>
      </c>
      <c r="AQ301">
        <v>0</v>
      </c>
      <c r="AR301">
        <v>2</v>
      </c>
      <c r="AS301">
        <v>10</v>
      </c>
      <c r="AT301">
        <v>0</v>
      </c>
      <c r="AU301">
        <v>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4</v>
      </c>
      <c r="BB301">
        <v>6</v>
      </c>
      <c r="BC301">
        <v>2</v>
      </c>
      <c r="BD301">
        <v>0</v>
      </c>
      <c r="BE301">
        <v>0</v>
      </c>
      <c r="BF301">
        <v>2</v>
      </c>
      <c r="BG301">
        <v>0</v>
      </c>
      <c r="BH301">
        <v>6</v>
      </c>
      <c r="BI301">
        <v>0</v>
      </c>
      <c r="BJ301">
        <v>45.7871776</v>
      </c>
      <c r="BK301">
        <v>8.9566085999999991</v>
      </c>
      <c r="BL301">
        <v>1200</v>
      </c>
      <c r="BM301" t="s">
        <v>83</v>
      </c>
      <c r="BN301" t="s">
        <v>84</v>
      </c>
      <c r="BO301" t="s">
        <v>85</v>
      </c>
      <c r="BP301" t="s">
        <v>107</v>
      </c>
      <c r="BQ301" t="s">
        <v>108</v>
      </c>
      <c r="BR301" t="s">
        <v>281</v>
      </c>
      <c r="BS301">
        <v>613996</v>
      </c>
      <c r="BT301">
        <v>0</v>
      </c>
      <c r="BU301">
        <v>200652</v>
      </c>
      <c r="BV301">
        <v>0</v>
      </c>
      <c r="BW301">
        <v>349255</v>
      </c>
      <c r="BX301">
        <v>64089</v>
      </c>
      <c r="BY301">
        <v>0</v>
      </c>
      <c r="BZ301">
        <v>1</v>
      </c>
      <c r="CA301" t="s">
        <v>624</v>
      </c>
      <c r="CB301" t="s">
        <v>625</v>
      </c>
      <c r="CC301" s="3">
        <v>46092.557106481479</v>
      </c>
      <c r="CD301" t="s">
        <v>91</v>
      </c>
    </row>
    <row r="302" spans="1:82" ht="16" x14ac:dyDescent="0.2">
      <c r="A302" t="s">
        <v>629</v>
      </c>
      <c r="B302" t="s">
        <v>630</v>
      </c>
      <c r="C302" t="s">
        <v>631</v>
      </c>
      <c r="D302" t="s">
        <v>78</v>
      </c>
      <c r="E302" t="s">
        <v>632</v>
      </c>
      <c r="F302">
        <v>4</v>
      </c>
      <c r="G302">
        <v>300</v>
      </c>
      <c r="H302" t="str">
        <f t="shared" si="29"/>
        <v>4x300</v>
      </c>
      <c r="I302">
        <v>286</v>
      </c>
      <c r="J302" s="4">
        <f t="shared" si="30"/>
        <v>3.9722222222222221E-2</v>
      </c>
      <c r="K302">
        <v>432</v>
      </c>
      <c r="L302" s="4">
        <f t="shared" si="31"/>
        <v>0.06</v>
      </c>
      <c r="M302">
        <v>655</v>
      </c>
      <c r="N302" s="4">
        <f t="shared" si="32"/>
        <v>9.0972222222222218E-2</v>
      </c>
      <c r="O302">
        <v>1306</v>
      </c>
      <c r="P302" s="4">
        <f t="shared" si="33"/>
        <v>0.18138888888888891</v>
      </c>
      <c r="Q302" s="6">
        <f t="shared" si="28"/>
        <v>2035</v>
      </c>
      <c r="R302" s="6">
        <f t="shared" si="34"/>
        <v>4</v>
      </c>
      <c r="S302">
        <v>245</v>
      </c>
      <c r="T302">
        <v>-65</v>
      </c>
      <c r="U302">
        <v>-27</v>
      </c>
      <c r="V302">
        <v>83</v>
      </c>
      <c r="W302">
        <v>1</v>
      </c>
      <c r="X302">
        <v>89</v>
      </c>
      <c r="Y302" s="2" t="s">
        <v>633</v>
      </c>
      <c r="Z302">
        <v>40.349670000000003</v>
      </c>
      <c r="AA302">
        <v>14.996090000000001</v>
      </c>
      <c r="AB302" t="s">
        <v>78</v>
      </c>
      <c r="AC302" t="s">
        <v>81</v>
      </c>
      <c r="AD302" t="s">
        <v>82</v>
      </c>
      <c r="AE302">
        <v>15371</v>
      </c>
      <c r="AF302">
        <v>0</v>
      </c>
      <c r="AG302">
        <v>0</v>
      </c>
      <c r="AH302">
        <v>0</v>
      </c>
      <c r="AI302">
        <v>7480</v>
      </c>
      <c r="AJ302">
        <v>7891</v>
      </c>
      <c r="AK302">
        <v>0</v>
      </c>
      <c r="AL302">
        <v>9926</v>
      </c>
      <c r="AM302">
        <v>16684</v>
      </c>
      <c r="AN302">
        <v>24610</v>
      </c>
      <c r="AO302">
        <v>45727</v>
      </c>
      <c r="AP302">
        <v>7</v>
      </c>
      <c r="AQ302">
        <v>0</v>
      </c>
      <c r="AR302">
        <v>6</v>
      </c>
      <c r="AS302">
        <v>11</v>
      </c>
      <c r="AT302">
        <v>2</v>
      </c>
      <c r="AU302">
        <v>19</v>
      </c>
      <c r="AV302">
        <v>5</v>
      </c>
      <c r="AW302">
        <v>0</v>
      </c>
      <c r="AX302">
        <v>5</v>
      </c>
      <c r="AY302">
        <v>1</v>
      </c>
      <c r="AZ302">
        <v>2</v>
      </c>
      <c r="BA302">
        <v>2</v>
      </c>
      <c r="BB302">
        <v>4</v>
      </c>
      <c r="BC302">
        <v>2</v>
      </c>
      <c r="BD302">
        <v>0</v>
      </c>
      <c r="BE302">
        <v>0</v>
      </c>
      <c r="BF302">
        <v>0</v>
      </c>
      <c r="BG302">
        <v>0</v>
      </c>
      <c r="BH302">
        <v>2</v>
      </c>
      <c r="BI302">
        <v>0</v>
      </c>
      <c r="BJ302">
        <v>40.349569199999998</v>
      </c>
      <c r="BK302">
        <v>14.9962529</v>
      </c>
      <c r="BL302">
        <v>1200</v>
      </c>
      <c r="BM302" t="s">
        <v>83</v>
      </c>
      <c r="BN302" t="s">
        <v>84</v>
      </c>
      <c r="BO302" t="s">
        <v>85</v>
      </c>
      <c r="BP302" t="s">
        <v>97</v>
      </c>
      <c r="BQ302" t="s">
        <v>98</v>
      </c>
      <c r="BR302" t="s">
        <v>634</v>
      </c>
      <c r="BS302">
        <v>307467</v>
      </c>
      <c r="BT302">
        <v>0</v>
      </c>
      <c r="BU302">
        <v>0</v>
      </c>
      <c r="BV302">
        <v>0</v>
      </c>
      <c r="BW302">
        <v>149613</v>
      </c>
      <c r="BX302">
        <v>157854</v>
      </c>
      <c r="BY302">
        <v>0</v>
      </c>
      <c r="BZ302">
        <v>1</v>
      </c>
      <c r="CA302" t="s">
        <v>635</v>
      </c>
      <c r="CB302" t="s">
        <v>636</v>
      </c>
      <c r="CC302" s="3">
        <v>46092.557106481479</v>
      </c>
      <c r="CD302" t="s">
        <v>91</v>
      </c>
    </row>
    <row r="303" spans="1:82" ht="16" x14ac:dyDescent="0.2">
      <c r="A303" t="s">
        <v>637</v>
      </c>
      <c r="B303" t="s">
        <v>638</v>
      </c>
      <c r="C303" t="s">
        <v>639</v>
      </c>
      <c r="D303" t="s">
        <v>78</v>
      </c>
      <c r="E303" t="s">
        <v>640</v>
      </c>
      <c r="F303">
        <v>4</v>
      </c>
      <c r="G303">
        <v>300</v>
      </c>
      <c r="H303" t="str">
        <f t="shared" si="29"/>
        <v>4x300</v>
      </c>
      <c r="I303">
        <v>285</v>
      </c>
      <c r="J303" s="4">
        <f t="shared" si="30"/>
        <v>3.9583333333333331E-2</v>
      </c>
      <c r="K303">
        <v>431</v>
      </c>
      <c r="L303" s="4">
        <f t="shared" si="31"/>
        <v>5.9861111111111115E-2</v>
      </c>
      <c r="M303">
        <v>654</v>
      </c>
      <c r="N303" s="4">
        <f t="shared" si="32"/>
        <v>9.0833333333333335E-2</v>
      </c>
      <c r="O303">
        <v>1304</v>
      </c>
      <c r="P303" s="4">
        <f t="shared" si="33"/>
        <v>0.18111111111111111</v>
      </c>
      <c r="Q303" s="6">
        <f t="shared" si="28"/>
        <v>2035</v>
      </c>
      <c r="R303" s="6">
        <f t="shared" si="34"/>
        <v>4</v>
      </c>
      <c r="S303">
        <v>245</v>
      </c>
      <c r="T303">
        <v>-64</v>
      </c>
      <c r="U303">
        <v>29</v>
      </c>
      <c r="V303">
        <v>29</v>
      </c>
      <c r="W303">
        <v>-9</v>
      </c>
      <c r="X303">
        <v>100</v>
      </c>
      <c r="Y303" s="2" t="s">
        <v>641</v>
      </c>
      <c r="Z303">
        <v>41.446401199999997</v>
      </c>
      <c r="AA303">
        <v>15.538045</v>
      </c>
      <c r="AB303" t="s">
        <v>78</v>
      </c>
      <c r="AC303" t="s">
        <v>81</v>
      </c>
      <c r="AD303" t="s">
        <v>82</v>
      </c>
      <c r="AE303">
        <v>17376</v>
      </c>
      <c r="AF303">
        <v>0</v>
      </c>
      <c r="AG303">
        <v>0</v>
      </c>
      <c r="AH303">
        <v>0</v>
      </c>
      <c r="AI303">
        <v>6799</v>
      </c>
      <c r="AJ303">
        <v>10577</v>
      </c>
      <c r="AK303">
        <v>0</v>
      </c>
      <c r="AL303">
        <v>14311</v>
      </c>
      <c r="AM303">
        <v>75420</v>
      </c>
      <c r="AN303">
        <v>145776</v>
      </c>
      <c r="AO303">
        <v>149112</v>
      </c>
      <c r="AP303">
        <v>0</v>
      </c>
      <c r="AQ303">
        <v>0</v>
      </c>
      <c r="AR303">
        <v>6</v>
      </c>
      <c r="AS303">
        <v>0</v>
      </c>
      <c r="AT303">
        <v>0</v>
      </c>
      <c r="AU303">
        <v>3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4</v>
      </c>
      <c r="BC303">
        <v>0</v>
      </c>
      <c r="BD303">
        <v>2</v>
      </c>
      <c r="BE303">
        <v>0</v>
      </c>
      <c r="BF303">
        <v>4</v>
      </c>
      <c r="BG303">
        <v>0</v>
      </c>
      <c r="BH303">
        <v>12</v>
      </c>
      <c r="BI303">
        <v>0</v>
      </c>
      <c r="BJ303">
        <v>41.446402499999998</v>
      </c>
      <c r="BK303">
        <v>15.5380465</v>
      </c>
      <c r="BL303">
        <v>1200</v>
      </c>
      <c r="BM303" t="s">
        <v>83</v>
      </c>
      <c r="BN303" t="s">
        <v>84</v>
      </c>
      <c r="BO303" t="s">
        <v>85</v>
      </c>
      <c r="BP303" t="s">
        <v>97</v>
      </c>
      <c r="BQ303" t="s">
        <v>187</v>
      </c>
      <c r="BR303" t="s">
        <v>639</v>
      </c>
      <c r="BS303">
        <v>221510</v>
      </c>
      <c r="BT303">
        <v>0</v>
      </c>
      <c r="BU303">
        <v>0</v>
      </c>
      <c r="BV303">
        <v>0</v>
      </c>
      <c r="BW303">
        <v>84144</v>
      </c>
      <c r="BX303">
        <v>137366</v>
      </c>
      <c r="BY303">
        <v>0</v>
      </c>
      <c r="BZ303">
        <v>1</v>
      </c>
      <c r="CA303" t="s">
        <v>642</v>
      </c>
      <c r="CB303" t="s">
        <v>643</v>
      </c>
      <c r="CC303" s="3">
        <v>46092.557106481479</v>
      </c>
      <c r="CD303" t="s">
        <v>91</v>
      </c>
    </row>
    <row r="304" spans="1:82" ht="16" x14ac:dyDescent="0.2">
      <c r="A304" t="s">
        <v>644</v>
      </c>
      <c r="B304" t="s">
        <v>645</v>
      </c>
      <c r="C304" t="s">
        <v>646</v>
      </c>
      <c r="D304" t="s">
        <v>78</v>
      </c>
      <c r="E304" t="s">
        <v>647</v>
      </c>
      <c r="F304">
        <v>4</v>
      </c>
      <c r="G304">
        <v>300</v>
      </c>
      <c r="H304" t="str">
        <f t="shared" si="29"/>
        <v>4x300</v>
      </c>
      <c r="I304">
        <v>285</v>
      </c>
      <c r="J304" s="4">
        <f t="shared" si="30"/>
        <v>3.9583333333333331E-2</v>
      </c>
      <c r="K304">
        <v>431</v>
      </c>
      <c r="L304" s="4">
        <f t="shared" si="31"/>
        <v>5.9861111111111115E-2</v>
      </c>
      <c r="M304">
        <v>653</v>
      </c>
      <c r="N304" s="4">
        <f t="shared" si="32"/>
        <v>9.0694444444444453E-2</v>
      </c>
      <c r="O304">
        <v>1303</v>
      </c>
      <c r="P304" s="4">
        <f t="shared" si="33"/>
        <v>0.18097222222222223</v>
      </c>
      <c r="Q304" s="6">
        <f t="shared" si="28"/>
        <v>2035</v>
      </c>
      <c r="R304" s="6">
        <f t="shared" si="34"/>
        <v>4</v>
      </c>
      <c r="S304">
        <v>245</v>
      </c>
      <c r="T304">
        <v>35</v>
      </c>
      <c r="U304">
        <v>-23</v>
      </c>
      <c r="V304">
        <v>-31</v>
      </c>
      <c r="W304">
        <v>0</v>
      </c>
      <c r="X304">
        <v>99</v>
      </c>
      <c r="Y304" s="2" t="s">
        <v>648</v>
      </c>
      <c r="Z304">
        <v>45.185358361245001</v>
      </c>
      <c r="AA304">
        <v>11.260499013665299</v>
      </c>
      <c r="AB304" t="s">
        <v>78</v>
      </c>
      <c r="AC304" t="s">
        <v>81</v>
      </c>
      <c r="AD304" t="s">
        <v>82</v>
      </c>
      <c r="AE304">
        <v>50531</v>
      </c>
      <c r="AF304">
        <v>0</v>
      </c>
      <c r="AG304">
        <v>11713</v>
      </c>
      <c r="AH304">
        <v>28623</v>
      </c>
      <c r="AI304">
        <v>3775</v>
      </c>
      <c r="AJ304">
        <v>6111</v>
      </c>
      <c r="AK304">
        <v>309</v>
      </c>
      <c r="AL304">
        <v>704</v>
      </c>
      <c r="AM304">
        <v>4088</v>
      </c>
      <c r="AN304">
        <v>36380</v>
      </c>
      <c r="AO304">
        <v>71073</v>
      </c>
      <c r="AP304">
        <v>0</v>
      </c>
      <c r="AQ304">
        <v>0</v>
      </c>
      <c r="AR304">
        <v>5</v>
      </c>
      <c r="AS304">
        <v>4</v>
      </c>
      <c r="AT304">
        <v>3</v>
      </c>
      <c r="AU304">
        <v>28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18</v>
      </c>
      <c r="BB304">
        <v>21</v>
      </c>
      <c r="BC304">
        <v>9</v>
      </c>
      <c r="BD304">
        <v>0</v>
      </c>
      <c r="BE304">
        <v>0</v>
      </c>
      <c r="BF304">
        <v>0</v>
      </c>
      <c r="BG304">
        <v>0</v>
      </c>
      <c r="BH304">
        <v>2</v>
      </c>
      <c r="BI304">
        <v>0</v>
      </c>
      <c r="BJ304">
        <v>45.1854899</v>
      </c>
      <c r="BK304">
        <v>11.260399899999999</v>
      </c>
      <c r="BL304">
        <v>1200</v>
      </c>
      <c r="BM304" t="s">
        <v>83</v>
      </c>
      <c r="BN304" t="s">
        <v>84</v>
      </c>
      <c r="BO304" t="s">
        <v>85</v>
      </c>
      <c r="BP304" t="s">
        <v>160</v>
      </c>
      <c r="BQ304" t="s">
        <v>161</v>
      </c>
      <c r="BR304" t="s">
        <v>162</v>
      </c>
      <c r="BS304">
        <v>1010713</v>
      </c>
      <c r="BT304">
        <v>0</v>
      </c>
      <c r="BU304">
        <v>234273</v>
      </c>
      <c r="BV304">
        <v>572489</v>
      </c>
      <c r="BW304">
        <v>75500</v>
      </c>
      <c r="BX304">
        <v>122261</v>
      </c>
      <c r="BY304">
        <v>6190</v>
      </c>
      <c r="BZ304">
        <v>1</v>
      </c>
      <c r="CA304" t="s">
        <v>649</v>
      </c>
      <c r="CB304" t="s">
        <v>650</v>
      </c>
      <c r="CC304" s="3">
        <v>46092.557106481479</v>
      </c>
      <c r="CD304" t="s">
        <v>91</v>
      </c>
    </row>
    <row r="305" spans="1:82" ht="16" x14ac:dyDescent="0.2">
      <c r="A305" t="s">
        <v>652</v>
      </c>
      <c r="B305" t="s">
        <v>653</v>
      </c>
      <c r="C305" t="s">
        <v>654</v>
      </c>
      <c r="D305" t="s">
        <v>78</v>
      </c>
      <c r="E305" t="s">
        <v>655</v>
      </c>
      <c r="F305">
        <v>4</v>
      </c>
      <c r="G305">
        <v>300</v>
      </c>
      <c r="H305" t="str">
        <f t="shared" si="29"/>
        <v>4x300</v>
      </c>
      <c r="I305">
        <v>283</v>
      </c>
      <c r="J305" s="4">
        <f t="shared" si="30"/>
        <v>3.9305555555555559E-2</v>
      </c>
      <c r="K305">
        <v>427</v>
      </c>
      <c r="L305" s="4">
        <f t="shared" si="31"/>
        <v>5.9305555555555556E-2</v>
      </c>
      <c r="M305">
        <v>648</v>
      </c>
      <c r="N305" s="4">
        <f t="shared" si="32"/>
        <v>9.0000000000000011E-2</v>
      </c>
      <c r="O305">
        <v>1293</v>
      </c>
      <c r="P305" s="4">
        <f t="shared" si="33"/>
        <v>0.17958333333333332</v>
      </c>
      <c r="Q305" s="6">
        <f t="shared" si="28"/>
        <v>2035</v>
      </c>
      <c r="R305" s="6">
        <f t="shared" si="34"/>
        <v>4</v>
      </c>
      <c r="S305">
        <v>245</v>
      </c>
      <c r="T305">
        <v>22</v>
      </c>
      <c r="U305">
        <v>-10</v>
      </c>
      <c r="V305">
        <v>-30</v>
      </c>
      <c r="W305">
        <v>1</v>
      </c>
      <c r="X305">
        <v>93</v>
      </c>
      <c r="Y305" s="2" t="s">
        <v>656</v>
      </c>
      <c r="Z305">
        <v>41.763491989999999</v>
      </c>
      <c r="AA305">
        <v>12.36043188</v>
      </c>
      <c r="AB305" t="s">
        <v>78</v>
      </c>
      <c r="AC305" t="s">
        <v>81</v>
      </c>
      <c r="AD305" t="s">
        <v>82</v>
      </c>
      <c r="AE305">
        <v>41766</v>
      </c>
      <c r="AF305">
        <v>0</v>
      </c>
      <c r="AG305">
        <v>0</v>
      </c>
      <c r="AH305">
        <v>24025</v>
      </c>
      <c r="AI305">
        <v>0</v>
      </c>
      <c r="AJ305">
        <v>0</v>
      </c>
      <c r="AK305">
        <v>17741</v>
      </c>
      <c r="AL305">
        <v>12888</v>
      </c>
      <c r="AM305">
        <v>44286</v>
      </c>
      <c r="AN305">
        <v>144990</v>
      </c>
      <c r="AO305">
        <v>361766</v>
      </c>
      <c r="AP305">
        <v>1</v>
      </c>
      <c r="AQ305">
        <v>0</v>
      </c>
      <c r="AR305">
        <v>3</v>
      </c>
      <c r="AS305">
        <v>1</v>
      </c>
      <c r="AT305">
        <v>6</v>
      </c>
      <c r="AU305">
        <v>19</v>
      </c>
      <c r="AV305">
        <v>1</v>
      </c>
      <c r="AW305">
        <v>0</v>
      </c>
      <c r="AX305">
        <v>0</v>
      </c>
      <c r="AY305">
        <v>1</v>
      </c>
      <c r="AZ305">
        <v>0</v>
      </c>
      <c r="BA305">
        <v>8</v>
      </c>
      <c r="BB305">
        <v>20</v>
      </c>
      <c r="BC305">
        <v>2</v>
      </c>
      <c r="BD305">
        <v>0</v>
      </c>
      <c r="BE305">
        <v>0</v>
      </c>
      <c r="BF305">
        <v>0</v>
      </c>
      <c r="BG305">
        <v>0</v>
      </c>
      <c r="BH305">
        <v>2</v>
      </c>
      <c r="BI305">
        <v>0</v>
      </c>
      <c r="BJ305">
        <v>41.7635456</v>
      </c>
      <c r="BK305">
        <v>12.3602442</v>
      </c>
      <c r="BL305">
        <v>1200</v>
      </c>
      <c r="BM305" t="s">
        <v>83</v>
      </c>
      <c r="BN305" t="s">
        <v>84</v>
      </c>
      <c r="BO305" t="s">
        <v>85</v>
      </c>
      <c r="BP305" t="s">
        <v>86</v>
      </c>
      <c r="BQ305" t="s">
        <v>87</v>
      </c>
      <c r="BR305" t="s">
        <v>88</v>
      </c>
      <c r="BS305">
        <v>835382</v>
      </c>
      <c r="BT305">
        <v>0</v>
      </c>
      <c r="BU305">
        <v>0</v>
      </c>
      <c r="BV305">
        <v>480514</v>
      </c>
      <c r="BW305">
        <v>0</v>
      </c>
      <c r="BX305">
        <v>0</v>
      </c>
      <c r="BY305">
        <v>354868</v>
      </c>
      <c r="BZ305">
        <v>1</v>
      </c>
      <c r="CA305" t="s">
        <v>657</v>
      </c>
      <c r="CB305" t="s">
        <v>658</v>
      </c>
      <c r="CC305" s="3">
        <v>46092.557106481479</v>
      </c>
      <c r="CD305" t="s">
        <v>91</v>
      </c>
    </row>
    <row r="306" spans="1:82" ht="16" x14ac:dyDescent="0.2">
      <c r="A306" t="s">
        <v>659</v>
      </c>
      <c r="B306" t="s">
        <v>660</v>
      </c>
      <c r="C306" t="s">
        <v>661</v>
      </c>
      <c r="D306" t="s">
        <v>78</v>
      </c>
      <c r="E306" t="s">
        <v>662</v>
      </c>
      <c r="F306">
        <v>4</v>
      </c>
      <c r="G306">
        <v>300</v>
      </c>
      <c r="H306" t="str">
        <f t="shared" si="29"/>
        <v>4x300</v>
      </c>
      <c r="I306">
        <v>281</v>
      </c>
      <c r="J306" s="4">
        <f t="shared" si="30"/>
        <v>3.9027777777777779E-2</v>
      </c>
      <c r="K306">
        <v>424</v>
      </c>
      <c r="L306" s="4">
        <f t="shared" si="31"/>
        <v>5.8888888888888886E-2</v>
      </c>
      <c r="M306">
        <v>643</v>
      </c>
      <c r="N306" s="4">
        <f t="shared" si="32"/>
        <v>8.9305555555555569E-2</v>
      </c>
      <c r="O306">
        <v>1283</v>
      </c>
      <c r="P306" s="4">
        <f t="shared" si="33"/>
        <v>0.17819444444444443</v>
      </c>
      <c r="Q306" s="6">
        <f t="shared" si="28"/>
        <v>2035</v>
      </c>
      <c r="R306" s="6">
        <f t="shared" si="34"/>
        <v>4</v>
      </c>
      <c r="S306">
        <v>245</v>
      </c>
      <c r="T306">
        <v>14</v>
      </c>
      <c r="U306">
        <v>-24</v>
      </c>
      <c r="V306">
        <v>-13</v>
      </c>
      <c r="W306">
        <v>-3</v>
      </c>
      <c r="X306">
        <v>98</v>
      </c>
      <c r="Y306" s="2" t="s">
        <v>663</v>
      </c>
      <c r="Z306">
        <v>41.975872699999996</v>
      </c>
      <c r="AA306">
        <v>12.079630999999999</v>
      </c>
      <c r="AB306" t="s">
        <v>78</v>
      </c>
      <c r="AC306" t="s">
        <v>81</v>
      </c>
      <c r="AD306" t="s">
        <v>82</v>
      </c>
      <c r="AE306">
        <v>64716</v>
      </c>
      <c r="AF306">
        <v>44963</v>
      </c>
      <c r="AG306">
        <v>0</v>
      </c>
      <c r="AH306">
        <v>5905</v>
      </c>
      <c r="AI306">
        <v>0</v>
      </c>
      <c r="AJ306">
        <v>10902</v>
      </c>
      <c r="AK306">
        <v>2946</v>
      </c>
      <c r="AL306">
        <v>1906</v>
      </c>
      <c r="AM306">
        <v>19929</v>
      </c>
      <c r="AN306">
        <v>68266</v>
      </c>
      <c r="AO306">
        <v>81436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2</v>
      </c>
      <c r="BI306">
        <v>0</v>
      </c>
      <c r="BJ306">
        <v>41.975678700000003</v>
      </c>
      <c r="BK306">
        <v>12.080140800000001</v>
      </c>
      <c r="BL306">
        <v>1200</v>
      </c>
      <c r="BM306" t="s">
        <v>83</v>
      </c>
      <c r="BN306" t="s">
        <v>84</v>
      </c>
      <c r="BO306" t="s">
        <v>85</v>
      </c>
      <c r="BP306" t="s">
        <v>86</v>
      </c>
      <c r="BQ306" t="s">
        <v>87</v>
      </c>
      <c r="BR306" t="s">
        <v>88</v>
      </c>
      <c r="BS306">
        <v>1424058</v>
      </c>
      <c r="BT306">
        <v>1028893</v>
      </c>
      <c r="BU306">
        <v>0</v>
      </c>
      <c r="BV306">
        <v>118115</v>
      </c>
      <c r="BW306">
        <v>0</v>
      </c>
      <c r="BX306">
        <v>218105</v>
      </c>
      <c r="BY306">
        <v>58945</v>
      </c>
      <c r="BZ306">
        <v>1</v>
      </c>
      <c r="CA306" t="s">
        <v>664</v>
      </c>
      <c r="CB306" t="s">
        <v>665</v>
      </c>
      <c r="CC306" s="3">
        <v>46092.557106481479</v>
      </c>
      <c r="CD306" t="s">
        <v>91</v>
      </c>
    </row>
    <row r="307" spans="1:82" ht="16" x14ac:dyDescent="0.2">
      <c r="A307" t="s">
        <v>666</v>
      </c>
      <c r="B307" t="s">
        <v>667</v>
      </c>
      <c r="C307" t="s">
        <v>668</v>
      </c>
      <c r="D307" t="s">
        <v>78</v>
      </c>
      <c r="E307" t="s">
        <v>669</v>
      </c>
      <c r="F307">
        <v>4</v>
      </c>
      <c r="G307">
        <v>300</v>
      </c>
      <c r="H307" t="str">
        <f t="shared" si="29"/>
        <v>4x300</v>
      </c>
      <c r="I307">
        <v>279</v>
      </c>
      <c r="J307" s="4">
        <f t="shared" si="30"/>
        <v>3.875E-2</v>
      </c>
      <c r="K307">
        <v>422</v>
      </c>
      <c r="L307" s="4">
        <f t="shared" si="31"/>
        <v>5.8611111111111114E-2</v>
      </c>
      <c r="M307">
        <v>640</v>
      </c>
      <c r="N307" s="4">
        <f t="shared" si="32"/>
        <v>8.8888888888888892E-2</v>
      </c>
      <c r="O307">
        <v>1277</v>
      </c>
      <c r="P307" s="4">
        <f t="shared" si="33"/>
        <v>0.17736111111111111</v>
      </c>
      <c r="Q307" s="6">
        <f t="shared" si="28"/>
        <v>2035</v>
      </c>
      <c r="R307" s="6">
        <f t="shared" si="34"/>
        <v>4</v>
      </c>
      <c r="S307">
        <v>245</v>
      </c>
      <c r="T307">
        <v>-52</v>
      </c>
      <c r="U307">
        <v>8</v>
      </c>
      <c r="V307">
        <v>74</v>
      </c>
      <c r="W307">
        <v>-34</v>
      </c>
      <c r="X307">
        <v>67</v>
      </c>
      <c r="Y307" s="2" t="s">
        <v>670</v>
      </c>
      <c r="Z307">
        <v>44.736400895529897</v>
      </c>
      <c r="AA307">
        <v>8.8305127779121797</v>
      </c>
      <c r="AB307" t="s">
        <v>78</v>
      </c>
      <c r="AC307" t="s">
        <v>81</v>
      </c>
      <c r="AD307" t="s">
        <v>82</v>
      </c>
      <c r="AE307">
        <v>15570</v>
      </c>
      <c r="AF307">
        <v>0</v>
      </c>
      <c r="AG307">
        <v>0</v>
      </c>
      <c r="AH307">
        <v>0</v>
      </c>
      <c r="AI307">
        <v>0</v>
      </c>
      <c r="AJ307">
        <v>15570</v>
      </c>
      <c r="AK307">
        <v>0</v>
      </c>
      <c r="AL307">
        <v>211</v>
      </c>
      <c r="AM307">
        <v>2220</v>
      </c>
      <c r="AN307">
        <v>31482</v>
      </c>
      <c r="AO307">
        <v>64842</v>
      </c>
      <c r="AP307">
        <v>0</v>
      </c>
      <c r="AQ307">
        <v>0</v>
      </c>
      <c r="AR307">
        <v>7</v>
      </c>
      <c r="AS307">
        <v>12</v>
      </c>
      <c r="AT307">
        <v>2</v>
      </c>
      <c r="AU307">
        <v>7</v>
      </c>
      <c r="AV307">
        <v>1</v>
      </c>
      <c r="AW307">
        <v>0</v>
      </c>
      <c r="AX307">
        <v>2</v>
      </c>
      <c r="AY307">
        <v>0</v>
      </c>
      <c r="AZ307">
        <v>0</v>
      </c>
      <c r="BA307">
        <v>15</v>
      </c>
      <c r="BB307">
        <v>17</v>
      </c>
      <c r="BC307">
        <v>10</v>
      </c>
      <c r="BD307">
        <v>2</v>
      </c>
      <c r="BE307">
        <v>0</v>
      </c>
      <c r="BF307">
        <v>8</v>
      </c>
      <c r="BG307">
        <v>8</v>
      </c>
      <c r="BH307">
        <v>8</v>
      </c>
      <c r="BI307">
        <v>8</v>
      </c>
      <c r="BJ307">
        <v>44.736418800000003</v>
      </c>
      <c r="BK307">
        <v>8.8305284000000004</v>
      </c>
      <c r="BL307">
        <v>1200</v>
      </c>
      <c r="BM307" t="s">
        <v>83</v>
      </c>
      <c r="BN307" t="s">
        <v>84</v>
      </c>
      <c r="BO307" t="s">
        <v>85</v>
      </c>
      <c r="BP307" t="s">
        <v>107</v>
      </c>
      <c r="BQ307" t="s">
        <v>203</v>
      </c>
      <c r="BR307" t="s">
        <v>671</v>
      </c>
      <c r="BS307">
        <v>311408</v>
      </c>
      <c r="BT307">
        <v>0</v>
      </c>
      <c r="BU307">
        <v>0</v>
      </c>
      <c r="BV307">
        <v>0</v>
      </c>
      <c r="BW307">
        <v>0</v>
      </c>
      <c r="BX307">
        <v>311408</v>
      </c>
      <c r="BY307">
        <v>0</v>
      </c>
      <c r="BZ307">
        <v>1</v>
      </c>
      <c r="CA307" t="s">
        <v>672</v>
      </c>
      <c r="CB307" t="s">
        <v>673</v>
      </c>
      <c r="CC307" s="3">
        <v>46092.557106481479</v>
      </c>
      <c r="CD307" t="s">
        <v>91</v>
      </c>
    </row>
    <row r="308" spans="1:82" ht="16" x14ac:dyDescent="0.2">
      <c r="A308" t="s">
        <v>674</v>
      </c>
      <c r="B308" t="s">
        <v>675</v>
      </c>
      <c r="C308" t="s">
        <v>676</v>
      </c>
      <c r="D308" t="s">
        <v>78</v>
      </c>
      <c r="E308" t="s">
        <v>677</v>
      </c>
      <c r="F308">
        <v>4</v>
      </c>
      <c r="G308">
        <v>300</v>
      </c>
      <c r="H308" t="str">
        <f t="shared" si="29"/>
        <v>4x300</v>
      </c>
      <c r="I308">
        <v>279</v>
      </c>
      <c r="J308" s="4">
        <f t="shared" si="30"/>
        <v>3.875E-2</v>
      </c>
      <c r="K308">
        <v>421</v>
      </c>
      <c r="L308" s="4">
        <f t="shared" si="31"/>
        <v>5.8472222222222224E-2</v>
      </c>
      <c r="M308">
        <v>639</v>
      </c>
      <c r="N308" s="4">
        <f t="shared" si="32"/>
        <v>8.8749999999999996E-2</v>
      </c>
      <c r="O308">
        <v>1275</v>
      </c>
      <c r="P308" s="4">
        <f t="shared" si="33"/>
        <v>0.17708333333333334</v>
      </c>
      <c r="Q308" s="6">
        <f t="shared" si="28"/>
        <v>2035</v>
      </c>
      <c r="R308" s="6">
        <f t="shared" si="34"/>
        <v>4</v>
      </c>
      <c r="S308">
        <v>245</v>
      </c>
      <c r="T308">
        <v>8</v>
      </c>
      <c r="U308">
        <v>-24</v>
      </c>
      <c r="V308">
        <v>2</v>
      </c>
      <c r="W308">
        <v>-7</v>
      </c>
      <c r="X308">
        <v>89</v>
      </c>
      <c r="Y308" s="2" t="s">
        <v>678</v>
      </c>
      <c r="Z308">
        <v>41.754345049293299</v>
      </c>
      <c r="AA308">
        <v>12.618595604901399</v>
      </c>
      <c r="AB308" t="s">
        <v>78</v>
      </c>
      <c r="AC308" t="s">
        <v>81</v>
      </c>
      <c r="AD308" t="s">
        <v>82</v>
      </c>
      <c r="AE308">
        <v>79329</v>
      </c>
      <c r="AF308">
        <v>0</v>
      </c>
      <c r="AG308">
        <v>0</v>
      </c>
      <c r="AH308">
        <v>67704</v>
      </c>
      <c r="AI308">
        <v>2749</v>
      </c>
      <c r="AJ308">
        <v>7060</v>
      </c>
      <c r="AK308">
        <v>1816</v>
      </c>
      <c r="AL308">
        <v>3453</v>
      </c>
      <c r="AM308">
        <v>14937</v>
      </c>
      <c r="AN308">
        <v>99574</v>
      </c>
      <c r="AO308">
        <v>322758</v>
      </c>
      <c r="AP308">
        <v>0</v>
      </c>
      <c r="AQ308">
        <v>0</v>
      </c>
      <c r="AR308">
        <v>5</v>
      </c>
      <c r="AS308">
        <v>1</v>
      </c>
      <c r="AT308">
        <v>1</v>
      </c>
      <c r="AU308">
        <v>12</v>
      </c>
      <c r="AV308">
        <v>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2</v>
      </c>
      <c r="BG308">
        <v>0</v>
      </c>
      <c r="BH308">
        <v>4</v>
      </c>
      <c r="BI308">
        <v>0</v>
      </c>
      <c r="BJ308">
        <v>41.754139899999998</v>
      </c>
      <c r="BK308">
        <v>12.618279899999999</v>
      </c>
      <c r="BL308">
        <v>1200</v>
      </c>
      <c r="BM308" t="s">
        <v>83</v>
      </c>
      <c r="BN308" t="s">
        <v>84</v>
      </c>
      <c r="BO308" t="s">
        <v>85</v>
      </c>
      <c r="BP308" t="s">
        <v>86</v>
      </c>
      <c r="BQ308" t="s">
        <v>87</v>
      </c>
      <c r="BR308" t="s">
        <v>88</v>
      </c>
      <c r="BS308">
        <v>1043729</v>
      </c>
      <c r="BT308">
        <v>0</v>
      </c>
      <c r="BU308">
        <v>0</v>
      </c>
      <c r="BV308">
        <v>811180</v>
      </c>
      <c r="BW308">
        <v>54993</v>
      </c>
      <c r="BX308">
        <v>141219</v>
      </c>
      <c r="BY308">
        <v>36337</v>
      </c>
      <c r="BZ308">
        <v>1</v>
      </c>
      <c r="CA308" t="s">
        <v>679</v>
      </c>
      <c r="CB308" t="s">
        <v>680</v>
      </c>
      <c r="CC308" s="3">
        <v>46092.557106481479</v>
      </c>
      <c r="CD308" t="s">
        <v>91</v>
      </c>
    </row>
    <row r="309" spans="1:82" ht="16" x14ac:dyDescent="0.2">
      <c r="A309" t="s">
        <v>681</v>
      </c>
      <c r="B309" t="s">
        <v>682</v>
      </c>
      <c r="C309" t="s">
        <v>683</v>
      </c>
      <c r="D309" t="s">
        <v>78</v>
      </c>
      <c r="E309" t="s">
        <v>684</v>
      </c>
      <c r="F309">
        <v>4</v>
      </c>
      <c r="G309">
        <v>300</v>
      </c>
      <c r="H309" t="str">
        <f t="shared" si="29"/>
        <v>4x300</v>
      </c>
      <c r="I309">
        <v>276</v>
      </c>
      <c r="J309" s="4">
        <f t="shared" si="30"/>
        <v>3.8333333333333337E-2</v>
      </c>
      <c r="K309">
        <v>417</v>
      </c>
      <c r="L309" s="4">
        <f t="shared" si="31"/>
        <v>5.7916666666666665E-2</v>
      </c>
      <c r="M309">
        <v>633</v>
      </c>
      <c r="N309" s="4">
        <f t="shared" si="32"/>
        <v>8.7916666666666657E-2</v>
      </c>
      <c r="O309">
        <v>1263</v>
      </c>
      <c r="P309" s="4">
        <f t="shared" si="33"/>
        <v>0.17541666666666667</v>
      </c>
      <c r="Q309" s="6">
        <f t="shared" si="28"/>
        <v>2035</v>
      </c>
      <c r="R309" s="6">
        <f t="shared" si="34"/>
        <v>4</v>
      </c>
      <c r="S309">
        <v>245</v>
      </c>
      <c r="T309">
        <v>65</v>
      </c>
      <c r="U309">
        <v>-50</v>
      </c>
      <c r="V309">
        <v>-32</v>
      </c>
      <c r="W309">
        <v>-18</v>
      </c>
      <c r="X309">
        <v>109</v>
      </c>
      <c r="Y309" s="2" t="s">
        <v>685</v>
      </c>
      <c r="Z309">
        <v>45.506599999999999</v>
      </c>
      <c r="AA309">
        <v>12.63334</v>
      </c>
      <c r="AB309" t="s">
        <v>78</v>
      </c>
      <c r="AC309" t="s">
        <v>81</v>
      </c>
      <c r="AD309" t="s">
        <v>82</v>
      </c>
      <c r="AE309">
        <v>54684</v>
      </c>
      <c r="AF309">
        <v>0</v>
      </c>
      <c r="AG309">
        <v>0</v>
      </c>
      <c r="AH309">
        <v>0</v>
      </c>
      <c r="AI309">
        <v>22591</v>
      </c>
      <c r="AJ309">
        <v>10663</v>
      </c>
      <c r="AK309">
        <v>21430</v>
      </c>
      <c r="AL309">
        <v>2652</v>
      </c>
      <c r="AM309">
        <v>6011</v>
      </c>
      <c r="AN309">
        <v>21319</v>
      </c>
      <c r="AO309">
        <v>36316</v>
      </c>
      <c r="AP309">
        <v>5</v>
      </c>
      <c r="AQ309">
        <v>5</v>
      </c>
      <c r="AR309">
        <v>4</v>
      </c>
      <c r="AS309">
        <v>9</v>
      </c>
      <c r="AT309">
        <v>0</v>
      </c>
      <c r="AU309">
        <v>28</v>
      </c>
      <c r="AV309">
        <v>0</v>
      </c>
      <c r="AW309">
        <v>2</v>
      </c>
      <c r="AX309">
        <v>1</v>
      </c>
      <c r="AY309">
        <v>0</v>
      </c>
      <c r="AZ309">
        <v>2</v>
      </c>
      <c r="BA309">
        <v>17</v>
      </c>
      <c r="BB309">
        <v>28</v>
      </c>
      <c r="BC309">
        <v>14</v>
      </c>
      <c r="BD309">
        <v>0</v>
      </c>
      <c r="BE309">
        <v>0</v>
      </c>
      <c r="BF309">
        <v>0</v>
      </c>
      <c r="BG309">
        <v>2</v>
      </c>
      <c r="BH309">
        <v>0</v>
      </c>
      <c r="BI309">
        <v>2</v>
      </c>
      <c r="BJ309">
        <v>45.506634599999998</v>
      </c>
      <c r="BK309">
        <v>12.6333669</v>
      </c>
      <c r="BL309">
        <v>1200</v>
      </c>
      <c r="BM309" t="s">
        <v>83</v>
      </c>
      <c r="BN309" t="s">
        <v>84</v>
      </c>
      <c r="BO309" t="s">
        <v>85</v>
      </c>
      <c r="BP309" t="s">
        <v>160</v>
      </c>
      <c r="BQ309" t="s">
        <v>161</v>
      </c>
      <c r="BR309" t="s">
        <v>343</v>
      </c>
      <c r="BS309">
        <v>1035423</v>
      </c>
      <c r="BT309">
        <v>0</v>
      </c>
      <c r="BU309">
        <v>0</v>
      </c>
      <c r="BV309">
        <v>0</v>
      </c>
      <c r="BW309">
        <v>451844</v>
      </c>
      <c r="BX309">
        <v>213278</v>
      </c>
      <c r="BY309">
        <v>370301</v>
      </c>
      <c r="BZ309">
        <v>1</v>
      </c>
      <c r="CA309" t="s">
        <v>686</v>
      </c>
      <c r="CB309" t="s">
        <v>687</v>
      </c>
      <c r="CC309" s="3">
        <v>46092.557106481479</v>
      </c>
      <c r="CD309" t="s">
        <v>91</v>
      </c>
    </row>
    <row r="310" spans="1:82" ht="16" x14ac:dyDescent="0.2">
      <c r="A310" t="s">
        <v>688</v>
      </c>
      <c r="B310" t="s">
        <v>689</v>
      </c>
      <c r="C310" t="s">
        <v>690</v>
      </c>
      <c r="D310" t="s">
        <v>78</v>
      </c>
      <c r="E310" t="s">
        <v>691</v>
      </c>
      <c r="F310">
        <v>4</v>
      </c>
      <c r="G310">
        <v>300</v>
      </c>
      <c r="H310" t="str">
        <f t="shared" si="29"/>
        <v>4x300</v>
      </c>
      <c r="I310">
        <v>272</v>
      </c>
      <c r="J310" s="4">
        <f t="shared" si="30"/>
        <v>3.7777777777777778E-2</v>
      </c>
      <c r="K310">
        <v>411</v>
      </c>
      <c r="L310" s="4">
        <f t="shared" si="31"/>
        <v>5.708333333333334E-2</v>
      </c>
      <c r="M310">
        <v>624</v>
      </c>
      <c r="N310" s="4">
        <f t="shared" si="32"/>
        <v>8.666666666666667E-2</v>
      </c>
      <c r="O310">
        <v>1245</v>
      </c>
      <c r="P310" s="4">
        <f t="shared" si="33"/>
        <v>0.17291666666666669</v>
      </c>
      <c r="Q310" s="6">
        <f t="shared" si="28"/>
        <v>2035</v>
      </c>
      <c r="R310" s="6">
        <f t="shared" si="34"/>
        <v>4</v>
      </c>
      <c r="S310">
        <v>245</v>
      </c>
      <c r="T310">
        <v>-39</v>
      </c>
      <c r="U310">
        <v>9</v>
      </c>
      <c r="V310">
        <v>6</v>
      </c>
      <c r="W310">
        <v>-5</v>
      </c>
      <c r="X310">
        <v>96</v>
      </c>
      <c r="Y310" s="2" t="s">
        <v>692</v>
      </c>
      <c r="Z310">
        <v>45.656489999999998</v>
      </c>
      <c r="AA310">
        <v>8.9792100000000001</v>
      </c>
      <c r="AB310" t="s">
        <v>78</v>
      </c>
      <c r="AC310" t="s">
        <v>81</v>
      </c>
      <c r="AD310" t="s">
        <v>82</v>
      </c>
      <c r="AE310">
        <v>30923</v>
      </c>
      <c r="AF310">
        <v>0</v>
      </c>
      <c r="AG310">
        <v>0</v>
      </c>
      <c r="AH310">
        <v>15919</v>
      </c>
      <c r="AI310">
        <v>0</v>
      </c>
      <c r="AJ310">
        <v>12249</v>
      </c>
      <c r="AK310">
        <v>2755</v>
      </c>
      <c r="AL310">
        <v>5823</v>
      </c>
      <c r="AM310">
        <v>17463</v>
      </c>
      <c r="AN310">
        <v>78680</v>
      </c>
      <c r="AO310">
        <v>437875</v>
      </c>
      <c r="AP310">
        <v>3</v>
      </c>
      <c r="AQ310">
        <v>0</v>
      </c>
      <c r="AR310">
        <v>3</v>
      </c>
      <c r="AS310">
        <v>5</v>
      </c>
      <c r="AT310">
        <v>0</v>
      </c>
      <c r="AU310">
        <v>20</v>
      </c>
      <c r="AV310">
        <v>17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8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45.656741199999999</v>
      </c>
      <c r="BK310">
        <v>8.9791789000000009</v>
      </c>
      <c r="BL310">
        <v>1200</v>
      </c>
      <c r="BM310" t="s">
        <v>83</v>
      </c>
      <c r="BN310" t="s">
        <v>84</v>
      </c>
      <c r="BO310" t="s">
        <v>85</v>
      </c>
      <c r="BP310" t="s">
        <v>107</v>
      </c>
      <c r="BQ310" t="s">
        <v>108</v>
      </c>
      <c r="BR310" t="s">
        <v>305</v>
      </c>
      <c r="BS310">
        <v>618624</v>
      </c>
      <c r="BT310">
        <v>0</v>
      </c>
      <c r="BU310">
        <v>0</v>
      </c>
      <c r="BV310">
        <v>318384</v>
      </c>
      <c r="BW310">
        <v>0</v>
      </c>
      <c r="BX310">
        <v>245107</v>
      </c>
      <c r="BY310">
        <v>55133</v>
      </c>
      <c r="BZ310">
        <v>1</v>
      </c>
      <c r="CA310" t="s">
        <v>693</v>
      </c>
      <c r="CB310" t="s">
        <v>694</v>
      </c>
      <c r="CC310" s="3">
        <v>46092.557106481479</v>
      </c>
      <c r="CD310" t="s">
        <v>91</v>
      </c>
    </row>
    <row r="311" spans="1:82" ht="16" x14ac:dyDescent="0.2">
      <c r="A311" t="s">
        <v>695</v>
      </c>
      <c r="B311" t="s">
        <v>696</v>
      </c>
      <c r="C311" t="s">
        <v>697</v>
      </c>
      <c r="D311" t="s">
        <v>78</v>
      </c>
      <c r="E311" t="s">
        <v>698</v>
      </c>
      <c r="F311">
        <v>4</v>
      </c>
      <c r="G311">
        <v>300</v>
      </c>
      <c r="H311" t="str">
        <f t="shared" si="29"/>
        <v>4x300</v>
      </c>
      <c r="I311">
        <v>272</v>
      </c>
      <c r="J311" s="4">
        <f t="shared" si="30"/>
        <v>3.7777777777777778E-2</v>
      </c>
      <c r="K311">
        <v>411</v>
      </c>
      <c r="L311" s="4">
        <f t="shared" si="31"/>
        <v>5.708333333333334E-2</v>
      </c>
      <c r="M311">
        <v>624</v>
      </c>
      <c r="N311" s="4">
        <f t="shared" si="32"/>
        <v>8.666666666666667E-2</v>
      </c>
      <c r="O311">
        <v>1245</v>
      </c>
      <c r="P311" s="4">
        <f t="shared" si="33"/>
        <v>0.17291666666666669</v>
      </c>
      <c r="Q311" s="6">
        <f t="shared" si="28"/>
        <v>2035</v>
      </c>
      <c r="R311" s="6">
        <f t="shared" si="34"/>
        <v>4</v>
      </c>
      <c r="S311">
        <v>245</v>
      </c>
      <c r="T311">
        <v>3</v>
      </c>
      <c r="U311">
        <v>-4</v>
      </c>
      <c r="V311">
        <v>-16</v>
      </c>
      <c r="W311">
        <v>-17</v>
      </c>
      <c r="X311">
        <v>104</v>
      </c>
      <c r="Y311" s="2" t="s">
        <v>699</v>
      </c>
      <c r="Z311">
        <v>45.080591811177499</v>
      </c>
      <c r="AA311">
        <v>7.5080043720537404</v>
      </c>
      <c r="AB311" t="s">
        <v>78</v>
      </c>
      <c r="AC311" t="s">
        <v>81</v>
      </c>
      <c r="AD311" t="s">
        <v>82</v>
      </c>
      <c r="AE311">
        <v>58901</v>
      </c>
      <c r="AF311">
        <v>41622</v>
      </c>
      <c r="AG311">
        <v>0</v>
      </c>
      <c r="AH311">
        <v>7958</v>
      </c>
      <c r="AI311">
        <v>0</v>
      </c>
      <c r="AJ311">
        <v>4080</v>
      </c>
      <c r="AK311">
        <v>5241</v>
      </c>
      <c r="AL311">
        <v>7518</v>
      </c>
      <c r="AM311">
        <v>28395</v>
      </c>
      <c r="AN311">
        <v>114506</v>
      </c>
      <c r="AO311">
        <v>389225</v>
      </c>
      <c r="AP311">
        <v>8</v>
      </c>
      <c r="AQ311">
        <v>0</v>
      </c>
      <c r="AR311">
        <v>2</v>
      </c>
      <c r="AS311">
        <v>3</v>
      </c>
      <c r="AT311">
        <v>0</v>
      </c>
      <c r="AU311">
        <v>31</v>
      </c>
      <c r="AV311">
        <v>10</v>
      </c>
      <c r="AW311">
        <v>2</v>
      </c>
      <c r="AX311">
        <v>1</v>
      </c>
      <c r="AY311">
        <v>1</v>
      </c>
      <c r="AZ311">
        <v>2</v>
      </c>
      <c r="BA311">
        <v>5</v>
      </c>
      <c r="BB311">
        <v>9</v>
      </c>
      <c r="BC311">
        <v>0</v>
      </c>
      <c r="BD311">
        <v>0</v>
      </c>
      <c r="BE311">
        <v>6</v>
      </c>
      <c r="BF311">
        <v>2</v>
      </c>
      <c r="BG311">
        <v>6</v>
      </c>
      <c r="BH311">
        <v>2</v>
      </c>
      <c r="BI311">
        <v>6</v>
      </c>
      <c r="BJ311">
        <v>45.080570000000002</v>
      </c>
      <c r="BK311">
        <v>7.508</v>
      </c>
      <c r="BL311">
        <v>1200</v>
      </c>
      <c r="BM311" t="s">
        <v>83</v>
      </c>
      <c r="BN311" t="s">
        <v>84</v>
      </c>
      <c r="BO311" t="s">
        <v>85</v>
      </c>
      <c r="BP311" t="s">
        <v>107</v>
      </c>
      <c r="BQ311" t="s">
        <v>203</v>
      </c>
      <c r="BR311" t="s">
        <v>204</v>
      </c>
      <c r="BS311">
        <v>1296532</v>
      </c>
      <c r="BT311">
        <v>950898</v>
      </c>
      <c r="BU311">
        <v>0</v>
      </c>
      <c r="BV311">
        <v>159193</v>
      </c>
      <c r="BW311">
        <v>0</v>
      </c>
      <c r="BX311">
        <v>81619</v>
      </c>
      <c r="BY311">
        <v>104822</v>
      </c>
      <c r="BZ311">
        <v>1</v>
      </c>
      <c r="CA311" t="s">
        <v>700</v>
      </c>
      <c r="CB311" t="s">
        <v>701</v>
      </c>
      <c r="CC311" s="3">
        <v>46092.557106481479</v>
      </c>
      <c r="CD311" t="s">
        <v>91</v>
      </c>
    </row>
    <row r="312" spans="1:82" ht="16" x14ac:dyDescent="0.2">
      <c r="A312" t="s">
        <v>702</v>
      </c>
      <c r="B312" t="s">
        <v>703</v>
      </c>
      <c r="C312" t="s">
        <v>704</v>
      </c>
      <c r="D312" t="s">
        <v>78</v>
      </c>
      <c r="E312" t="s">
        <v>705</v>
      </c>
      <c r="F312">
        <v>4</v>
      </c>
      <c r="G312">
        <v>300</v>
      </c>
      <c r="H312" t="str">
        <f t="shared" si="29"/>
        <v>4x300</v>
      </c>
      <c r="I312">
        <v>268</v>
      </c>
      <c r="J312" s="4">
        <f t="shared" si="30"/>
        <v>3.7222222222222219E-2</v>
      </c>
      <c r="K312">
        <v>405</v>
      </c>
      <c r="L312" s="4">
        <f t="shared" si="31"/>
        <v>5.6250000000000001E-2</v>
      </c>
      <c r="M312">
        <v>613</v>
      </c>
      <c r="N312" s="4">
        <f t="shared" si="32"/>
        <v>8.5138888888888889E-2</v>
      </c>
      <c r="O312">
        <v>1224</v>
      </c>
      <c r="P312" s="4">
        <f t="shared" si="33"/>
        <v>0.17</v>
      </c>
      <c r="Q312" s="6">
        <f t="shared" si="28"/>
        <v>2035</v>
      </c>
      <c r="R312" s="6">
        <f t="shared" si="34"/>
        <v>4</v>
      </c>
      <c r="S312">
        <v>245</v>
      </c>
      <c r="T312">
        <v>-29</v>
      </c>
      <c r="U312">
        <v>-23</v>
      </c>
      <c r="V312">
        <v>12</v>
      </c>
      <c r="W312">
        <v>1</v>
      </c>
      <c r="X312">
        <v>99</v>
      </c>
      <c r="Y312" s="2" t="s">
        <v>706</v>
      </c>
      <c r="Z312">
        <v>42.051982428722503</v>
      </c>
      <c r="AA312">
        <v>11.820677321688899</v>
      </c>
      <c r="AB312" t="s">
        <v>78</v>
      </c>
      <c r="AC312" t="s">
        <v>81</v>
      </c>
      <c r="AD312" t="s">
        <v>82</v>
      </c>
      <c r="AE312">
        <v>38062</v>
      </c>
      <c r="AF312">
        <v>15356</v>
      </c>
      <c r="AG312">
        <v>0</v>
      </c>
      <c r="AH312">
        <v>22706</v>
      </c>
      <c r="AI312">
        <v>0</v>
      </c>
      <c r="AJ312">
        <v>0</v>
      </c>
      <c r="AK312">
        <v>0</v>
      </c>
      <c r="AL312">
        <v>770</v>
      </c>
      <c r="AM312">
        <v>3811</v>
      </c>
      <c r="AN312">
        <v>44080</v>
      </c>
      <c r="AO312">
        <v>69105</v>
      </c>
      <c r="AP312">
        <v>0</v>
      </c>
      <c r="AQ312">
        <v>1</v>
      </c>
      <c r="AR312">
        <v>3</v>
      </c>
      <c r="AS312">
        <v>8</v>
      </c>
      <c r="AT312">
        <v>2</v>
      </c>
      <c r="AU312">
        <v>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42.0520122</v>
      </c>
      <c r="BK312">
        <v>11.820933800000001</v>
      </c>
      <c r="BL312">
        <v>1200</v>
      </c>
      <c r="BM312" t="s">
        <v>83</v>
      </c>
      <c r="BN312" t="s">
        <v>84</v>
      </c>
      <c r="BO312" t="s">
        <v>85</v>
      </c>
      <c r="BP312" t="s">
        <v>86</v>
      </c>
      <c r="BQ312" t="s">
        <v>87</v>
      </c>
      <c r="BR312" t="s">
        <v>88</v>
      </c>
      <c r="BS312">
        <v>761249</v>
      </c>
      <c r="BT312">
        <v>307120</v>
      </c>
      <c r="BU312">
        <v>0</v>
      </c>
      <c r="BV312">
        <v>454129</v>
      </c>
      <c r="BW312">
        <v>0</v>
      </c>
      <c r="BX312">
        <v>0</v>
      </c>
      <c r="BY312">
        <v>0</v>
      </c>
      <c r="BZ312">
        <v>1</v>
      </c>
      <c r="CA312" t="s">
        <v>707</v>
      </c>
      <c r="CB312" t="s">
        <v>708</v>
      </c>
      <c r="CC312" s="3">
        <v>46092.557106481479</v>
      </c>
      <c r="CD312" t="s">
        <v>91</v>
      </c>
    </row>
    <row r="313" spans="1:82" ht="16" x14ac:dyDescent="0.2">
      <c r="A313" t="s">
        <v>709</v>
      </c>
      <c r="B313" t="s">
        <v>710</v>
      </c>
      <c r="C313" t="s">
        <v>711</v>
      </c>
      <c r="D313" t="s">
        <v>78</v>
      </c>
      <c r="E313" t="s">
        <v>712</v>
      </c>
      <c r="F313">
        <v>4</v>
      </c>
      <c r="G313">
        <v>300</v>
      </c>
      <c r="H313" t="str">
        <f t="shared" si="29"/>
        <v>4x300</v>
      </c>
      <c r="I313">
        <v>268</v>
      </c>
      <c r="J313" s="4">
        <f t="shared" si="30"/>
        <v>3.7222222222222219E-2</v>
      </c>
      <c r="K313">
        <v>405</v>
      </c>
      <c r="L313" s="4">
        <f t="shared" si="31"/>
        <v>5.6250000000000001E-2</v>
      </c>
      <c r="M313">
        <v>613</v>
      </c>
      <c r="N313" s="4">
        <f t="shared" si="32"/>
        <v>8.5138888888888889E-2</v>
      </c>
      <c r="O313">
        <v>1224</v>
      </c>
      <c r="P313" s="4">
        <f t="shared" si="33"/>
        <v>0.17</v>
      </c>
      <c r="Q313" s="6">
        <f t="shared" si="28"/>
        <v>2035</v>
      </c>
      <c r="R313" s="6">
        <f t="shared" si="34"/>
        <v>4</v>
      </c>
      <c r="S313">
        <v>245</v>
      </c>
      <c r="T313">
        <v>54</v>
      </c>
      <c r="U313">
        <v>-39</v>
      </c>
      <c r="V313">
        <v>-16</v>
      </c>
      <c r="W313">
        <v>-40</v>
      </c>
      <c r="X313">
        <v>109</v>
      </c>
      <c r="Y313" s="2" t="s">
        <v>713</v>
      </c>
      <c r="Z313">
        <v>44.8507800324629</v>
      </c>
      <c r="AA313">
        <v>11.5884411336803</v>
      </c>
      <c r="AB313" t="s">
        <v>78</v>
      </c>
      <c r="AC313" t="s">
        <v>81</v>
      </c>
      <c r="AD313" t="s">
        <v>82</v>
      </c>
      <c r="AE313">
        <v>60912</v>
      </c>
      <c r="AF313">
        <v>0</v>
      </c>
      <c r="AG313">
        <v>0</v>
      </c>
      <c r="AH313">
        <v>36566</v>
      </c>
      <c r="AI313">
        <v>17769</v>
      </c>
      <c r="AJ313">
        <v>6049</v>
      </c>
      <c r="AK313">
        <v>528</v>
      </c>
      <c r="AL313">
        <v>3028</v>
      </c>
      <c r="AM313">
        <v>14887</v>
      </c>
      <c r="AN313">
        <v>91778</v>
      </c>
      <c r="AO313">
        <v>137478</v>
      </c>
      <c r="AP313">
        <v>1</v>
      </c>
      <c r="AQ313">
        <v>0</v>
      </c>
      <c r="AR313">
        <v>3</v>
      </c>
      <c r="AS313">
        <v>9</v>
      </c>
      <c r="AT313">
        <v>2</v>
      </c>
      <c r="AU313">
        <v>30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9</v>
      </c>
      <c r="BB313">
        <v>35</v>
      </c>
      <c r="BC313">
        <v>5</v>
      </c>
      <c r="BD313">
        <v>0</v>
      </c>
      <c r="BE313">
        <v>2</v>
      </c>
      <c r="BF313">
        <v>2</v>
      </c>
      <c r="BG313">
        <v>2</v>
      </c>
      <c r="BH313">
        <v>16</v>
      </c>
      <c r="BI313">
        <v>2</v>
      </c>
      <c r="BJ313">
        <v>44.850640200000001</v>
      </c>
      <c r="BK313">
        <v>11.5881738</v>
      </c>
      <c r="BL313">
        <v>1200</v>
      </c>
      <c r="BM313" t="s">
        <v>83</v>
      </c>
      <c r="BN313" t="s">
        <v>84</v>
      </c>
      <c r="BO313" t="s">
        <v>85</v>
      </c>
      <c r="BP313" t="s">
        <v>160</v>
      </c>
      <c r="BQ313" t="s">
        <v>170</v>
      </c>
      <c r="BR313" t="s">
        <v>615</v>
      </c>
      <c r="BS313">
        <v>1165015</v>
      </c>
      <c r="BT313">
        <v>0</v>
      </c>
      <c r="BU313">
        <v>0</v>
      </c>
      <c r="BV313">
        <v>678017</v>
      </c>
      <c r="BW313">
        <v>355418</v>
      </c>
      <c r="BX313">
        <v>121013</v>
      </c>
      <c r="BY313">
        <v>10567</v>
      </c>
      <c r="BZ313">
        <v>1</v>
      </c>
      <c r="CA313" t="s">
        <v>714</v>
      </c>
      <c r="CB313" t="s">
        <v>715</v>
      </c>
      <c r="CC313" s="3">
        <v>46092.557106481479</v>
      </c>
      <c r="CD313" t="s">
        <v>91</v>
      </c>
    </row>
    <row r="314" spans="1:82" ht="16" x14ac:dyDescent="0.2">
      <c r="A314" t="s">
        <v>717</v>
      </c>
      <c r="B314" t="s">
        <v>718</v>
      </c>
      <c r="C314" t="s">
        <v>719</v>
      </c>
      <c r="D314" t="s">
        <v>78</v>
      </c>
      <c r="E314" t="s">
        <v>720</v>
      </c>
      <c r="F314">
        <v>4</v>
      </c>
      <c r="G314">
        <v>300</v>
      </c>
      <c r="H314" t="str">
        <f t="shared" si="29"/>
        <v>4x300</v>
      </c>
      <c r="I314">
        <v>265</v>
      </c>
      <c r="J314" s="4">
        <f t="shared" si="30"/>
        <v>3.6805555555555557E-2</v>
      </c>
      <c r="K314">
        <v>400</v>
      </c>
      <c r="L314" s="4">
        <f t="shared" si="31"/>
        <v>5.5555555555555552E-2</v>
      </c>
      <c r="M314">
        <v>606</v>
      </c>
      <c r="N314" s="4">
        <f t="shared" si="32"/>
        <v>8.4166666666666667E-2</v>
      </c>
      <c r="O314">
        <v>1209</v>
      </c>
      <c r="P314" s="4">
        <f t="shared" si="33"/>
        <v>0.16791666666666669</v>
      </c>
      <c r="Q314" s="6">
        <f t="shared" si="28"/>
        <v>2035</v>
      </c>
      <c r="R314" s="6">
        <f t="shared" si="34"/>
        <v>4</v>
      </c>
      <c r="S314">
        <v>245</v>
      </c>
      <c r="T314">
        <v>1</v>
      </c>
      <c r="U314">
        <v>-26</v>
      </c>
      <c r="V314">
        <v>-14</v>
      </c>
      <c r="W314">
        <v>3</v>
      </c>
      <c r="X314">
        <v>87</v>
      </c>
      <c r="Y314" s="2" t="s">
        <v>721</v>
      </c>
      <c r="Z314">
        <v>42.771929999999998</v>
      </c>
      <c r="AA314">
        <v>11.10685</v>
      </c>
      <c r="AB314" t="s">
        <v>78</v>
      </c>
      <c r="AC314" t="s">
        <v>81</v>
      </c>
      <c r="AD314" t="s">
        <v>82</v>
      </c>
      <c r="AE314">
        <v>38999</v>
      </c>
      <c r="AF314">
        <v>0</v>
      </c>
      <c r="AG314">
        <v>0</v>
      </c>
      <c r="AH314">
        <v>0</v>
      </c>
      <c r="AI314">
        <v>11590</v>
      </c>
      <c r="AJ314">
        <v>9030</v>
      </c>
      <c r="AK314">
        <v>18379</v>
      </c>
      <c r="AL314">
        <v>21131</v>
      </c>
      <c r="AM314">
        <v>50350</v>
      </c>
      <c r="AN314">
        <v>68210</v>
      </c>
      <c r="AO314">
        <v>75826</v>
      </c>
      <c r="AP314">
        <v>9</v>
      </c>
      <c r="AQ314">
        <v>0</v>
      </c>
      <c r="AR314">
        <v>3</v>
      </c>
      <c r="AS314">
        <v>13</v>
      </c>
      <c r="AT314">
        <v>1</v>
      </c>
      <c r="AU314">
        <v>22</v>
      </c>
      <c r="AV314">
        <v>11</v>
      </c>
      <c r="AW314">
        <v>0</v>
      </c>
      <c r="AX314">
        <v>0</v>
      </c>
      <c r="AY314">
        <v>0</v>
      </c>
      <c r="AZ314">
        <v>1</v>
      </c>
      <c r="BA314">
        <v>13</v>
      </c>
      <c r="BB314">
        <v>40</v>
      </c>
      <c r="BC314">
        <v>6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42.771922699999998</v>
      </c>
      <c r="BK314">
        <v>11.1069043</v>
      </c>
      <c r="BL314">
        <v>1200</v>
      </c>
      <c r="BM314" t="s">
        <v>83</v>
      </c>
      <c r="BN314" t="s">
        <v>84</v>
      </c>
      <c r="BO314" t="s">
        <v>85</v>
      </c>
      <c r="BP314" t="s">
        <v>86</v>
      </c>
      <c r="BQ314" t="s">
        <v>212</v>
      </c>
      <c r="BR314" t="s">
        <v>719</v>
      </c>
      <c r="BS314">
        <v>780101</v>
      </c>
      <c r="BT314">
        <v>0</v>
      </c>
      <c r="BU314">
        <v>0</v>
      </c>
      <c r="BV314">
        <v>0</v>
      </c>
      <c r="BW314">
        <v>231817</v>
      </c>
      <c r="BX314">
        <v>180621</v>
      </c>
      <c r="BY314">
        <v>367663</v>
      </c>
      <c r="BZ314">
        <v>1</v>
      </c>
      <c r="CA314" t="s">
        <v>722</v>
      </c>
      <c r="CB314" t="s">
        <v>723</v>
      </c>
      <c r="CC314" s="3">
        <v>46092.557106481479</v>
      </c>
      <c r="CD314" t="s">
        <v>91</v>
      </c>
    </row>
    <row r="315" spans="1:82" ht="16" x14ac:dyDescent="0.2">
      <c r="A315" t="s">
        <v>724</v>
      </c>
      <c r="B315" t="s">
        <v>725</v>
      </c>
      <c r="C315" t="s">
        <v>726</v>
      </c>
      <c r="D315" t="s">
        <v>78</v>
      </c>
      <c r="E315" t="s">
        <v>727</v>
      </c>
      <c r="F315">
        <v>4</v>
      </c>
      <c r="G315">
        <v>300</v>
      </c>
      <c r="H315" t="str">
        <f t="shared" si="29"/>
        <v>4x300</v>
      </c>
      <c r="I315">
        <v>262</v>
      </c>
      <c r="J315" s="4">
        <f t="shared" si="30"/>
        <v>3.6388888888888887E-2</v>
      </c>
      <c r="K315">
        <v>396</v>
      </c>
      <c r="L315" s="4">
        <f t="shared" si="31"/>
        <v>5.5E-2</v>
      </c>
      <c r="M315">
        <v>601</v>
      </c>
      <c r="N315" s="4">
        <f t="shared" si="32"/>
        <v>8.3472222222222225E-2</v>
      </c>
      <c r="O315">
        <v>1198</v>
      </c>
      <c r="P315" s="4">
        <f t="shared" si="33"/>
        <v>0.16638888888888889</v>
      </c>
      <c r="Q315" s="6">
        <f t="shared" si="28"/>
        <v>2035</v>
      </c>
      <c r="R315" s="6">
        <f t="shared" si="34"/>
        <v>4</v>
      </c>
      <c r="S315">
        <v>245</v>
      </c>
      <c r="T315">
        <v>-13</v>
      </c>
      <c r="U315">
        <v>-40</v>
      </c>
      <c r="V315">
        <v>15</v>
      </c>
      <c r="W315">
        <v>6</v>
      </c>
      <c r="X315">
        <v>75</v>
      </c>
      <c r="Y315" s="2" t="s">
        <v>728</v>
      </c>
      <c r="Z315">
        <v>45.538870000000003</v>
      </c>
      <c r="AA315">
        <v>10.53124</v>
      </c>
      <c r="AB315" t="s">
        <v>78</v>
      </c>
      <c r="AC315" t="s">
        <v>81</v>
      </c>
      <c r="AD315" t="s">
        <v>82</v>
      </c>
      <c r="AE315">
        <v>38719</v>
      </c>
      <c r="AF315">
        <v>0</v>
      </c>
      <c r="AG315">
        <v>0</v>
      </c>
      <c r="AH315">
        <v>22915</v>
      </c>
      <c r="AI315">
        <v>0</v>
      </c>
      <c r="AJ315">
        <v>14121</v>
      </c>
      <c r="AK315">
        <v>1683</v>
      </c>
      <c r="AL315">
        <v>1204</v>
      </c>
      <c r="AM315">
        <v>6143</v>
      </c>
      <c r="AN315">
        <v>20881</v>
      </c>
      <c r="AO315">
        <v>111799</v>
      </c>
      <c r="AP315">
        <v>2</v>
      </c>
      <c r="AQ315">
        <v>1</v>
      </c>
      <c r="AR315">
        <v>2</v>
      </c>
      <c r="AS315">
        <v>10</v>
      </c>
      <c r="AT315">
        <v>2</v>
      </c>
      <c r="AU315">
        <v>10</v>
      </c>
      <c r="AV315">
        <v>0</v>
      </c>
      <c r="AW315">
        <v>1</v>
      </c>
      <c r="AX315">
        <v>2</v>
      </c>
      <c r="AY315">
        <v>0</v>
      </c>
      <c r="AZ315">
        <v>0</v>
      </c>
      <c r="BA315">
        <v>4</v>
      </c>
      <c r="BB315">
        <v>24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45.538974699999997</v>
      </c>
      <c r="BK315">
        <v>10.5311907</v>
      </c>
      <c r="BL315">
        <v>1200</v>
      </c>
      <c r="BM315" t="s">
        <v>83</v>
      </c>
      <c r="BN315" t="s">
        <v>84</v>
      </c>
      <c r="BO315" t="s">
        <v>85</v>
      </c>
      <c r="BP315" t="s">
        <v>107</v>
      </c>
      <c r="BQ315" t="s">
        <v>108</v>
      </c>
      <c r="BR315" t="s">
        <v>179</v>
      </c>
      <c r="BS315">
        <v>774451</v>
      </c>
      <c r="BT315">
        <v>0</v>
      </c>
      <c r="BU315">
        <v>0</v>
      </c>
      <c r="BV315">
        <v>458324</v>
      </c>
      <c r="BW315">
        <v>0</v>
      </c>
      <c r="BX315">
        <v>282457</v>
      </c>
      <c r="BY315">
        <v>33670</v>
      </c>
      <c r="BZ315">
        <v>1</v>
      </c>
      <c r="CA315" t="s">
        <v>729</v>
      </c>
      <c r="CB315" t="s">
        <v>730</v>
      </c>
      <c r="CC315" s="3">
        <v>46092.557106481479</v>
      </c>
      <c r="CD315" t="s">
        <v>91</v>
      </c>
    </row>
    <row r="316" spans="1:82" ht="16" x14ac:dyDescent="0.2">
      <c r="A316" t="s">
        <v>731</v>
      </c>
      <c r="B316" t="s">
        <v>732</v>
      </c>
      <c r="C316" t="s">
        <v>733</v>
      </c>
      <c r="D316" t="s">
        <v>78</v>
      </c>
      <c r="E316" t="s">
        <v>734</v>
      </c>
      <c r="F316">
        <v>4</v>
      </c>
      <c r="G316">
        <v>300</v>
      </c>
      <c r="H316" t="str">
        <f t="shared" si="29"/>
        <v>4x300</v>
      </c>
      <c r="I316">
        <v>262</v>
      </c>
      <c r="J316" s="4">
        <f t="shared" si="30"/>
        <v>3.6388888888888887E-2</v>
      </c>
      <c r="K316">
        <v>395</v>
      </c>
      <c r="L316" s="4">
        <f t="shared" si="31"/>
        <v>5.486111111111111E-2</v>
      </c>
      <c r="M316">
        <v>599</v>
      </c>
      <c r="N316" s="4">
        <f t="shared" si="32"/>
        <v>8.3194444444444446E-2</v>
      </c>
      <c r="O316">
        <v>1196</v>
      </c>
      <c r="P316" s="4">
        <f t="shared" si="33"/>
        <v>0.16611111111111113</v>
      </c>
      <c r="Q316" s="6">
        <f t="shared" si="28"/>
        <v>2035</v>
      </c>
      <c r="R316" s="6">
        <f t="shared" si="34"/>
        <v>4</v>
      </c>
      <c r="S316">
        <v>245</v>
      </c>
      <c r="T316">
        <v>25</v>
      </c>
      <c r="U316">
        <v>-38</v>
      </c>
      <c r="V316">
        <v>-5</v>
      </c>
      <c r="W316">
        <v>-17</v>
      </c>
      <c r="X316">
        <v>91</v>
      </c>
      <c r="Y316" s="2" t="s">
        <v>735</v>
      </c>
      <c r="Z316">
        <v>42.43282</v>
      </c>
      <c r="AA316">
        <v>12.09629</v>
      </c>
      <c r="AB316" t="s">
        <v>78</v>
      </c>
      <c r="AC316" t="s">
        <v>81</v>
      </c>
      <c r="AD316" t="s">
        <v>82</v>
      </c>
      <c r="AE316">
        <v>48619</v>
      </c>
      <c r="AF316">
        <v>0</v>
      </c>
      <c r="AG316">
        <v>16202</v>
      </c>
      <c r="AH316">
        <v>20710</v>
      </c>
      <c r="AI316">
        <v>7144</v>
      </c>
      <c r="AJ316">
        <v>4563</v>
      </c>
      <c r="AK316">
        <v>0</v>
      </c>
      <c r="AL316">
        <v>5781</v>
      </c>
      <c r="AM316">
        <v>25498</v>
      </c>
      <c r="AN316">
        <v>55078</v>
      </c>
      <c r="AO316">
        <v>68984</v>
      </c>
      <c r="AP316">
        <v>0</v>
      </c>
      <c r="AQ316">
        <v>0</v>
      </c>
      <c r="AR316">
        <v>7</v>
      </c>
      <c r="AS316">
        <v>14</v>
      </c>
      <c r="AT316">
        <v>2</v>
      </c>
      <c r="AU316">
        <v>26</v>
      </c>
      <c r="AV316">
        <v>1</v>
      </c>
      <c r="AW316">
        <v>0</v>
      </c>
      <c r="AX316">
        <v>1</v>
      </c>
      <c r="AY316">
        <v>1</v>
      </c>
      <c r="AZ316">
        <v>2</v>
      </c>
      <c r="BA316">
        <v>28</v>
      </c>
      <c r="BB316">
        <v>57</v>
      </c>
      <c r="BC316">
        <v>6</v>
      </c>
      <c r="BD316">
        <v>6</v>
      </c>
      <c r="BE316">
        <v>0</v>
      </c>
      <c r="BF316">
        <v>14</v>
      </c>
      <c r="BG316">
        <v>0</v>
      </c>
      <c r="BH316">
        <v>14</v>
      </c>
      <c r="BI316">
        <v>0</v>
      </c>
      <c r="BJ316">
        <v>42.432845200000003</v>
      </c>
      <c r="BK316">
        <v>12.0963504</v>
      </c>
      <c r="BL316">
        <v>1200</v>
      </c>
      <c r="BM316" t="s">
        <v>83</v>
      </c>
      <c r="BN316" t="s">
        <v>84</v>
      </c>
      <c r="BO316" t="s">
        <v>85</v>
      </c>
      <c r="BP316" t="s">
        <v>86</v>
      </c>
      <c r="BQ316" t="s">
        <v>87</v>
      </c>
      <c r="BR316" t="s">
        <v>733</v>
      </c>
      <c r="BS316">
        <v>972474</v>
      </c>
      <c r="BT316">
        <v>0</v>
      </c>
      <c r="BU316">
        <v>324062</v>
      </c>
      <c r="BV316">
        <v>414225</v>
      </c>
      <c r="BW316">
        <v>142909</v>
      </c>
      <c r="BX316">
        <v>91278</v>
      </c>
      <c r="BY316">
        <v>0</v>
      </c>
      <c r="BZ316">
        <v>1</v>
      </c>
      <c r="CA316" t="s">
        <v>736</v>
      </c>
      <c r="CB316" t="s">
        <v>737</v>
      </c>
      <c r="CC316" s="3">
        <v>46092.557106481479</v>
      </c>
      <c r="CD316" t="s">
        <v>91</v>
      </c>
    </row>
    <row r="317" spans="1:82" ht="16" x14ac:dyDescent="0.2">
      <c r="A317" t="s">
        <v>738</v>
      </c>
      <c r="B317" t="s">
        <v>739</v>
      </c>
      <c r="C317" t="s">
        <v>740</v>
      </c>
      <c r="D317" t="s">
        <v>78</v>
      </c>
      <c r="E317" t="s">
        <v>741</v>
      </c>
      <c r="F317">
        <v>4</v>
      </c>
      <c r="G317">
        <v>300</v>
      </c>
      <c r="H317" t="str">
        <f t="shared" si="29"/>
        <v>4x300</v>
      </c>
      <c r="I317">
        <v>262</v>
      </c>
      <c r="J317" s="4">
        <f t="shared" si="30"/>
        <v>3.6388888888888887E-2</v>
      </c>
      <c r="K317">
        <v>395</v>
      </c>
      <c r="L317" s="4">
        <f t="shared" si="31"/>
        <v>5.486111111111111E-2</v>
      </c>
      <c r="M317">
        <v>599</v>
      </c>
      <c r="N317" s="4">
        <f t="shared" si="32"/>
        <v>8.3194444444444446E-2</v>
      </c>
      <c r="O317">
        <v>1196</v>
      </c>
      <c r="P317" s="4">
        <f t="shared" si="33"/>
        <v>0.16611111111111113</v>
      </c>
      <c r="Q317" s="6">
        <f t="shared" si="28"/>
        <v>2035</v>
      </c>
      <c r="R317" s="6">
        <f t="shared" si="34"/>
        <v>4</v>
      </c>
      <c r="S317">
        <v>245</v>
      </c>
      <c r="T317">
        <v>-25</v>
      </c>
      <c r="U317">
        <v>5</v>
      </c>
      <c r="V317">
        <v>-3</v>
      </c>
      <c r="W317">
        <v>-18</v>
      </c>
      <c r="X317">
        <v>98</v>
      </c>
      <c r="Y317" s="2" t="s">
        <v>742</v>
      </c>
      <c r="Z317">
        <v>41.023249999999997</v>
      </c>
      <c r="AA317">
        <v>14.35951</v>
      </c>
      <c r="AB317" t="s">
        <v>78</v>
      </c>
      <c r="AC317" t="s">
        <v>81</v>
      </c>
      <c r="AD317" t="s">
        <v>82</v>
      </c>
      <c r="AE317">
        <v>35813</v>
      </c>
      <c r="AF317">
        <v>0</v>
      </c>
      <c r="AG317">
        <v>0</v>
      </c>
      <c r="AH317">
        <v>19290</v>
      </c>
      <c r="AI317">
        <v>9571</v>
      </c>
      <c r="AJ317">
        <v>3138</v>
      </c>
      <c r="AK317">
        <v>3814</v>
      </c>
      <c r="AL317">
        <v>258</v>
      </c>
      <c r="AM317">
        <v>10362</v>
      </c>
      <c r="AN317">
        <v>98430</v>
      </c>
      <c r="AO317">
        <v>417907</v>
      </c>
      <c r="AP317">
        <v>0</v>
      </c>
      <c r="AQ317">
        <v>0</v>
      </c>
      <c r="AR317">
        <v>2</v>
      </c>
      <c r="AS317">
        <v>7</v>
      </c>
      <c r="AT317">
        <v>0</v>
      </c>
      <c r="AU317">
        <v>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</v>
      </c>
      <c r="BC317">
        <v>0</v>
      </c>
      <c r="BD317">
        <v>0</v>
      </c>
      <c r="BE317">
        <v>2</v>
      </c>
      <c r="BF317">
        <v>0</v>
      </c>
      <c r="BG317">
        <v>2</v>
      </c>
      <c r="BH317">
        <v>2</v>
      </c>
      <c r="BI317">
        <v>2</v>
      </c>
      <c r="BJ317">
        <v>41.023566199999998</v>
      </c>
      <c r="BK317">
        <v>14.3593285</v>
      </c>
      <c r="BL317">
        <v>1200</v>
      </c>
      <c r="BM317" t="s">
        <v>83</v>
      </c>
      <c r="BN317" t="s">
        <v>84</v>
      </c>
      <c r="BO317" t="s">
        <v>85</v>
      </c>
      <c r="BP317" t="s">
        <v>97</v>
      </c>
      <c r="BQ317" t="s">
        <v>98</v>
      </c>
      <c r="BR317" t="s">
        <v>743</v>
      </c>
      <c r="BS317">
        <v>716313</v>
      </c>
      <c r="BT317">
        <v>0</v>
      </c>
      <c r="BU317">
        <v>0</v>
      </c>
      <c r="BV317">
        <v>385816</v>
      </c>
      <c r="BW317">
        <v>191426</v>
      </c>
      <c r="BX317">
        <v>62777</v>
      </c>
      <c r="BY317">
        <v>76294</v>
      </c>
      <c r="BZ317">
        <v>1</v>
      </c>
      <c r="CA317" t="s">
        <v>744</v>
      </c>
      <c r="CB317" t="s">
        <v>745</v>
      </c>
      <c r="CC317" s="3">
        <v>46092.557106481479</v>
      </c>
      <c r="CD317" t="s">
        <v>91</v>
      </c>
    </row>
    <row r="318" spans="1:82" ht="16" x14ac:dyDescent="0.2">
      <c r="A318" t="s">
        <v>746</v>
      </c>
      <c r="B318" t="s">
        <v>747</v>
      </c>
      <c r="C318" t="s">
        <v>748</v>
      </c>
      <c r="D318" t="s">
        <v>78</v>
      </c>
      <c r="E318" t="s">
        <v>749</v>
      </c>
      <c r="F318">
        <v>4</v>
      </c>
      <c r="G318">
        <v>300</v>
      </c>
      <c r="H318" t="str">
        <f t="shared" si="29"/>
        <v>4x300</v>
      </c>
      <c r="I318">
        <v>259</v>
      </c>
      <c r="J318" s="4">
        <f t="shared" si="30"/>
        <v>3.5972222222222218E-2</v>
      </c>
      <c r="K318">
        <v>391</v>
      </c>
      <c r="L318" s="4">
        <f t="shared" si="31"/>
        <v>5.4305555555555551E-2</v>
      </c>
      <c r="M318">
        <v>593</v>
      </c>
      <c r="N318" s="4">
        <f t="shared" si="32"/>
        <v>8.2361111111111107E-2</v>
      </c>
      <c r="O318">
        <v>1184</v>
      </c>
      <c r="P318" s="4">
        <f t="shared" si="33"/>
        <v>0.16444444444444445</v>
      </c>
      <c r="Q318" s="6">
        <f t="shared" si="28"/>
        <v>2035</v>
      </c>
      <c r="R318" s="6">
        <f t="shared" si="34"/>
        <v>4</v>
      </c>
      <c r="S318">
        <v>245</v>
      </c>
      <c r="T318">
        <v>-63</v>
      </c>
      <c r="U318">
        <v>12</v>
      </c>
      <c r="V318">
        <v>4</v>
      </c>
      <c r="W318">
        <v>3</v>
      </c>
      <c r="X318">
        <v>99</v>
      </c>
      <c r="Y318" s="2" t="s">
        <v>750</v>
      </c>
      <c r="Z318">
        <v>40.93506</v>
      </c>
      <c r="AA318">
        <v>14.441610000000001</v>
      </c>
      <c r="AB318" t="s">
        <v>78</v>
      </c>
      <c r="AC318" t="s">
        <v>81</v>
      </c>
      <c r="AD318" t="s">
        <v>82</v>
      </c>
      <c r="AE318">
        <v>22043</v>
      </c>
      <c r="AF318">
        <v>0</v>
      </c>
      <c r="AG318">
        <v>0</v>
      </c>
      <c r="AH318">
        <v>0</v>
      </c>
      <c r="AI318">
        <v>10640</v>
      </c>
      <c r="AJ318">
        <v>7042</v>
      </c>
      <c r="AK318">
        <v>4361</v>
      </c>
      <c r="AL318">
        <v>7279</v>
      </c>
      <c r="AM318">
        <v>30169</v>
      </c>
      <c r="AN318">
        <v>100192</v>
      </c>
      <c r="AO318">
        <v>432459</v>
      </c>
      <c r="AP318">
        <v>0</v>
      </c>
      <c r="AQ318">
        <v>0</v>
      </c>
      <c r="AR318">
        <v>2</v>
      </c>
      <c r="AS318">
        <v>2</v>
      </c>
      <c r="AT318">
        <v>0</v>
      </c>
      <c r="AU318">
        <v>10</v>
      </c>
      <c r="AV318">
        <v>5</v>
      </c>
      <c r="AW318">
        <v>0</v>
      </c>
      <c r="AX318">
        <v>0</v>
      </c>
      <c r="AY318">
        <v>0</v>
      </c>
      <c r="AZ318">
        <v>0</v>
      </c>
      <c r="BA318">
        <v>6</v>
      </c>
      <c r="BB318">
        <v>18</v>
      </c>
      <c r="BC318">
        <v>2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40.935041699999999</v>
      </c>
      <c r="BK318">
        <v>14.441605600000001</v>
      </c>
      <c r="BL318">
        <v>1200</v>
      </c>
      <c r="BM318" t="s">
        <v>83</v>
      </c>
      <c r="BN318" t="s">
        <v>84</v>
      </c>
      <c r="BO318" t="s">
        <v>85</v>
      </c>
      <c r="BP318" t="s">
        <v>97</v>
      </c>
      <c r="BQ318" t="s">
        <v>98</v>
      </c>
      <c r="BR318" t="s">
        <v>99</v>
      </c>
      <c r="BS318">
        <v>440979</v>
      </c>
      <c r="BT318">
        <v>0</v>
      </c>
      <c r="BU318">
        <v>0</v>
      </c>
      <c r="BV318">
        <v>0</v>
      </c>
      <c r="BW318">
        <v>212811</v>
      </c>
      <c r="BX318">
        <v>140900</v>
      </c>
      <c r="BY318">
        <v>87268</v>
      </c>
      <c r="BZ318">
        <v>1</v>
      </c>
      <c r="CA318" t="s">
        <v>751</v>
      </c>
      <c r="CB318" t="s">
        <v>752</v>
      </c>
      <c r="CC318" s="3">
        <v>46092.557106481479</v>
      </c>
      <c r="CD318" t="s">
        <v>91</v>
      </c>
    </row>
    <row r="319" spans="1:82" ht="16" x14ac:dyDescent="0.2">
      <c r="A319" t="s">
        <v>753</v>
      </c>
      <c r="B319" t="s">
        <v>754</v>
      </c>
      <c r="C319" t="s">
        <v>755</v>
      </c>
      <c r="D319" t="s">
        <v>78</v>
      </c>
      <c r="E319" t="s">
        <v>756</v>
      </c>
      <c r="F319">
        <v>4</v>
      </c>
      <c r="G319">
        <v>300</v>
      </c>
      <c r="H319" t="str">
        <f t="shared" si="29"/>
        <v>4x300</v>
      </c>
      <c r="I319">
        <v>259</v>
      </c>
      <c r="J319" s="4">
        <f t="shared" si="30"/>
        <v>3.5972222222222218E-2</v>
      </c>
      <c r="K319">
        <v>391</v>
      </c>
      <c r="L319" s="4">
        <f t="shared" si="31"/>
        <v>5.4305555555555551E-2</v>
      </c>
      <c r="M319">
        <v>593</v>
      </c>
      <c r="N319" s="4">
        <f t="shared" si="32"/>
        <v>8.2361111111111107E-2</v>
      </c>
      <c r="O319">
        <v>1184</v>
      </c>
      <c r="P319" s="4">
        <f t="shared" si="33"/>
        <v>0.16444444444444445</v>
      </c>
      <c r="Q319" s="6">
        <f t="shared" si="28"/>
        <v>2035</v>
      </c>
      <c r="R319" s="6">
        <f t="shared" si="34"/>
        <v>4</v>
      </c>
      <c r="S319">
        <v>245</v>
      </c>
      <c r="T319">
        <v>57</v>
      </c>
      <c r="U319">
        <v>-41</v>
      </c>
      <c r="V319">
        <v>-31</v>
      </c>
      <c r="W319">
        <v>-34</v>
      </c>
      <c r="X319">
        <v>99</v>
      </c>
      <c r="Y319" s="2" t="s">
        <v>757</v>
      </c>
      <c r="Z319">
        <v>45.74409</v>
      </c>
      <c r="AA319">
        <v>11.739050000000001</v>
      </c>
      <c r="AB319" t="s">
        <v>78</v>
      </c>
      <c r="AC319" t="s">
        <v>81</v>
      </c>
      <c r="AD319" t="s">
        <v>82</v>
      </c>
      <c r="AE319">
        <v>58574</v>
      </c>
      <c r="AF319">
        <v>0</v>
      </c>
      <c r="AG319">
        <v>4853</v>
      </c>
      <c r="AH319">
        <v>8344</v>
      </c>
      <c r="AI319">
        <v>12891</v>
      </c>
      <c r="AJ319">
        <v>27327</v>
      </c>
      <c r="AK319">
        <v>5159</v>
      </c>
      <c r="AL319">
        <v>2592</v>
      </c>
      <c r="AM319">
        <v>16521</v>
      </c>
      <c r="AN319">
        <v>81672</v>
      </c>
      <c r="AO319">
        <v>178557</v>
      </c>
      <c r="AP319">
        <v>3</v>
      </c>
      <c r="AQ319">
        <v>1</v>
      </c>
      <c r="AR319">
        <v>2</v>
      </c>
      <c r="AS319">
        <v>2</v>
      </c>
      <c r="AT319">
        <v>1</v>
      </c>
      <c r="AU319">
        <v>26</v>
      </c>
      <c r="AV319">
        <v>3</v>
      </c>
      <c r="AW319">
        <v>0</v>
      </c>
      <c r="AX319">
        <v>1</v>
      </c>
      <c r="AY319">
        <v>1</v>
      </c>
      <c r="AZ319">
        <v>1</v>
      </c>
      <c r="BA319">
        <v>10</v>
      </c>
      <c r="BB319">
        <v>23</v>
      </c>
      <c r="BC319">
        <v>3</v>
      </c>
      <c r="BD319">
        <v>2</v>
      </c>
      <c r="BE319">
        <v>0</v>
      </c>
      <c r="BF319">
        <v>10</v>
      </c>
      <c r="BG319">
        <v>8</v>
      </c>
      <c r="BH319">
        <v>10</v>
      </c>
      <c r="BI319">
        <v>8</v>
      </c>
      <c r="BJ319">
        <v>45.744082200000001</v>
      </c>
      <c r="BK319">
        <v>11.7389785</v>
      </c>
      <c r="BL319">
        <v>1200</v>
      </c>
      <c r="BM319" t="s">
        <v>83</v>
      </c>
      <c r="BN319" t="s">
        <v>84</v>
      </c>
      <c r="BO319" t="s">
        <v>85</v>
      </c>
      <c r="BP319" t="s">
        <v>160</v>
      </c>
      <c r="BQ319" t="s">
        <v>161</v>
      </c>
      <c r="BR319" t="s">
        <v>527</v>
      </c>
      <c r="BS319">
        <v>1059099</v>
      </c>
      <c r="BT319">
        <v>0</v>
      </c>
      <c r="BU319">
        <v>97075</v>
      </c>
      <c r="BV319">
        <v>166890</v>
      </c>
      <c r="BW319">
        <v>257837</v>
      </c>
      <c r="BX319">
        <v>434080</v>
      </c>
      <c r="BY319">
        <v>103217</v>
      </c>
      <c r="BZ319">
        <v>1</v>
      </c>
      <c r="CA319" t="s">
        <v>758</v>
      </c>
      <c r="CB319" t="s">
        <v>759</v>
      </c>
      <c r="CC319" s="3">
        <v>46092.557106481479</v>
      </c>
      <c r="CD319" t="s">
        <v>91</v>
      </c>
    </row>
    <row r="320" spans="1:82" ht="16" x14ac:dyDescent="0.2">
      <c r="A320" t="s">
        <v>760</v>
      </c>
      <c r="B320" t="s">
        <v>761</v>
      </c>
      <c r="C320" t="s">
        <v>762</v>
      </c>
      <c r="D320" t="s">
        <v>78</v>
      </c>
      <c r="E320" t="s">
        <v>763</v>
      </c>
      <c r="F320">
        <v>4</v>
      </c>
      <c r="G320">
        <v>300</v>
      </c>
      <c r="H320" t="str">
        <f t="shared" si="29"/>
        <v>4x300</v>
      </c>
      <c r="I320">
        <v>258</v>
      </c>
      <c r="J320" s="4">
        <f t="shared" si="30"/>
        <v>3.5833333333333335E-2</v>
      </c>
      <c r="K320">
        <v>389</v>
      </c>
      <c r="L320" s="4">
        <f t="shared" si="31"/>
        <v>5.4027777777777779E-2</v>
      </c>
      <c r="M320">
        <v>590</v>
      </c>
      <c r="N320" s="4">
        <f t="shared" si="32"/>
        <v>8.1944444444444445E-2</v>
      </c>
      <c r="O320">
        <v>1177</v>
      </c>
      <c r="P320" s="4">
        <f t="shared" si="33"/>
        <v>0.16347222222222221</v>
      </c>
      <c r="Q320" s="6">
        <f t="shared" si="28"/>
        <v>2035</v>
      </c>
      <c r="R320" s="6">
        <f t="shared" si="34"/>
        <v>4</v>
      </c>
      <c r="S320">
        <v>245</v>
      </c>
      <c r="T320">
        <v>6</v>
      </c>
      <c r="U320">
        <v>-29</v>
      </c>
      <c r="V320">
        <v>-27</v>
      </c>
      <c r="W320">
        <v>-1</v>
      </c>
      <c r="X320">
        <v>102</v>
      </c>
      <c r="Y320" s="2" t="s">
        <v>764</v>
      </c>
      <c r="Z320">
        <v>45.417378374500203</v>
      </c>
      <c r="AA320">
        <v>9.4286086085931995</v>
      </c>
      <c r="AB320" t="s">
        <v>78</v>
      </c>
      <c r="AC320" t="s">
        <v>81</v>
      </c>
      <c r="AD320" t="s">
        <v>82</v>
      </c>
      <c r="AE320">
        <v>46868</v>
      </c>
      <c r="AF320">
        <v>0</v>
      </c>
      <c r="AG320">
        <v>0</v>
      </c>
      <c r="AH320">
        <v>35740</v>
      </c>
      <c r="AI320">
        <v>0</v>
      </c>
      <c r="AJ320">
        <v>10720</v>
      </c>
      <c r="AK320">
        <v>408</v>
      </c>
      <c r="AL320">
        <v>3532</v>
      </c>
      <c r="AM320">
        <v>12818</v>
      </c>
      <c r="AN320">
        <v>36512</v>
      </c>
      <c r="AO320">
        <v>154116</v>
      </c>
      <c r="AP320">
        <v>0</v>
      </c>
      <c r="AQ320">
        <v>0</v>
      </c>
      <c r="AR320">
        <v>1</v>
      </c>
      <c r="AS320">
        <v>4</v>
      </c>
      <c r="AT320">
        <v>0</v>
      </c>
      <c r="AU320">
        <v>5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4</v>
      </c>
      <c r="BB320">
        <v>10</v>
      </c>
      <c r="BC320">
        <v>4</v>
      </c>
      <c r="BD320">
        <v>0</v>
      </c>
      <c r="BE320">
        <v>0</v>
      </c>
      <c r="BF320">
        <v>0</v>
      </c>
      <c r="BG320">
        <v>0</v>
      </c>
      <c r="BH320">
        <v>2</v>
      </c>
      <c r="BI320">
        <v>0</v>
      </c>
      <c r="BJ320">
        <v>45.417318899999998</v>
      </c>
      <c r="BK320">
        <v>9.4285596999999992</v>
      </c>
      <c r="BL320">
        <v>1200</v>
      </c>
      <c r="BM320" t="s">
        <v>83</v>
      </c>
      <c r="BN320" t="s">
        <v>84</v>
      </c>
      <c r="BO320" t="s">
        <v>85</v>
      </c>
      <c r="BP320" t="s">
        <v>107</v>
      </c>
      <c r="BQ320" t="s">
        <v>108</v>
      </c>
      <c r="BR320" t="s">
        <v>539</v>
      </c>
      <c r="BS320">
        <v>937470</v>
      </c>
      <c r="BT320">
        <v>0</v>
      </c>
      <c r="BU320">
        <v>0</v>
      </c>
      <c r="BV320">
        <v>714839</v>
      </c>
      <c r="BW320">
        <v>0</v>
      </c>
      <c r="BX320">
        <v>214452</v>
      </c>
      <c r="BY320">
        <v>8179</v>
      </c>
      <c r="BZ320">
        <v>1</v>
      </c>
      <c r="CA320" t="s">
        <v>765</v>
      </c>
      <c r="CB320" t="s">
        <v>766</v>
      </c>
      <c r="CC320" s="3">
        <v>46092.557106481479</v>
      </c>
      <c r="CD320" t="s">
        <v>91</v>
      </c>
    </row>
    <row r="321" spans="1:82" ht="16" x14ac:dyDescent="0.2">
      <c r="A321" t="s">
        <v>767</v>
      </c>
      <c r="B321" t="s">
        <v>768</v>
      </c>
      <c r="C321" t="s">
        <v>769</v>
      </c>
      <c r="D321" t="s">
        <v>78</v>
      </c>
      <c r="E321" t="s">
        <v>770</v>
      </c>
      <c r="F321">
        <v>4</v>
      </c>
      <c r="G321">
        <v>300</v>
      </c>
      <c r="H321" t="str">
        <f t="shared" si="29"/>
        <v>4x300</v>
      </c>
      <c r="I321">
        <v>255</v>
      </c>
      <c r="J321" s="4">
        <f t="shared" si="30"/>
        <v>3.5416666666666666E-2</v>
      </c>
      <c r="K321">
        <v>385</v>
      </c>
      <c r="L321" s="4">
        <f t="shared" si="31"/>
        <v>5.3472222222222227E-2</v>
      </c>
      <c r="M321">
        <v>584</v>
      </c>
      <c r="N321" s="4">
        <f t="shared" si="32"/>
        <v>8.111111111111112E-2</v>
      </c>
      <c r="O321">
        <v>1166</v>
      </c>
      <c r="P321" s="4">
        <f t="shared" si="33"/>
        <v>0.16194444444444445</v>
      </c>
      <c r="Q321" s="6">
        <f t="shared" si="28"/>
        <v>2035</v>
      </c>
      <c r="R321" s="6">
        <f t="shared" si="34"/>
        <v>4</v>
      </c>
      <c r="S321">
        <v>245</v>
      </c>
      <c r="T321">
        <v>-67</v>
      </c>
      <c r="U321">
        <v>-27</v>
      </c>
      <c r="V321">
        <v>23</v>
      </c>
      <c r="W321">
        <v>17</v>
      </c>
      <c r="X321">
        <v>102</v>
      </c>
      <c r="Y321" s="2" t="s">
        <v>771</v>
      </c>
      <c r="Z321">
        <v>41.35801</v>
      </c>
      <c r="AA321">
        <v>13.41455</v>
      </c>
      <c r="AB321" t="s">
        <v>78</v>
      </c>
      <c r="AC321" t="s">
        <v>81</v>
      </c>
      <c r="AD321" t="s">
        <v>82</v>
      </c>
      <c r="AE321">
        <v>13443</v>
      </c>
      <c r="AF321">
        <v>0</v>
      </c>
      <c r="AG321">
        <v>0</v>
      </c>
      <c r="AH321">
        <v>0</v>
      </c>
      <c r="AI321">
        <v>4408</v>
      </c>
      <c r="AJ321">
        <v>5281</v>
      </c>
      <c r="AK321">
        <v>3754</v>
      </c>
      <c r="AL321">
        <v>7552</v>
      </c>
      <c r="AM321">
        <v>22842</v>
      </c>
      <c r="AN321">
        <v>36433</v>
      </c>
      <c r="AO321">
        <v>51830</v>
      </c>
      <c r="AP321">
        <v>1</v>
      </c>
      <c r="AQ321">
        <v>0</v>
      </c>
      <c r="AR321">
        <v>3</v>
      </c>
      <c r="AS321">
        <v>13</v>
      </c>
      <c r="AT321">
        <v>0</v>
      </c>
      <c r="AU321">
        <v>16</v>
      </c>
      <c r="AV321">
        <v>0</v>
      </c>
      <c r="AW321">
        <v>1</v>
      </c>
      <c r="AX321">
        <v>2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2</v>
      </c>
      <c r="BE321">
        <v>0</v>
      </c>
      <c r="BF321">
        <v>2</v>
      </c>
      <c r="BG321">
        <v>0</v>
      </c>
      <c r="BH321">
        <v>2</v>
      </c>
      <c r="BI321">
        <v>0</v>
      </c>
      <c r="BJ321">
        <v>41.358293699999997</v>
      </c>
      <c r="BK321">
        <v>13.414480599999999</v>
      </c>
      <c r="BL321">
        <v>1200</v>
      </c>
      <c r="BM321" t="s">
        <v>83</v>
      </c>
      <c r="BN321" t="s">
        <v>84</v>
      </c>
      <c r="BO321" t="s">
        <v>85</v>
      </c>
      <c r="BP321" t="s">
        <v>86</v>
      </c>
      <c r="BQ321" t="s">
        <v>87</v>
      </c>
      <c r="BR321" t="s">
        <v>772</v>
      </c>
      <c r="BS321">
        <v>269021</v>
      </c>
      <c r="BT321">
        <v>0</v>
      </c>
      <c r="BU321">
        <v>0</v>
      </c>
      <c r="BV321">
        <v>0</v>
      </c>
      <c r="BW321">
        <v>88175</v>
      </c>
      <c r="BX321">
        <v>105718</v>
      </c>
      <c r="BY321">
        <v>75128</v>
      </c>
      <c r="BZ321">
        <v>1</v>
      </c>
      <c r="CA321" t="s">
        <v>773</v>
      </c>
      <c r="CB321" t="s">
        <v>774</v>
      </c>
      <c r="CC321" s="3">
        <v>46092.557106481479</v>
      </c>
      <c r="CD321" t="s">
        <v>91</v>
      </c>
    </row>
    <row r="322" spans="1:82" ht="16" x14ac:dyDescent="0.2">
      <c r="A322" t="s">
        <v>775</v>
      </c>
      <c r="B322" t="s">
        <v>776</v>
      </c>
      <c r="C322" t="s">
        <v>777</v>
      </c>
      <c r="D322" t="s">
        <v>78</v>
      </c>
      <c r="E322" t="s">
        <v>778</v>
      </c>
      <c r="F322">
        <v>4</v>
      </c>
      <c r="G322">
        <v>300</v>
      </c>
      <c r="H322" t="str">
        <f t="shared" si="29"/>
        <v>4x300</v>
      </c>
      <c r="I322">
        <v>254</v>
      </c>
      <c r="J322" s="4">
        <f t="shared" si="30"/>
        <v>3.5277777777777776E-2</v>
      </c>
      <c r="K322">
        <v>383</v>
      </c>
      <c r="L322" s="4">
        <f t="shared" si="31"/>
        <v>5.319444444444444E-2</v>
      </c>
      <c r="M322">
        <v>582</v>
      </c>
      <c r="N322" s="4">
        <f t="shared" si="32"/>
        <v>8.0833333333333326E-2</v>
      </c>
      <c r="O322">
        <v>1161</v>
      </c>
      <c r="P322" s="4">
        <f t="shared" si="33"/>
        <v>0.16125</v>
      </c>
      <c r="Q322" s="6">
        <f t="shared" ref="Q322:Q385" si="35">IF(J322&gt;=0.13,2026,IF(L322&gt;=0.14,2027,IF(N322&gt;=0.14,2030,IF(P322&gt;=0.14,2035,"later"))))</f>
        <v>2035</v>
      </c>
      <c r="R322" s="6">
        <f t="shared" si="34"/>
        <v>4</v>
      </c>
      <c r="S322">
        <v>245</v>
      </c>
      <c r="T322">
        <v>28</v>
      </c>
      <c r="U322">
        <v>-35</v>
      </c>
      <c r="V322">
        <v>2</v>
      </c>
      <c r="W322">
        <v>-31</v>
      </c>
      <c r="X322">
        <v>82</v>
      </c>
      <c r="Y322" s="2" t="s">
        <v>779</v>
      </c>
      <c r="Z322">
        <v>45.502467249499198</v>
      </c>
      <c r="AA322">
        <v>9.6300387932526892</v>
      </c>
      <c r="AB322" t="s">
        <v>78</v>
      </c>
      <c r="AC322" t="s">
        <v>81</v>
      </c>
      <c r="AD322" t="s">
        <v>82</v>
      </c>
      <c r="AE322">
        <v>70183</v>
      </c>
      <c r="AF322">
        <v>49055</v>
      </c>
      <c r="AG322">
        <v>0</v>
      </c>
      <c r="AH322">
        <v>11876</v>
      </c>
      <c r="AI322">
        <v>0</v>
      </c>
      <c r="AJ322">
        <v>9252</v>
      </c>
      <c r="AK322">
        <v>0</v>
      </c>
      <c r="AL322">
        <v>4457</v>
      </c>
      <c r="AM322">
        <v>13351</v>
      </c>
      <c r="AN322">
        <v>61214</v>
      </c>
      <c r="AO322">
        <v>167022</v>
      </c>
      <c r="AP322">
        <v>1</v>
      </c>
      <c r="AQ322">
        <v>1</v>
      </c>
      <c r="AR322">
        <v>6</v>
      </c>
      <c r="AS322">
        <v>20</v>
      </c>
      <c r="AT322">
        <v>2</v>
      </c>
      <c r="AU322">
        <v>28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8</v>
      </c>
      <c r="BC322">
        <v>0</v>
      </c>
      <c r="BD322">
        <v>0</v>
      </c>
      <c r="BE322">
        <v>0</v>
      </c>
      <c r="BF322">
        <v>2</v>
      </c>
      <c r="BG322">
        <v>0</v>
      </c>
      <c r="BH322">
        <v>8</v>
      </c>
      <c r="BI322">
        <v>16</v>
      </c>
      <c r="BJ322">
        <v>45.502499999999998</v>
      </c>
      <c r="BK322">
        <v>9.6300898999999998</v>
      </c>
      <c r="BL322">
        <v>1200</v>
      </c>
      <c r="BM322" t="s">
        <v>83</v>
      </c>
      <c r="BN322" t="s">
        <v>84</v>
      </c>
      <c r="BO322" t="s">
        <v>85</v>
      </c>
      <c r="BP322" t="s">
        <v>107</v>
      </c>
      <c r="BQ322" t="s">
        <v>108</v>
      </c>
      <c r="BR322" t="s">
        <v>297</v>
      </c>
      <c r="BS322">
        <v>1698135</v>
      </c>
      <c r="BT322">
        <v>1275454</v>
      </c>
      <c r="BU322">
        <v>0</v>
      </c>
      <c r="BV322">
        <v>237548</v>
      </c>
      <c r="BW322">
        <v>0</v>
      </c>
      <c r="BX322">
        <v>185133</v>
      </c>
      <c r="BY322">
        <v>0</v>
      </c>
      <c r="BZ322">
        <v>1</v>
      </c>
      <c r="CA322" t="s">
        <v>780</v>
      </c>
      <c r="CB322" t="s">
        <v>781</v>
      </c>
      <c r="CC322" s="3">
        <v>46092.557106481479</v>
      </c>
      <c r="CD322" t="s">
        <v>91</v>
      </c>
    </row>
    <row r="323" spans="1:82" ht="16" x14ac:dyDescent="0.2">
      <c r="A323" t="s">
        <v>782</v>
      </c>
      <c r="B323" t="s">
        <v>783</v>
      </c>
      <c r="C323" t="s">
        <v>784</v>
      </c>
      <c r="D323" t="s">
        <v>78</v>
      </c>
      <c r="E323" t="s">
        <v>785</v>
      </c>
      <c r="F323">
        <v>4</v>
      </c>
      <c r="G323">
        <v>300</v>
      </c>
      <c r="H323" t="str">
        <f t="shared" ref="H323:H386" si="36">F323&amp;"x"&amp;G323</f>
        <v>4x300</v>
      </c>
      <c r="I323">
        <v>252</v>
      </c>
      <c r="J323" s="4">
        <f t="shared" ref="J323:J386" si="37">IF($G323=300,I323/75/$F323/24,IF($G323=150,I323/65/$F323/24,I323/40/$F323/24))</f>
        <v>3.4999999999999996E-2</v>
      </c>
      <c r="K323">
        <v>381</v>
      </c>
      <c r="L323" s="4">
        <f t="shared" ref="L323:L386" si="38">IF($G323=300,K323/75/$F323/24,IF($G323=150,K323/65/$F323/24,K323/40/$F323/24))</f>
        <v>5.2916666666666667E-2</v>
      </c>
      <c r="M323">
        <v>577</v>
      </c>
      <c r="N323" s="4">
        <f t="shared" ref="N323:N386" si="39">IF($G323=300,M323/75/$F323/24,IF($G323=150,M323/65/$F323/24,M323/40/$F323/24))</f>
        <v>8.0138888888888885E-2</v>
      </c>
      <c r="O323">
        <v>1152</v>
      </c>
      <c r="P323" s="4">
        <f t="shared" ref="P323:P386" si="40">IF($G323=300,O323/75/$F323/24,IF($G323=150,O323/65/$F323/24,O323/40/$F323/24))</f>
        <v>0.16</v>
      </c>
      <c r="Q323" s="6">
        <f t="shared" si="35"/>
        <v>2035</v>
      </c>
      <c r="R323" s="6">
        <f t="shared" ref="R323:R386" si="41">IF(Q323=2026,1,IF(Q323=2027,2,IF(Q323=2030,3,IF(Q323=2035,4,666))))</f>
        <v>4</v>
      </c>
      <c r="S323">
        <v>245</v>
      </c>
      <c r="T323">
        <v>24</v>
      </c>
      <c r="U323">
        <v>-32</v>
      </c>
      <c r="V323">
        <v>-8</v>
      </c>
      <c r="W323">
        <v>-37</v>
      </c>
      <c r="X323">
        <v>95</v>
      </c>
      <c r="Y323" s="2" t="s">
        <v>786</v>
      </c>
      <c r="Z323">
        <v>45.18929</v>
      </c>
      <c r="AA323">
        <v>7.6367900000000004</v>
      </c>
      <c r="AB323" t="s">
        <v>78</v>
      </c>
      <c r="AC323" t="s">
        <v>81</v>
      </c>
      <c r="AD323" t="s">
        <v>82</v>
      </c>
      <c r="AE323">
        <v>37967</v>
      </c>
      <c r="AF323">
        <v>17307</v>
      </c>
      <c r="AG323">
        <v>0</v>
      </c>
      <c r="AH323">
        <v>0</v>
      </c>
      <c r="AI323">
        <v>14286</v>
      </c>
      <c r="AJ323">
        <v>6374</v>
      </c>
      <c r="AK323">
        <v>0</v>
      </c>
      <c r="AL323">
        <v>1307</v>
      </c>
      <c r="AM323">
        <v>11484</v>
      </c>
      <c r="AN323">
        <v>44628</v>
      </c>
      <c r="AO323">
        <v>222309</v>
      </c>
      <c r="AP323">
        <v>0</v>
      </c>
      <c r="AQ323">
        <v>0</v>
      </c>
      <c r="AR323">
        <v>3</v>
      </c>
      <c r="AS323">
        <v>1</v>
      </c>
      <c r="AT323">
        <v>0</v>
      </c>
      <c r="AU323">
        <v>8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24</v>
      </c>
      <c r="BB323">
        <v>38</v>
      </c>
      <c r="BC323">
        <v>6</v>
      </c>
      <c r="BD323">
        <v>0</v>
      </c>
      <c r="BE323">
        <v>0</v>
      </c>
      <c r="BF323">
        <v>4</v>
      </c>
      <c r="BG323">
        <v>6</v>
      </c>
      <c r="BH323">
        <v>12</v>
      </c>
      <c r="BI323">
        <v>6</v>
      </c>
      <c r="BJ323">
        <v>45.189247000000002</v>
      </c>
      <c r="BK323">
        <v>7.6367756</v>
      </c>
      <c r="BL323">
        <v>1200</v>
      </c>
      <c r="BM323" t="s">
        <v>83</v>
      </c>
      <c r="BN323" t="s">
        <v>84</v>
      </c>
      <c r="BO323" t="s">
        <v>85</v>
      </c>
      <c r="BP323" t="s">
        <v>107</v>
      </c>
      <c r="BQ323" t="s">
        <v>203</v>
      </c>
      <c r="BR323" t="s">
        <v>204</v>
      </c>
      <c r="BS323">
        <v>759418</v>
      </c>
      <c r="BT323">
        <v>346143</v>
      </c>
      <c r="BU323">
        <v>0</v>
      </c>
      <c r="BV323">
        <v>0</v>
      </c>
      <c r="BW323">
        <v>285740</v>
      </c>
      <c r="BX323">
        <v>127535</v>
      </c>
      <c r="BY323">
        <v>0</v>
      </c>
      <c r="BZ323">
        <v>1</v>
      </c>
      <c r="CA323" t="s">
        <v>787</v>
      </c>
      <c r="CB323" t="s">
        <v>788</v>
      </c>
      <c r="CC323" s="3">
        <v>46092.557106481479</v>
      </c>
      <c r="CD323" t="s">
        <v>91</v>
      </c>
    </row>
    <row r="324" spans="1:82" ht="16" x14ac:dyDescent="0.2">
      <c r="A324" t="s">
        <v>789</v>
      </c>
      <c r="B324" t="s">
        <v>790</v>
      </c>
      <c r="C324" t="s">
        <v>791</v>
      </c>
      <c r="D324" t="s">
        <v>78</v>
      </c>
      <c r="E324" t="s">
        <v>792</v>
      </c>
      <c r="F324">
        <v>4</v>
      </c>
      <c r="G324">
        <v>300</v>
      </c>
      <c r="H324" t="str">
        <f t="shared" si="36"/>
        <v>4x300</v>
      </c>
      <c r="I324">
        <v>248</v>
      </c>
      <c r="J324" s="4">
        <f t="shared" si="37"/>
        <v>3.4444444444444444E-2</v>
      </c>
      <c r="K324">
        <v>374</v>
      </c>
      <c r="L324" s="4">
        <f t="shared" si="38"/>
        <v>5.1944444444444439E-2</v>
      </c>
      <c r="M324">
        <v>567</v>
      </c>
      <c r="N324" s="4">
        <f t="shared" si="39"/>
        <v>7.8750000000000001E-2</v>
      </c>
      <c r="O324">
        <v>1131</v>
      </c>
      <c r="P324" s="4">
        <f t="shared" si="40"/>
        <v>0.15708333333333332</v>
      </c>
      <c r="Q324" s="6">
        <f t="shared" si="35"/>
        <v>2035</v>
      </c>
      <c r="R324" s="6">
        <f t="shared" si="41"/>
        <v>4</v>
      </c>
      <c r="S324">
        <v>245</v>
      </c>
      <c r="T324">
        <v>34</v>
      </c>
      <c r="U324">
        <v>-38</v>
      </c>
      <c r="V324">
        <v>-13</v>
      </c>
      <c r="W324">
        <v>-35</v>
      </c>
      <c r="X324">
        <v>84</v>
      </c>
      <c r="Y324" s="2" t="s">
        <v>793</v>
      </c>
      <c r="Z324">
        <v>46.086127612709298</v>
      </c>
      <c r="AA324">
        <v>11.1180209355824</v>
      </c>
      <c r="AB324" t="s">
        <v>78</v>
      </c>
      <c r="AC324" t="s">
        <v>81</v>
      </c>
      <c r="AD324" t="s">
        <v>82</v>
      </c>
      <c r="AE324">
        <v>64671</v>
      </c>
      <c r="AF324">
        <v>0</v>
      </c>
      <c r="AG324">
        <v>20781</v>
      </c>
      <c r="AH324">
        <v>7492</v>
      </c>
      <c r="AI324">
        <v>0</v>
      </c>
      <c r="AJ324">
        <v>31808</v>
      </c>
      <c r="AK324">
        <v>4590</v>
      </c>
      <c r="AL324">
        <v>10279</v>
      </c>
      <c r="AM324">
        <v>31214</v>
      </c>
      <c r="AN324">
        <v>98782</v>
      </c>
      <c r="AO324">
        <v>157068</v>
      </c>
      <c r="AP324">
        <v>6</v>
      </c>
      <c r="AQ324">
        <v>0</v>
      </c>
      <c r="AR324">
        <v>4</v>
      </c>
      <c r="AS324">
        <v>13</v>
      </c>
      <c r="AT324">
        <v>1</v>
      </c>
      <c r="AU324">
        <v>29</v>
      </c>
      <c r="AV324">
        <v>6</v>
      </c>
      <c r="AW324">
        <v>0</v>
      </c>
      <c r="AX324">
        <v>0</v>
      </c>
      <c r="AY324">
        <v>0</v>
      </c>
      <c r="AZ324">
        <v>1</v>
      </c>
      <c r="BA324">
        <v>14</v>
      </c>
      <c r="BB324">
        <v>36</v>
      </c>
      <c r="BC324">
        <v>8</v>
      </c>
      <c r="BD324">
        <v>2</v>
      </c>
      <c r="BE324">
        <v>0</v>
      </c>
      <c r="BF324">
        <v>6</v>
      </c>
      <c r="BG324">
        <v>6</v>
      </c>
      <c r="BH324">
        <v>7</v>
      </c>
      <c r="BI324">
        <v>6</v>
      </c>
      <c r="BJ324">
        <v>46.08625</v>
      </c>
      <c r="BK324">
        <v>11.1184999</v>
      </c>
      <c r="BL324">
        <v>1200</v>
      </c>
      <c r="BM324" t="s">
        <v>83</v>
      </c>
      <c r="BN324" t="s">
        <v>84</v>
      </c>
      <c r="BO324" t="s">
        <v>85</v>
      </c>
      <c r="BP324" t="s">
        <v>160</v>
      </c>
      <c r="BQ324" t="s">
        <v>794</v>
      </c>
      <c r="BR324" t="s">
        <v>791</v>
      </c>
      <c r="BS324">
        <v>1293541</v>
      </c>
      <c r="BT324">
        <v>0</v>
      </c>
      <c r="BU324">
        <v>415630</v>
      </c>
      <c r="BV324">
        <v>149852</v>
      </c>
      <c r="BW324">
        <v>0</v>
      </c>
      <c r="BX324">
        <v>636222</v>
      </c>
      <c r="BY324">
        <v>91837</v>
      </c>
      <c r="BZ324">
        <v>1</v>
      </c>
      <c r="CA324" t="s">
        <v>795</v>
      </c>
      <c r="CB324" t="s">
        <v>796</v>
      </c>
      <c r="CC324" s="3">
        <v>46092.557106481479</v>
      </c>
      <c r="CD324" t="s">
        <v>91</v>
      </c>
    </row>
    <row r="325" spans="1:82" ht="16" x14ac:dyDescent="0.2">
      <c r="A325" t="s">
        <v>799</v>
      </c>
      <c r="B325" t="s">
        <v>800</v>
      </c>
      <c r="C325" t="s">
        <v>801</v>
      </c>
      <c r="D325" t="s">
        <v>78</v>
      </c>
      <c r="E325" t="s">
        <v>802</v>
      </c>
      <c r="F325">
        <v>4</v>
      </c>
      <c r="G325">
        <v>300</v>
      </c>
      <c r="H325" t="str">
        <f t="shared" si="36"/>
        <v>4x300</v>
      </c>
      <c r="I325">
        <v>243</v>
      </c>
      <c r="J325" s="4">
        <f t="shared" si="37"/>
        <v>3.3750000000000002E-2</v>
      </c>
      <c r="K325">
        <v>368</v>
      </c>
      <c r="L325" s="4">
        <f t="shared" si="38"/>
        <v>5.1111111111111107E-2</v>
      </c>
      <c r="M325">
        <v>558</v>
      </c>
      <c r="N325" s="4">
        <f t="shared" si="39"/>
        <v>7.7499999999999999E-2</v>
      </c>
      <c r="O325">
        <v>1113</v>
      </c>
      <c r="P325" s="4">
        <f t="shared" si="40"/>
        <v>0.15458333333333332</v>
      </c>
      <c r="Q325" s="6">
        <f t="shared" si="35"/>
        <v>2035</v>
      </c>
      <c r="R325" s="6">
        <f t="shared" si="41"/>
        <v>4</v>
      </c>
      <c r="S325">
        <v>245</v>
      </c>
      <c r="T325">
        <v>-78</v>
      </c>
      <c r="U325">
        <v>-25</v>
      </c>
      <c r="V325">
        <v>43</v>
      </c>
      <c r="W325">
        <v>3</v>
      </c>
      <c r="X325">
        <v>89</v>
      </c>
      <c r="Y325" s="2" t="s">
        <v>803</v>
      </c>
      <c r="Z325">
        <v>41.118589999999998</v>
      </c>
      <c r="AA325">
        <v>14.758330000000001</v>
      </c>
      <c r="AB325" t="s">
        <v>78</v>
      </c>
      <c r="AC325" t="s">
        <v>81</v>
      </c>
      <c r="AD325" t="s">
        <v>82</v>
      </c>
      <c r="AE325">
        <v>20302</v>
      </c>
      <c r="AF325">
        <v>0</v>
      </c>
      <c r="AG325">
        <v>0</v>
      </c>
      <c r="AH325">
        <v>10969</v>
      </c>
      <c r="AI325">
        <v>1395</v>
      </c>
      <c r="AJ325">
        <v>7938</v>
      </c>
      <c r="AK325">
        <v>0</v>
      </c>
      <c r="AL325">
        <v>3497</v>
      </c>
      <c r="AM325">
        <v>19520</v>
      </c>
      <c r="AN325">
        <v>59709</v>
      </c>
      <c r="AO325">
        <v>95627</v>
      </c>
      <c r="AP325">
        <v>0</v>
      </c>
      <c r="AQ325">
        <v>0</v>
      </c>
      <c r="AR325">
        <v>2</v>
      </c>
      <c r="AS325">
        <v>44</v>
      </c>
      <c r="AT325">
        <v>0</v>
      </c>
      <c r="AU325">
        <v>12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2</v>
      </c>
      <c r="BB325">
        <v>7</v>
      </c>
      <c r="BC325">
        <v>2</v>
      </c>
      <c r="BD325">
        <v>0</v>
      </c>
      <c r="BE325">
        <v>0</v>
      </c>
      <c r="BF325">
        <v>0</v>
      </c>
      <c r="BG325">
        <v>0</v>
      </c>
      <c r="BH325">
        <v>2</v>
      </c>
      <c r="BI325">
        <v>0</v>
      </c>
      <c r="BJ325">
        <v>41.118693299999997</v>
      </c>
      <c r="BK325">
        <v>14.7582954</v>
      </c>
      <c r="BL325">
        <v>1200</v>
      </c>
      <c r="BM325" t="s">
        <v>83</v>
      </c>
      <c r="BN325" t="s">
        <v>84</v>
      </c>
      <c r="BO325" t="s">
        <v>85</v>
      </c>
      <c r="BP325" t="s">
        <v>97</v>
      </c>
      <c r="BQ325" t="s">
        <v>98</v>
      </c>
      <c r="BR325" t="s">
        <v>801</v>
      </c>
      <c r="BS325">
        <v>354726</v>
      </c>
      <c r="BT325">
        <v>0</v>
      </c>
      <c r="BU325">
        <v>0</v>
      </c>
      <c r="BV325">
        <v>219401</v>
      </c>
      <c r="BW325">
        <v>27918</v>
      </c>
      <c r="BX325">
        <v>107407</v>
      </c>
      <c r="BY325">
        <v>0</v>
      </c>
      <c r="BZ325">
        <v>1</v>
      </c>
      <c r="CA325" t="s">
        <v>804</v>
      </c>
      <c r="CB325" t="s">
        <v>805</v>
      </c>
      <c r="CC325" s="3">
        <v>46092.557106481479</v>
      </c>
      <c r="CD325" t="s">
        <v>91</v>
      </c>
    </row>
    <row r="326" spans="1:82" ht="16" x14ac:dyDescent="0.2">
      <c r="A326" t="s">
        <v>807</v>
      </c>
      <c r="B326" t="s">
        <v>808</v>
      </c>
      <c r="C326" t="s">
        <v>809</v>
      </c>
      <c r="D326" t="s">
        <v>78</v>
      </c>
      <c r="E326" t="s">
        <v>810</v>
      </c>
      <c r="F326">
        <v>4</v>
      </c>
      <c r="G326">
        <v>300</v>
      </c>
      <c r="H326" t="str">
        <f t="shared" si="36"/>
        <v>4x300</v>
      </c>
      <c r="I326">
        <v>235</v>
      </c>
      <c r="J326" s="4">
        <f t="shared" si="37"/>
        <v>3.2638888888888891E-2</v>
      </c>
      <c r="K326">
        <v>355</v>
      </c>
      <c r="L326" s="4">
        <f t="shared" si="38"/>
        <v>4.9305555555555554E-2</v>
      </c>
      <c r="M326">
        <v>538</v>
      </c>
      <c r="N326" s="4">
        <f t="shared" si="39"/>
        <v>7.4722222222222218E-2</v>
      </c>
      <c r="O326">
        <v>1073</v>
      </c>
      <c r="P326" s="4">
        <f t="shared" si="40"/>
        <v>0.14902777777777779</v>
      </c>
      <c r="Q326" s="6">
        <f t="shared" si="35"/>
        <v>2035</v>
      </c>
      <c r="R326" s="6">
        <f t="shared" si="41"/>
        <v>4</v>
      </c>
      <c r="S326">
        <v>245</v>
      </c>
      <c r="T326">
        <v>-70</v>
      </c>
      <c r="U326">
        <v>-25</v>
      </c>
      <c r="V326">
        <v>4</v>
      </c>
      <c r="W326">
        <v>14</v>
      </c>
      <c r="X326">
        <v>107</v>
      </c>
      <c r="Y326" s="2" t="s">
        <v>811</v>
      </c>
      <c r="Z326">
        <v>45.515509999999999</v>
      </c>
      <c r="AA326">
        <v>10.137890000000001</v>
      </c>
      <c r="AB326" t="s">
        <v>78</v>
      </c>
      <c r="AC326" t="s">
        <v>81</v>
      </c>
      <c r="AD326" t="s">
        <v>82</v>
      </c>
      <c r="AE326">
        <v>24425</v>
      </c>
      <c r="AF326">
        <v>0</v>
      </c>
      <c r="AG326">
        <v>0</v>
      </c>
      <c r="AH326">
        <v>0</v>
      </c>
      <c r="AI326">
        <v>14930</v>
      </c>
      <c r="AJ326">
        <v>9495</v>
      </c>
      <c r="AK326">
        <v>0</v>
      </c>
      <c r="AL326">
        <v>3465</v>
      </c>
      <c r="AM326">
        <v>15840</v>
      </c>
      <c r="AN326">
        <v>74333</v>
      </c>
      <c r="AO326">
        <v>337026</v>
      </c>
      <c r="AP326">
        <v>0</v>
      </c>
      <c r="AQ326">
        <v>0</v>
      </c>
      <c r="AR326">
        <v>4</v>
      </c>
      <c r="AS326">
        <v>10</v>
      </c>
      <c r="AT326">
        <v>0</v>
      </c>
      <c r="AU326">
        <v>12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2</v>
      </c>
      <c r="BB326">
        <v>10</v>
      </c>
      <c r="BC326">
        <v>2</v>
      </c>
      <c r="BD326">
        <v>2</v>
      </c>
      <c r="BE326">
        <v>0</v>
      </c>
      <c r="BF326">
        <v>2</v>
      </c>
      <c r="BG326">
        <v>0</v>
      </c>
      <c r="BH326">
        <v>2</v>
      </c>
      <c r="BI326">
        <v>0</v>
      </c>
      <c r="BJ326">
        <v>45.515450000000001</v>
      </c>
      <c r="BK326">
        <v>10.1379</v>
      </c>
      <c r="BL326">
        <v>1200</v>
      </c>
      <c r="BM326" t="s">
        <v>83</v>
      </c>
      <c r="BN326" t="s">
        <v>84</v>
      </c>
      <c r="BO326" t="s">
        <v>85</v>
      </c>
      <c r="BP326" t="s">
        <v>107</v>
      </c>
      <c r="BQ326" t="s">
        <v>108</v>
      </c>
      <c r="BR326" t="s">
        <v>179</v>
      </c>
      <c r="BS326">
        <v>354055</v>
      </c>
      <c r="BT326">
        <v>0</v>
      </c>
      <c r="BU326">
        <v>0</v>
      </c>
      <c r="BV326">
        <v>0</v>
      </c>
      <c r="BW326">
        <v>164127</v>
      </c>
      <c r="BX326">
        <v>189928</v>
      </c>
      <c r="BY326">
        <v>0</v>
      </c>
      <c r="BZ326">
        <v>1</v>
      </c>
      <c r="CA326" t="s">
        <v>812</v>
      </c>
      <c r="CB326" t="s">
        <v>813</v>
      </c>
      <c r="CC326" s="3">
        <v>46092.557106481479</v>
      </c>
      <c r="CD326" t="s">
        <v>91</v>
      </c>
    </row>
    <row r="327" spans="1:82" ht="16" x14ac:dyDescent="0.2">
      <c r="A327" t="s">
        <v>814</v>
      </c>
      <c r="B327" t="s">
        <v>815</v>
      </c>
      <c r="C327" t="s">
        <v>816</v>
      </c>
      <c r="D327" t="s">
        <v>78</v>
      </c>
      <c r="E327" t="s">
        <v>817</v>
      </c>
      <c r="F327">
        <v>4</v>
      </c>
      <c r="G327">
        <v>300</v>
      </c>
      <c r="H327" t="str">
        <f t="shared" si="36"/>
        <v>4x300</v>
      </c>
      <c r="I327">
        <v>234</v>
      </c>
      <c r="J327" s="4">
        <f t="shared" si="37"/>
        <v>3.2500000000000001E-2</v>
      </c>
      <c r="K327">
        <v>353</v>
      </c>
      <c r="L327" s="4">
        <f t="shared" si="38"/>
        <v>4.9027777777777781E-2</v>
      </c>
      <c r="M327">
        <v>536</v>
      </c>
      <c r="N327" s="4">
        <f t="shared" si="39"/>
        <v>7.4444444444444438E-2</v>
      </c>
      <c r="O327">
        <v>1069</v>
      </c>
      <c r="P327" s="4">
        <f t="shared" si="40"/>
        <v>0.14847222222222223</v>
      </c>
      <c r="Q327" s="6">
        <f t="shared" si="35"/>
        <v>2035</v>
      </c>
      <c r="R327" s="6">
        <f t="shared" si="41"/>
        <v>4</v>
      </c>
      <c r="S327">
        <v>245</v>
      </c>
      <c r="T327">
        <v>-42</v>
      </c>
      <c r="U327">
        <v>-30</v>
      </c>
      <c r="V327">
        <v>5</v>
      </c>
      <c r="W327">
        <v>-1</v>
      </c>
      <c r="X327">
        <v>92</v>
      </c>
      <c r="Y327" s="2" t="s">
        <v>818</v>
      </c>
      <c r="Z327">
        <v>45.928421193010401</v>
      </c>
      <c r="AA327">
        <v>8.5559556033571909</v>
      </c>
      <c r="AB327" t="s">
        <v>78</v>
      </c>
      <c r="AC327" t="s">
        <v>81</v>
      </c>
      <c r="AD327" t="s">
        <v>82</v>
      </c>
      <c r="AE327">
        <v>30869</v>
      </c>
      <c r="AF327">
        <v>0</v>
      </c>
      <c r="AG327">
        <v>0</v>
      </c>
      <c r="AH327">
        <v>18337</v>
      </c>
      <c r="AI327">
        <v>0</v>
      </c>
      <c r="AJ327">
        <v>11733</v>
      </c>
      <c r="AK327">
        <v>799</v>
      </c>
      <c r="AL327">
        <v>8561</v>
      </c>
      <c r="AM327">
        <v>19307</v>
      </c>
      <c r="AN327">
        <v>43075</v>
      </c>
      <c r="AO327">
        <v>83800</v>
      </c>
      <c r="AP327">
        <v>6</v>
      </c>
      <c r="AQ327">
        <v>0</v>
      </c>
      <c r="AR327">
        <v>4</v>
      </c>
      <c r="AS327">
        <v>8</v>
      </c>
      <c r="AT327">
        <v>0</v>
      </c>
      <c r="AU327">
        <v>28</v>
      </c>
      <c r="AV327">
        <v>5</v>
      </c>
      <c r="AW327">
        <v>1</v>
      </c>
      <c r="AX327">
        <v>3</v>
      </c>
      <c r="AY327">
        <v>0</v>
      </c>
      <c r="AZ327">
        <v>5</v>
      </c>
      <c r="BA327">
        <v>15</v>
      </c>
      <c r="BB327">
        <v>22</v>
      </c>
      <c r="BC327">
        <v>9</v>
      </c>
      <c r="BD327">
        <v>2</v>
      </c>
      <c r="BE327">
        <v>0</v>
      </c>
      <c r="BF327">
        <v>4</v>
      </c>
      <c r="BG327">
        <v>0</v>
      </c>
      <c r="BH327">
        <v>6</v>
      </c>
      <c r="BI327">
        <v>0</v>
      </c>
      <c r="BJ327">
        <v>45.928179900000003</v>
      </c>
      <c r="BK327">
        <v>8.5558700000000005</v>
      </c>
      <c r="BL327">
        <v>1200</v>
      </c>
      <c r="BM327" t="s">
        <v>83</v>
      </c>
      <c r="BN327" t="s">
        <v>84</v>
      </c>
      <c r="BO327" t="s">
        <v>85</v>
      </c>
      <c r="BP327" t="s">
        <v>107</v>
      </c>
      <c r="BQ327" t="s">
        <v>203</v>
      </c>
      <c r="BR327" t="s">
        <v>819</v>
      </c>
      <c r="BS327">
        <v>617470</v>
      </c>
      <c r="BT327">
        <v>0</v>
      </c>
      <c r="BU327">
        <v>0</v>
      </c>
      <c r="BV327">
        <v>366768</v>
      </c>
      <c r="BW327">
        <v>0</v>
      </c>
      <c r="BX327">
        <v>234703</v>
      </c>
      <c r="BY327">
        <v>15999</v>
      </c>
      <c r="BZ327">
        <v>1</v>
      </c>
      <c r="CA327" t="s">
        <v>820</v>
      </c>
      <c r="CB327" t="s">
        <v>821</v>
      </c>
      <c r="CC327" s="3">
        <v>46092.557106481479</v>
      </c>
      <c r="CD327" t="s">
        <v>91</v>
      </c>
    </row>
    <row r="328" spans="1:82" ht="16" x14ac:dyDescent="0.2">
      <c r="A328" t="s">
        <v>822</v>
      </c>
      <c r="B328" t="s">
        <v>823</v>
      </c>
      <c r="C328" t="s">
        <v>824</v>
      </c>
      <c r="D328" t="s">
        <v>78</v>
      </c>
      <c r="E328" t="s">
        <v>825</v>
      </c>
      <c r="F328">
        <v>4</v>
      </c>
      <c r="G328">
        <v>300</v>
      </c>
      <c r="H328" t="str">
        <f t="shared" si="36"/>
        <v>4x300</v>
      </c>
      <c r="I328">
        <v>234</v>
      </c>
      <c r="J328" s="4">
        <f t="shared" si="37"/>
        <v>3.2500000000000001E-2</v>
      </c>
      <c r="K328">
        <v>353</v>
      </c>
      <c r="L328" s="4">
        <f t="shared" si="38"/>
        <v>4.9027777777777781E-2</v>
      </c>
      <c r="M328">
        <v>535</v>
      </c>
      <c r="N328" s="4">
        <f t="shared" si="39"/>
        <v>7.4305555555555555E-2</v>
      </c>
      <c r="O328">
        <v>1068</v>
      </c>
      <c r="P328" s="4">
        <f t="shared" si="40"/>
        <v>0.14833333333333334</v>
      </c>
      <c r="Q328" s="6">
        <f t="shared" si="35"/>
        <v>2035</v>
      </c>
      <c r="R328" s="6">
        <f t="shared" si="41"/>
        <v>4</v>
      </c>
      <c r="S328">
        <v>245</v>
      </c>
      <c r="T328">
        <v>-40</v>
      </c>
      <c r="U328">
        <v>-27</v>
      </c>
      <c r="V328">
        <v>-6</v>
      </c>
      <c r="W328">
        <v>3</v>
      </c>
      <c r="X328">
        <v>97</v>
      </c>
      <c r="Y328" s="2" t="s">
        <v>826</v>
      </c>
      <c r="Z328">
        <v>45.647728303697697</v>
      </c>
      <c r="AA328">
        <v>12.5471903509229</v>
      </c>
      <c r="AB328" t="s">
        <v>78</v>
      </c>
      <c r="AC328" t="s">
        <v>81</v>
      </c>
      <c r="AD328" t="s">
        <v>82</v>
      </c>
      <c r="AE328">
        <v>33558</v>
      </c>
      <c r="AF328">
        <v>0</v>
      </c>
      <c r="AG328">
        <v>0</v>
      </c>
      <c r="AH328">
        <v>10223</v>
      </c>
      <c r="AI328">
        <v>9827</v>
      </c>
      <c r="AJ328">
        <v>8828</v>
      </c>
      <c r="AK328">
        <v>4680</v>
      </c>
      <c r="AL328">
        <v>4242</v>
      </c>
      <c r="AM328">
        <v>15551</v>
      </c>
      <c r="AN328">
        <v>57063</v>
      </c>
      <c r="AO328">
        <v>98126</v>
      </c>
      <c r="AP328">
        <v>0</v>
      </c>
      <c r="AQ328">
        <v>0</v>
      </c>
      <c r="AR328">
        <v>2</v>
      </c>
      <c r="AS328">
        <v>3</v>
      </c>
      <c r="AT328">
        <v>1</v>
      </c>
      <c r="AU328">
        <v>7</v>
      </c>
      <c r="AV328">
        <v>1</v>
      </c>
      <c r="AW328">
        <v>1</v>
      </c>
      <c r="AX328">
        <v>0</v>
      </c>
      <c r="AY328">
        <v>0</v>
      </c>
      <c r="AZ328">
        <v>0</v>
      </c>
      <c r="BA328">
        <v>4</v>
      </c>
      <c r="BB328">
        <v>17</v>
      </c>
      <c r="BC328">
        <v>2</v>
      </c>
      <c r="BD328">
        <v>0</v>
      </c>
      <c r="BE328">
        <v>0</v>
      </c>
      <c r="BF328">
        <v>0</v>
      </c>
      <c r="BG328">
        <v>0</v>
      </c>
      <c r="BH328">
        <v>2</v>
      </c>
      <c r="BI328">
        <v>0</v>
      </c>
      <c r="BJ328">
        <v>45.647742800000003</v>
      </c>
      <c r="BK328">
        <v>12.5471804</v>
      </c>
      <c r="BL328">
        <v>1200</v>
      </c>
      <c r="BM328" t="s">
        <v>83</v>
      </c>
      <c r="BN328" t="s">
        <v>84</v>
      </c>
      <c r="BO328" t="s">
        <v>85</v>
      </c>
      <c r="BP328" t="s">
        <v>160</v>
      </c>
      <c r="BQ328" t="s">
        <v>161</v>
      </c>
      <c r="BR328" t="s">
        <v>343</v>
      </c>
      <c r="BS328">
        <v>671309</v>
      </c>
      <c r="BT328">
        <v>0</v>
      </c>
      <c r="BU328">
        <v>0</v>
      </c>
      <c r="BV328">
        <v>204464</v>
      </c>
      <c r="BW328">
        <v>196554</v>
      </c>
      <c r="BX328">
        <v>176648</v>
      </c>
      <c r="BY328">
        <v>93643</v>
      </c>
      <c r="BZ328">
        <v>1</v>
      </c>
      <c r="CA328" t="s">
        <v>827</v>
      </c>
      <c r="CB328" t="s">
        <v>828</v>
      </c>
      <c r="CC328" s="3">
        <v>46092.557106481479</v>
      </c>
      <c r="CD328" t="s">
        <v>91</v>
      </c>
    </row>
    <row r="329" spans="1:82" ht="16" x14ac:dyDescent="0.2">
      <c r="A329" t="s">
        <v>829</v>
      </c>
      <c r="B329" t="s">
        <v>830</v>
      </c>
      <c r="C329" t="s">
        <v>831</v>
      </c>
      <c r="D329" t="s">
        <v>78</v>
      </c>
      <c r="E329" t="s">
        <v>832</v>
      </c>
      <c r="F329">
        <v>4</v>
      </c>
      <c r="G329">
        <v>300</v>
      </c>
      <c r="H329" t="str">
        <f t="shared" si="36"/>
        <v>4x300</v>
      </c>
      <c r="I329">
        <v>234</v>
      </c>
      <c r="J329" s="4">
        <f t="shared" si="37"/>
        <v>3.2500000000000001E-2</v>
      </c>
      <c r="K329">
        <v>353</v>
      </c>
      <c r="L329" s="4">
        <f t="shared" si="38"/>
        <v>4.9027777777777781E-2</v>
      </c>
      <c r="M329">
        <v>535</v>
      </c>
      <c r="N329" s="4">
        <f t="shared" si="39"/>
        <v>7.4305555555555555E-2</v>
      </c>
      <c r="O329">
        <v>1068</v>
      </c>
      <c r="P329" s="4">
        <f t="shared" si="40"/>
        <v>0.14833333333333334</v>
      </c>
      <c r="Q329" s="6">
        <f t="shared" si="35"/>
        <v>2035</v>
      </c>
      <c r="R329" s="6">
        <f t="shared" si="41"/>
        <v>4</v>
      </c>
      <c r="S329">
        <v>245</v>
      </c>
      <c r="T329">
        <v>-24</v>
      </c>
      <c r="U329">
        <v>-28</v>
      </c>
      <c r="V329">
        <v>-10</v>
      </c>
      <c r="W329">
        <v>-11</v>
      </c>
      <c r="X329">
        <v>96</v>
      </c>
      <c r="Y329" s="2" t="s">
        <v>833</v>
      </c>
      <c r="Z329">
        <v>45.872947749679298</v>
      </c>
      <c r="AA329">
        <v>11.021234777912101</v>
      </c>
      <c r="AB329" t="s">
        <v>78</v>
      </c>
      <c r="AC329" t="s">
        <v>81</v>
      </c>
      <c r="AD329" t="s">
        <v>82</v>
      </c>
      <c r="AE329">
        <v>34913</v>
      </c>
      <c r="AF329">
        <v>0</v>
      </c>
      <c r="AG329">
        <v>0</v>
      </c>
      <c r="AH329">
        <v>20436</v>
      </c>
      <c r="AI329">
        <v>1858</v>
      </c>
      <c r="AJ329">
        <v>11468</v>
      </c>
      <c r="AK329">
        <v>1151</v>
      </c>
      <c r="AL329">
        <v>3395</v>
      </c>
      <c r="AM329">
        <v>17249</v>
      </c>
      <c r="AN329">
        <v>54861</v>
      </c>
      <c r="AO329">
        <v>79745</v>
      </c>
      <c r="AP329">
        <v>0</v>
      </c>
      <c r="AQ329">
        <v>1</v>
      </c>
      <c r="AR329">
        <v>2</v>
      </c>
      <c r="AS329">
        <v>2</v>
      </c>
      <c r="AT329">
        <v>1</v>
      </c>
      <c r="AU329">
        <v>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2</v>
      </c>
      <c r="BB329">
        <v>8</v>
      </c>
      <c r="BC329">
        <v>2</v>
      </c>
      <c r="BD329">
        <v>2</v>
      </c>
      <c r="BE329">
        <v>0</v>
      </c>
      <c r="BF329">
        <v>2</v>
      </c>
      <c r="BG329">
        <v>0</v>
      </c>
      <c r="BH329">
        <v>6</v>
      </c>
      <c r="BI329">
        <v>0</v>
      </c>
      <c r="BJ329">
        <v>45.8731133</v>
      </c>
      <c r="BK329">
        <v>11.020969900000001</v>
      </c>
      <c r="BL329">
        <v>1200</v>
      </c>
      <c r="BM329" t="s">
        <v>83</v>
      </c>
      <c r="BN329" t="s">
        <v>84</v>
      </c>
      <c r="BO329" t="s">
        <v>85</v>
      </c>
      <c r="BP329" t="s">
        <v>160</v>
      </c>
      <c r="BQ329" t="s">
        <v>794</v>
      </c>
      <c r="BR329" t="s">
        <v>791</v>
      </c>
      <c r="BS329">
        <v>698353</v>
      </c>
      <c r="BT329">
        <v>0</v>
      </c>
      <c r="BU329">
        <v>0</v>
      </c>
      <c r="BV329">
        <v>408767</v>
      </c>
      <c r="BW329">
        <v>37161</v>
      </c>
      <c r="BX329">
        <v>229386</v>
      </c>
      <c r="BY329">
        <v>23039</v>
      </c>
      <c r="BZ329">
        <v>1</v>
      </c>
      <c r="CA329" t="s">
        <v>834</v>
      </c>
      <c r="CB329" t="s">
        <v>835</v>
      </c>
      <c r="CC329" s="3">
        <v>46092.557106481479</v>
      </c>
      <c r="CD329" t="s">
        <v>91</v>
      </c>
    </row>
    <row r="330" spans="1:82" ht="16" x14ac:dyDescent="0.2">
      <c r="A330" t="s">
        <v>837</v>
      </c>
      <c r="B330" t="s">
        <v>838</v>
      </c>
      <c r="C330" t="s">
        <v>839</v>
      </c>
      <c r="D330" t="s">
        <v>78</v>
      </c>
      <c r="E330" t="s">
        <v>840</v>
      </c>
      <c r="F330">
        <v>4</v>
      </c>
      <c r="G330">
        <v>300</v>
      </c>
      <c r="H330" t="str">
        <f t="shared" si="36"/>
        <v>4x300</v>
      </c>
      <c r="I330">
        <v>232</v>
      </c>
      <c r="J330" s="4">
        <f t="shared" si="37"/>
        <v>3.2222222222222222E-2</v>
      </c>
      <c r="K330">
        <v>351</v>
      </c>
      <c r="L330" s="4">
        <f t="shared" si="38"/>
        <v>4.8749999999999995E-2</v>
      </c>
      <c r="M330">
        <v>532</v>
      </c>
      <c r="N330" s="4">
        <f t="shared" si="39"/>
        <v>7.3888888888888893E-2</v>
      </c>
      <c r="O330">
        <v>1062</v>
      </c>
      <c r="P330" s="4">
        <f t="shared" si="40"/>
        <v>0.14749999999999999</v>
      </c>
      <c r="Q330" s="6">
        <f t="shared" si="35"/>
        <v>2035</v>
      </c>
      <c r="R330" s="6">
        <f t="shared" si="41"/>
        <v>4</v>
      </c>
      <c r="S330">
        <v>245</v>
      </c>
      <c r="T330">
        <v>-58</v>
      </c>
      <c r="U330">
        <v>-26</v>
      </c>
      <c r="V330">
        <v>1</v>
      </c>
      <c r="W330">
        <v>15</v>
      </c>
      <c r="X330">
        <v>82</v>
      </c>
      <c r="Y330" s="2" t="s">
        <v>841</v>
      </c>
      <c r="Z330">
        <v>45.645789710492402</v>
      </c>
      <c r="AA330">
        <v>9.9373671779121793</v>
      </c>
      <c r="AB330" t="s">
        <v>78</v>
      </c>
      <c r="AC330" t="s">
        <v>81</v>
      </c>
      <c r="AD330" t="s">
        <v>82</v>
      </c>
      <c r="AE330">
        <v>21743</v>
      </c>
      <c r="AF330">
        <v>0</v>
      </c>
      <c r="AG330">
        <v>0</v>
      </c>
      <c r="AH330">
        <v>0</v>
      </c>
      <c r="AI330">
        <v>0</v>
      </c>
      <c r="AJ330">
        <v>21743</v>
      </c>
      <c r="AK330">
        <v>0</v>
      </c>
      <c r="AL330">
        <v>4505</v>
      </c>
      <c r="AM330">
        <v>14707</v>
      </c>
      <c r="AN330">
        <v>61846</v>
      </c>
      <c r="AO330">
        <v>189054</v>
      </c>
      <c r="AP330">
        <v>1</v>
      </c>
      <c r="AQ330">
        <v>0</v>
      </c>
      <c r="AR330">
        <v>2</v>
      </c>
      <c r="AS330">
        <v>11</v>
      </c>
      <c r="AT330">
        <v>0</v>
      </c>
      <c r="AU330">
        <v>9</v>
      </c>
      <c r="AV330">
        <v>5</v>
      </c>
      <c r="AW330">
        <v>0</v>
      </c>
      <c r="AX330">
        <v>0</v>
      </c>
      <c r="AY330">
        <v>0</v>
      </c>
      <c r="AZ330">
        <v>0</v>
      </c>
      <c r="BA330">
        <v>5</v>
      </c>
      <c r="BB330">
        <v>19</v>
      </c>
      <c r="BC330">
        <v>3</v>
      </c>
      <c r="BD330">
        <v>3</v>
      </c>
      <c r="BE330">
        <v>0</v>
      </c>
      <c r="BF330">
        <v>3</v>
      </c>
      <c r="BG330">
        <v>0</v>
      </c>
      <c r="BH330">
        <v>3</v>
      </c>
      <c r="BI330">
        <v>0</v>
      </c>
      <c r="BJ330">
        <v>45.645777699999996</v>
      </c>
      <c r="BK330">
        <v>9.9373764999999992</v>
      </c>
      <c r="BL330">
        <v>1200</v>
      </c>
      <c r="BM330" t="s">
        <v>83</v>
      </c>
      <c r="BN330" t="s">
        <v>84</v>
      </c>
      <c r="BO330" t="s">
        <v>85</v>
      </c>
      <c r="BP330" t="s">
        <v>107</v>
      </c>
      <c r="BQ330" t="s">
        <v>108</v>
      </c>
      <c r="BR330" t="s">
        <v>179</v>
      </c>
      <c r="BS330">
        <v>434926</v>
      </c>
      <c r="BT330">
        <v>0</v>
      </c>
      <c r="BU330">
        <v>0</v>
      </c>
      <c r="BV330">
        <v>0</v>
      </c>
      <c r="BW330">
        <v>0</v>
      </c>
      <c r="BX330">
        <v>434926</v>
      </c>
      <c r="BY330">
        <v>0</v>
      </c>
      <c r="BZ330">
        <v>1</v>
      </c>
      <c r="CA330" t="s">
        <v>842</v>
      </c>
      <c r="CB330" t="s">
        <v>843</v>
      </c>
      <c r="CC330" s="3">
        <v>46092.557106481479</v>
      </c>
      <c r="CD330" t="s">
        <v>91</v>
      </c>
    </row>
    <row r="331" spans="1:82" ht="16" x14ac:dyDescent="0.2">
      <c r="A331" t="s">
        <v>844</v>
      </c>
      <c r="B331" t="s">
        <v>845</v>
      </c>
      <c r="C331" t="s">
        <v>846</v>
      </c>
      <c r="D331" t="s">
        <v>78</v>
      </c>
      <c r="E331" t="s">
        <v>847</v>
      </c>
      <c r="F331">
        <v>4</v>
      </c>
      <c r="G331">
        <v>300</v>
      </c>
      <c r="H331" t="str">
        <f t="shared" si="36"/>
        <v>4x300</v>
      </c>
      <c r="I331">
        <v>231</v>
      </c>
      <c r="J331" s="4">
        <f t="shared" si="37"/>
        <v>3.2083333333333332E-2</v>
      </c>
      <c r="K331">
        <v>349</v>
      </c>
      <c r="L331" s="4">
        <f t="shared" si="38"/>
        <v>4.8472222222222222E-2</v>
      </c>
      <c r="M331">
        <v>529</v>
      </c>
      <c r="N331" s="4">
        <f t="shared" si="39"/>
        <v>7.347222222222223E-2</v>
      </c>
      <c r="O331">
        <v>1056</v>
      </c>
      <c r="P331" s="4">
        <f t="shared" si="40"/>
        <v>0.14666666666666667</v>
      </c>
      <c r="Q331" s="6">
        <f t="shared" si="35"/>
        <v>2035</v>
      </c>
      <c r="R331" s="6">
        <f t="shared" si="41"/>
        <v>4</v>
      </c>
      <c r="S331">
        <v>245</v>
      </c>
      <c r="T331">
        <v>-70</v>
      </c>
      <c r="U331">
        <v>12</v>
      </c>
      <c r="V331">
        <v>4</v>
      </c>
      <c r="W331">
        <v>-21</v>
      </c>
      <c r="X331">
        <v>98</v>
      </c>
      <c r="Y331" s="2" t="s">
        <v>848</v>
      </c>
      <c r="Z331">
        <v>45.692720000000001</v>
      </c>
      <c r="AA331">
        <v>8.8024799999999992</v>
      </c>
      <c r="AB331" t="s">
        <v>78</v>
      </c>
      <c r="AC331" t="s">
        <v>81</v>
      </c>
      <c r="AD331" t="s">
        <v>82</v>
      </c>
      <c r="AE331">
        <v>22226</v>
      </c>
      <c r="AF331">
        <v>0</v>
      </c>
      <c r="AG331">
        <v>0</v>
      </c>
      <c r="AH331">
        <v>0</v>
      </c>
      <c r="AI331">
        <v>9345</v>
      </c>
      <c r="AJ331">
        <v>11534</v>
      </c>
      <c r="AK331">
        <v>1347</v>
      </c>
      <c r="AL331">
        <v>7049</v>
      </c>
      <c r="AM331">
        <v>19870</v>
      </c>
      <c r="AN331">
        <v>120504</v>
      </c>
      <c r="AO331">
        <v>362629</v>
      </c>
      <c r="AP331">
        <v>0</v>
      </c>
      <c r="AQ331">
        <v>0</v>
      </c>
      <c r="AR331">
        <v>2</v>
      </c>
      <c r="AS331">
        <v>6</v>
      </c>
      <c r="AT331">
        <v>0</v>
      </c>
      <c r="AU331">
        <v>15</v>
      </c>
      <c r="AV331">
        <v>3</v>
      </c>
      <c r="AW331">
        <v>0</v>
      </c>
      <c r="AX331">
        <v>0</v>
      </c>
      <c r="AY331">
        <v>3</v>
      </c>
      <c r="AZ331">
        <v>0</v>
      </c>
      <c r="BA331">
        <v>9</v>
      </c>
      <c r="BB331">
        <v>18</v>
      </c>
      <c r="BC331">
        <v>5</v>
      </c>
      <c r="BD331">
        <v>3</v>
      </c>
      <c r="BE331">
        <v>0</v>
      </c>
      <c r="BF331">
        <v>3</v>
      </c>
      <c r="BG331">
        <v>0</v>
      </c>
      <c r="BH331">
        <v>6</v>
      </c>
      <c r="BI331">
        <v>3</v>
      </c>
      <c r="BJ331">
        <v>45.692724900000002</v>
      </c>
      <c r="BK331">
        <v>8.8024316000000002</v>
      </c>
      <c r="BL331">
        <v>1200</v>
      </c>
      <c r="BM331" t="s">
        <v>83</v>
      </c>
      <c r="BN331" t="s">
        <v>84</v>
      </c>
      <c r="BO331" t="s">
        <v>85</v>
      </c>
      <c r="BP331" t="s">
        <v>107</v>
      </c>
      <c r="BQ331" t="s">
        <v>108</v>
      </c>
      <c r="BR331" t="s">
        <v>305</v>
      </c>
      <c r="BS331">
        <v>444622</v>
      </c>
      <c r="BT331">
        <v>0</v>
      </c>
      <c r="BU331">
        <v>0</v>
      </c>
      <c r="BV331">
        <v>0</v>
      </c>
      <c r="BW331">
        <v>186930</v>
      </c>
      <c r="BX331">
        <v>230716</v>
      </c>
      <c r="BY331">
        <v>26976</v>
      </c>
      <c r="BZ331">
        <v>1</v>
      </c>
      <c r="CA331" t="s">
        <v>849</v>
      </c>
      <c r="CB331" t="s">
        <v>850</v>
      </c>
      <c r="CC331" s="3">
        <v>46092.557106481479</v>
      </c>
      <c r="CD331" t="s">
        <v>91</v>
      </c>
    </row>
    <row r="332" spans="1:82" ht="16" x14ac:dyDescent="0.2">
      <c r="A332" t="s">
        <v>851</v>
      </c>
      <c r="B332" t="s">
        <v>852</v>
      </c>
      <c r="C332" t="s">
        <v>853</v>
      </c>
      <c r="D332" t="s">
        <v>78</v>
      </c>
      <c r="E332" t="s">
        <v>854</v>
      </c>
      <c r="F332">
        <v>4</v>
      </c>
      <c r="G332">
        <v>300</v>
      </c>
      <c r="H332" t="str">
        <f t="shared" si="36"/>
        <v>4x300</v>
      </c>
      <c r="I332">
        <v>229</v>
      </c>
      <c r="J332" s="4">
        <f t="shared" si="37"/>
        <v>3.1805555555555552E-2</v>
      </c>
      <c r="K332">
        <v>346</v>
      </c>
      <c r="L332" s="4">
        <f t="shared" si="38"/>
        <v>4.8055555555555553E-2</v>
      </c>
      <c r="M332">
        <v>524</v>
      </c>
      <c r="N332" s="4">
        <f t="shared" si="39"/>
        <v>7.2777777777777775E-2</v>
      </c>
      <c r="O332">
        <v>1046</v>
      </c>
      <c r="P332" s="4">
        <f t="shared" si="40"/>
        <v>0.14527777777777778</v>
      </c>
      <c r="Q332" s="6">
        <f t="shared" si="35"/>
        <v>2035</v>
      </c>
      <c r="R332" s="6">
        <f t="shared" si="41"/>
        <v>4</v>
      </c>
      <c r="S332">
        <v>245</v>
      </c>
      <c r="T332">
        <v>-75</v>
      </c>
      <c r="U332">
        <v>-20</v>
      </c>
      <c r="V332">
        <v>0</v>
      </c>
      <c r="W332">
        <v>14</v>
      </c>
      <c r="X332">
        <v>106</v>
      </c>
      <c r="Y332" s="2" t="s">
        <v>855</v>
      </c>
      <c r="Z332">
        <v>45.908024980413202</v>
      </c>
      <c r="AA332">
        <v>12.3388209779121</v>
      </c>
      <c r="AB332" t="s">
        <v>78</v>
      </c>
      <c r="AC332" t="s">
        <v>81</v>
      </c>
      <c r="AD332" t="s">
        <v>82</v>
      </c>
      <c r="AE332">
        <v>23018</v>
      </c>
      <c r="AF332">
        <v>0</v>
      </c>
      <c r="AG332">
        <v>0</v>
      </c>
      <c r="AH332">
        <v>19978</v>
      </c>
      <c r="AI332">
        <v>0</v>
      </c>
      <c r="AJ332">
        <v>3040</v>
      </c>
      <c r="AK332">
        <v>0</v>
      </c>
      <c r="AL332">
        <v>1809</v>
      </c>
      <c r="AM332">
        <v>6714</v>
      </c>
      <c r="AN332">
        <v>49608</v>
      </c>
      <c r="AO332">
        <v>143404</v>
      </c>
      <c r="AP332">
        <v>1</v>
      </c>
      <c r="AQ332">
        <v>0</v>
      </c>
      <c r="AR332">
        <v>3</v>
      </c>
      <c r="AS332">
        <v>7</v>
      </c>
      <c r="AT332">
        <v>2</v>
      </c>
      <c r="AU332">
        <v>10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23</v>
      </c>
      <c r="BB332">
        <v>25</v>
      </c>
      <c r="BC332">
        <v>9</v>
      </c>
      <c r="BD332">
        <v>2</v>
      </c>
      <c r="BE332">
        <v>0</v>
      </c>
      <c r="BF332">
        <v>2</v>
      </c>
      <c r="BG332">
        <v>0</v>
      </c>
      <c r="BH332">
        <v>2</v>
      </c>
      <c r="BI332">
        <v>0</v>
      </c>
      <c r="BJ332">
        <v>45.907999199999999</v>
      </c>
      <c r="BK332">
        <v>12.3388671</v>
      </c>
      <c r="BL332">
        <v>1200</v>
      </c>
      <c r="BM332" t="s">
        <v>83</v>
      </c>
      <c r="BN332" t="s">
        <v>84</v>
      </c>
      <c r="BO332" t="s">
        <v>85</v>
      </c>
      <c r="BP332" t="s">
        <v>160</v>
      </c>
      <c r="BQ332" t="s">
        <v>161</v>
      </c>
      <c r="BR332" t="s">
        <v>428</v>
      </c>
      <c r="BS332">
        <v>460409</v>
      </c>
      <c r="BT332">
        <v>0</v>
      </c>
      <c r="BU332">
        <v>0</v>
      </c>
      <c r="BV332">
        <v>399588</v>
      </c>
      <c r="BW332">
        <v>0</v>
      </c>
      <c r="BX332">
        <v>60821</v>
      </c>
      <c r="BY332">
        <v>0</v>
      </c>
      <c r="BZ332">
        <v>1</v>
      </c>
      <c r="CA332" t="s">
        <v>856</v>
      </c>
      <c r="CB332" t="s">
        <v>857</v>
      </c>
      <c r="CC332" s="3">
        <v>46092.557106481479</v>
      </c>
      <c r="CD332" t="s">
        <v>91</v>
      </c>
    </row>
    <row r="333" spans="1:82" ht="16" x14ac:dyDescent="0.2">
      <c r="A333" t="s">
        <v>858</v>
      </c>
      <c r="B333" t="s">
        <v>859</v>
      </c>
      <c r="C333" t="s">
        <v>860</v>
      </c>
      <c r="D333" t="s">
        <v>78</v>
      </c>
      <c r="E333" t="s">
        <v>861</v>
      </c>
      <c r="F333">
        <v>4</v>
      </c>
      <c r="G333">
        <v>300</v>
      </c>
      <c r="H333" t="str">
        <f t="shared" si="36"/>
        <v>4x300</v>
      </c>
      <c r="I333">
        <v>227</v>
      </c>
      <c r="J333" s="4">
        <f t="shared" si="37"/>
        <v>3.152777777777778E-2</v>
      </c>
      <c r="K333">
        <v>343</v>
      </c>
      <c r="L333" s="4">
        <f t="shared" si="38"/>
        <v>4.763888888888889E-2</v>
      </c>
      <c r="M333">
        <v>520</v>
      </c>
      <c r="N333" s="4">
        <f t="shared" si="39"/>
        <v>7.2222222222222229E-2</v>
      </c>
      <c r="O333">
        <v>1038</v>
      </c>
      <c r="P333" s="4">
        <f t="shared" si="40"/>
        <v>0.14416666666666667</v>
      </c>
      <c r="Q333" s="6">
        <f t="shared" si="35"/>
        <v>2035</v>
      </c>
      <c r="R333" s="6">
        <f t="shared" si="41"/>
        <v>4</v>
      </c>
      <c r="S333">
        <v>245</v>
      </c>
      <c r="T333">
        <v>-31</v>
      </c>
      <c r="U333">
        <v>-23</v>
      </c>
      <c r="V333">
        <v>-15</v>
      </c>
      <c r="W333">
        <v>1</v>
      </c>
      <c r="X333">
        <v>78</v>
      </c>
      <c r="Y333" s="2" t="s">
        <v>862</v>
      </c>
      <c r="Z333">
        <v>41.968359999999997</v>
      </c>
      <c r="AA333">
        <v>12.710850000000001</v>
      </c>
      <c r="AB333" t="s">
        <v>78</v>
      </c>
      <c r="AC333" t="s">
        <v>81</v>
      </c>
      <c r="AD333" t="s">
        <v>82</v>
      </c>
      <c r="AE333">
        <v>30880</v>
      </c>
      <c r="AF333">
        <v>0</v>
      </c>
      <c r="AG333">
        <v>0</v>
      </c>
      <c r="AH333">
        <v>6425</v>
      </c>
      <c r="AI333">
        <v>0</v>
      </c>
      <c r="AJ333">
        <v>24455</v>
      </c>
      <c r="AK333">
        <v>0</v>
      </c>
      <c r="AL333">
        <v>5813</v>
      </c>
      <c r="AM333">
        <v>20412</v>
      </c>
      <c r="AN333">
        <v>83970</v>
      </c>
      <c r="AO333">
        <v>287240</v>
      </c>
      <c r="AP333">
        <v>1</v>
      </c>
      <c r="AQ333">
        <v>0</v>
      </c>
      <c r="AR333">
        <v>1</v>
      </c>
      <c r="AS333">
        <v>0</v>
      </c>
      <c r="AT333">
        <v>0</v>
      </c>
      <c r="AU333">
        <v>10</v>
      </c>
      <c r="AV333">
        <v>1</v>
      </c>
      <c r="AW333">
        <v>1</v>
      </c>
      <c r="AX333">
        <v>0</v>
      </c>
      <c r="AY333">
        <v>0</v>
      </c>
      <c r="AZ333">
        <v>0</v>
      </c>
      <c r="BA333">
        <v>6</v>
      </c>
      <c r="BB333">
        <v>14</v>
      </c>
      <c r="BC333">
        <v>4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41.968721299999999</v>
      </c>
      <c r="BK333">
        <v>12.7104082</v>
      </c>
      <c r="BL333">
        <v>1200</v>
      </c>
      <c r="BM333" t="s">
        <v>83</v>
      </c>
      <c r="BN333" t="s">
        <v>84</v>
      </c>
      <c r="BO333" t="s">
        <v>85</v>
      </c>
      <c r="BP333" t="s">
        <v>86</v>
      </c>
      <c r="BQ333" t="s">
        <v>87</v>
      </c>
      <c r="BR333" t="s">
        <v>88</v>
      </c>
      <c r="BS333">
        <v>617681</v>
      </c>
      <c r="BT333">
        <v>0</v>
      </c>
      <c r="BU333">
        <v>0</v>
      </c>
      <c r="BV333">
        <v>128519</v>
      </c>
      <c r="BW333">
        <v>0</v>
      </c>
      <c r="BX333">
        <v>489162</v>
      </c>
      <c r="BY333">
        <v>0</v>
      </c>
      <c r="BZ333">
        <v>1</v>
      </c>
      <c r="CA333" t="s">
        <v>863</v>
      </c>
      <c r="CB333" t="s">
        <v>864</v>
      </c>
      <c r="CC333" s="3">
        <v>46092.557106481479</v>
      </c>
      <c r="CD333" t="s">
        <v>91</v>
      </c>
    </row>
    <row r="334" spans="1:82" ht="16" x14ac:dyDescent="0.2">
      <c r="A334" t="s">
        <v>865</v>
      </c>
      <c r="B334" t="s">
        <v>866</v>
      </c>
      <c r="C334" t="s">
        <v>867</v>
      </c>
      <c r="D334" t="s">
        <v>78</v>
      </c>
      <c r="E334" t="s">
        <v>868</v>
      </c>
      <c r="F334">
        <v>4</v>
      </c>
      <c r="G334">
        <v>300</v>
      </c>
      <c r="H334" t="str">
        <f t="shared" si="36"/>
        <v>4x300</v>
      </c>
      <c r="I334">
        <v>227</v>
      </c>
      <c r="J334" s="4">
        <f t="shared" si="37"/>
        <v>3.152777777777778E-2</v>
      </c>
      <c r="K334">
        <v>343</v>
      </c>
      <c r="L334" s="4">
        <f t="shared" si="38"/>
        <v>4.763888888888889E-2</v>
      </c>
      <c r="M334">
        <v>519</v>
      </c>
      <c r="N334" s="4">
        <f t="shared" si="39"/>
        <v>7.2083333333333333E-2</v>
      </c>
      <c r="O334">
        <v>1037</v>
      </c>
      <c r="P334" s="4">
        <f t="shared" si="40"/>
        <v>0.14402777777777778</v>
      </c>
      <c r="Q334" s="6">
        <f t="shared" si="35"/>
        <v>2035</v>
      </c>
      <c r="R334" s="6">
        <f t="shared" si="41"/>
        <v>4</v>
      </c>
      <c r="S334">
        <v>245</v>
      </c>
      <c r="T334">
        <v>-77</v>
      </c>
      <c r="U334">
        <v>-29</v>
      </c>
      <c r="V334">
        <v>9</v>
      </c>
      <c r="W334">
        <v>15</v>
      </c>
      <c r="X334">
        <v>101</v>
      </c>
      <c r="Y334" s="2" t="s">
        <v>869</v>
      </c>
      <c r="Z334">
        <v>42.767969999999998</v>
      </c>
      <c r="AA334">
        <v>13.955730000000001</v>
      </c>
      <c r="AB334" t="s">
        <v>78</v>
      </c>
      <c r="AC334" t="s">
        <v>81</v>
      </c>
      <c r="AD334" t="s">
        <v>82</v>
      </c>
      <c r="AE334">
        <v>13691</v>
      </c>
      <c r="AF334">
        <v>0</v>
      </c>
      <c r="AG334">
        <v>0</v>
      </c>
      <c r="AH334">
        <v>7149</v>
      </c>
      <c r="AI334">
        <v>0</v>
      </c>
      <c r="AJ334">
        <v>4142</v>
      </c>
      <c r="AK334">
        <v>2400</v>
      </c>
      <c r="AL334">
        <v>2299</v>
      </c>
      <c r="AM334">
        <v>9706</v>
      </c>
      <c r="AN334">
        <v>34208</v>
      </c>
      <c r="AO334">
        <v>71756</v>
      </c>
      <c r="AP334">
        <v>1</v>
      </c>
      <c r="AQ334">
        <v>0</v>
      </c>
      <c r="AR334">
        <v>3</v>
      </c>
      <c r="AS334">
        <v>4</v>
      </c>
      <c r="AT334">
        <v>0</v>
      </c>
      <c r="AU334">
        <v>17</v>
      </c>
      <c r="AV334">
        <v>5</v>
      </c>
      <c r="AW334">
        <v>0</v>
      </c>
      <c r="AX334">
        <v>1</v>
      </c>
      <c r="AY334">
        <v>0</v>
      </c>
      <c r="AZ334">
        <v>0</v>
      </c>
      <c r="BA334">
        <v>2</v>
      </c>
      <c r="BB334">
        <v>6</v>
      </c>
      <c r="BC334">
        <v>1</v>
      </c>
      <c r="BD334">
        <v>2</v>
      </c>
      <c r="BE334">
        <v>0</v>
      </c>
      <c r="BF334">
        <v>2</v>
      </c>
      <c r="BG334">
        <v>0</v>
      </c>
      <c r="BH334">
        <v>2</v>
      </c>
      <c r="BI334">
        <v>0</v>
      </c>
      <c r="BJ334">
        <v>42.767929899999999</v>
      </c>
      <c r="BK334">
        <v>13.95553</v>
      </c>
      <c r="BL334">
        <v>1200</v>
      </c>
      <c r="BM334" t="s">
        <v>83</v>
      </c>
      <c r="BN334" t="s">
        <v>84</v>
      </c>
      <c r="BO334" t="s">
        <v>85</v>
      </c>
      <c r="BP334" t="s">
        <v>97</v>
      </c>
      <c r="BQ334" t="s">
        <v>870</v>
      </c>
      <c r="BR334" t="s">
        <v>871</v>
      </c>
      <c r="BS334">
        <v>273879</v>
      </c>
      <c r="BT334">
        <v>0</v>
      </c>
      <c r="BU334">
        <v>0</v>
      </c>
      <c r="BV334">
        <v>142994</v>
      </c>
      <c r="BW334">
        <v>0</v>
      </c>
      <c r="BX334">
        <v>82878</v>
      </c>
      <c r="BY334">
        <v>48007</v>
      </c>
      <c r="BZ334">
        <v>1</v>
      </c>
      <c r="CA334" t="s">
        <v>872</v>
      </c>
      <c r="CB334" t="s">
        <v>873</v>
      </c>
      <c r="CC334" s="3">
        <v>46092.557106481479</v>
      </c>
      <c r="CD334" t="s">
        <v>91</v>
      </c>
    </row>
    <row r="335" spans="1:82" ht="16" x14ac:dyDescent="0.2">
      <c r="A335" t="s">
        <v>874</v>
      </c>
      <c r="B335" t="s">
        <v>875</v>
      </c>
      <c r="C335" t="s">
        <v>876</v>
      </c>
      <c r="D335" t="s">
        <v>78</v>
      </c>
      <c r="E335" t="s">
        <v>877</v>
      </c>
      <c r="F335">
        <v>4</v>
      </c>
      <c r="G335">
        <v>300</v>
      </c>
      <c r="H335" t="str">
        <f t="shared" si="36"/>
        <v>4x300</v>
      </c>
      <c r="I335">
        <v>225</v>
      </c>
      <c r="J335" s="4">
        <f t="shared" si="37"/>
        <v>3.125E-2</v>
      </c>
      <c r="K335">
        <v>340</v>
      </c>
      <c r="L335" s="4">
        <f t="shared" si="38"/>
        <v>4.7222222222222221E-2</v>
      </c>
      <c r="M335">
        <v>515</v>
      </c>
      <c r="N335" s="4">
        <f t="shared" si="39"/>
        <v>7.1527777777777773E-2</v>
      </c>
      <c r="O335">
        <v>1028</v>
      </c>
      <c r="P335" s="4">
        <f t="shared" si="40"/>
        <v>0.14277777777777778</v>
      </c>
      <c r="Q335" s="6">
        <f t="shared" si="35"/>
        <v>2035</v>
      </c>
      <c r="R335" s="6">
        <f t="shared" si="41"/>
        <v>4</v>
      </c>
      <c r="S335">
        <v>245</v>
      </c>
      <c r="T335">
        <v>-66</v>
      </c>
      <c r="U335">
        <v>4</v>
      </c>
      <c r="V335">
        <v>-6</v>
      </c>
      <c r="W335">
        <v>-14</v>
      </c>
      <c r="X335">
        <v>100</v>
      </c>
      <c r="Y335" s="2" t="s">
        <v>878</v>
      </c>
      <c r="Z335">
        <v>45.430994195353897</v>
      </c>
      <c r="AA335">
        <v>10.518557261578501</v>
      </c>
      <c r="AB335" t="s">
        <v>78</v>
      </c>
      <c r="AC335" t="s">
        <v>81</v>
      </c>
      <c r="AD335" t="s">
        <v>82</v>
      </c>
      <c r="AE335">
        <v>9124</v>
      </c>
      <c r="AF335">
        <v>0</v>
      </c>
      <c r="AG335">
        <v>0</v>
      </c>
      <c r="AH335">
        <v>0</v>
      </c>
      <c r="AI335">
        <v>0</v>
      </c>
      <c r="AJ335">
        <v>9124</v>
      </c>
      <c r="AK335">
        <v>0</v>
      </c>
      <c r="AL335">
        <v>194</v>
      </c>
      <c r="AM335">
        <v>1647</v>
      </c>
      <c r="AN335">
        <v>38176</v>
      </c>
      <c r="AO335">
        <v>117109</v>
      </c>
      <c r="AP335">
        <v>0</v>
      </c>
      <c r="AQ335">
        <v>0</v>
      </c>
      <c r="AR335">
        <v>3</v>
      </c>
      <c r="AS335">
        <v>7</v>
      </c>
      <c r="AT335">
        <v>0</v>
      </c>
      <c r="AU335">
        <v>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12</v>
      </c>
      <c r="BB335">
        <v>16</v>
      </c>
      <c r="BC335">
        <v>10</v>
      </c>
      <c r="BD335">
        <v>0</v>
      </c>
      <c r="BE335">
        <v>5</v>
      </c>
      <c r="BF335">
        <v>0</v>
      </c>
      <c r="BG335">
        <v>5</v>
      </c>
      <c r="BH335">
        <v>0</v>
      </c>
      <c r="BI335">
        <v>5</v>
      </c>
      <c r="BJ335">
        <v>45.430881800000002</v>
      </c>
      <c r="BK335">
        <v>10.5185814</v>
      </c>
      <c r="BL335">
        <v>1200</v>
      </c>
      <c r="BM335" t="s">
        <v>83</v>
      </c>
      <c r="BN335" t="s">
        <v>84</v>
      </c>
      <c r="BO335" t="s">
        <v>85</v>
      </c>
      <c r="BP335" t="s">
        <v>107</v>
      </c>
      <c r="BQ335" t="s">
        <v>108</v>
      </c>
      <c r="BR335" t="s">
        <v>179</v>
      </c>
      <c r="BS335">
        <v>182504</v>
      </c>
      <c r="BT335">
        <v>0</v>
      </c>
      <c r="BU335">
        <v>0</v>
      </c>
      <c r="BV335">
        <v>0</v>
      </c>
      <c r="BW335">
        <v>0</v>
      </c>
      <c r="BX335">
        <v>182504</v>
      </c>
      <c r="BY335">
        <v>0</v>
      </c>
      <c r="BZ335">
        <v>1</v>
      </c>
      <c r="CA335" t="s">
        <v>879</v>
      </c>
      <c r="CB335" t="s">
        <v>880</v>
      </c>
      <c r="CC335" s="3">
        <v>46092.557106481479</v>
      </c>
      <c r="CD335" t="s">
        <v>91</v>
      </c>
    </row>
    <row r="336" spans="1:82" ht="16" x14ac:dyDescent="0.2">
      <c r="A336" t="s">
        <v>881</v>
      </c>
      <c r="B336" t="s">
        <v>882</v>
      </c>
      <c r="C336" t="s">
        <v>883</v>
      </c>
      <c r="D336" t="s">
        <v>78</v>
      </c>
      <c r="E336" t="s">
        <v>884</v>
      </c>
      <c r="F336">
        <v>4</v>
      </c>
      <c r="G336">
        <v>300</v>
      </c>
      <c r="H336" t="str">
        <f t="shared" si="36"/>
        <v>4x300</v>
      </c>
      <c r="I336">
        <v>224</v>
      </c>
      <c r="J336" s="4">
        <f t="shared" si="37"/>
        <v>3.1111111111111114E-2</v>
      </c>
      <c r="K336">
        <v>339</v>
      </c>
      <c r="L336" s="4">
        <f t="shared" si="38"/>
        <v>4.7083333333333331E-2</v>
      </c>
      <c r="M336">
        <v>514</v>
      </c>
      <c r="N336" s="4">
        <f t="shared" si="39"/>
        <v>7.1388888888888891E-2</v>
      </c>
      <c r="O336">
        <v>1025</v>
      </c>
      <c r="P336" s="4">
        <f t="shared" si="40"/>
        <v>0.1423611111111111</v>
      </c>
      <c r="Q336" s="6">
        <f t="shared" si="35"/>
        <v>2035</v>
      </c>
      <c r="R336" s="6">
        <f t="shared" si="41"/>
        <v>4</v>
      </c>
      <c r="S336">
        <v>245</v>
      </c>
      <c r="T336">
        <v>-56</v>
      </c>
      <c r="U336">
        <v>-26</v>
      </c>
      <c r="V336">
        <v>-9</v>
      </c>
      <c r="W336">
        <v>13</v>
      </c>
      <c r="X336">
        <v>88</v>
      </c>
      <c r="Y336" s="2" t="s">
        <v>885</v>
      </c>
      <c r="Z336">
        <v>43.859022699999997</v>
      </c>
      <c r="AA336">
        <v>10.763140699999999</v>
      </c>
      <c r="AB336" t="s">
        <v>78</v>
      </c>
      <c r="AC336" t="s">
        <v>81</v>
      </c>
      <c r="AD336" t="s">
        <v>82</v>
      </c>
      <c r="AE336">
        <v>22201</v>
      </c>
      <c r="AF336">
        <v>0</v>
      </c>
      <c r="AG336">
        <v>0</v>
      </c>
      <c r="AH336">
        <v>0</v>
      </c>
      <c r="AI336">
        <v>0</v>
      </c>
      <c r="AJ336">
        <v>22201</v>
      </c>
      <c r="AK336">
        <v>0</v>
      </c>
      <c r="AL336">
        <v>1564</v>
      </c>
      <c r="AM336">
        <v>9855</v>
      </c>
      <c r="AN336">
        <v>73885</v>
      </c>
      <c r="AO336">
        <v>139401</v>
      </c>
      <c r="AP336">
        <v>0</v>
      </c>
      <c r="AQ336">
        <v>0</v>
      </c>
      <c r="AR336">
        <v>1</v>
      </c>
      <c r="AS336">
        <v>7</v>
      </c>
      <c r="AT336">
        <v>0</v>
      </c>
      <c r="AU336">
        <v>17</v>
      </c>
      <c r="AV336">
        <v>1</v>
      </c>
      <c r="AW336">
        <v>0</v>
      </c>
      <c r="AX336">
        <v>0</v>
      </c>
      <c r="AY336">
        <v>0</v>
      </c>
      <c r="AZ336">
        <v>1</v>
      </c>
      <c r="BA336">
        <v>11</v>
      </c>
      <c r="BB336">
        <v>15</v>
      </c>
      <c r="BC336">
        <v>9</v>
      </c>
      <c r="BD336">
        <v>2</v>
      </c>
      <c r="BE336">
        <v>0</v>
      </c>
      <c r="BF336">
        <v>2</v>
      </c>
      <c r="BG336">
        <v>0</v>
      </c>
      <c r="BH336">
        <v>2</v>
      </c>
      <c r="BI336">
        <v>0</v>
      </c>
      <c r="BJ336">
        <v>43.859012300000003</v>
      </c>
      <c r="BK336">
        <v>10.763164700000001</v>
      </c>
      <c r="BL336">
        <v>1200</v>
      </c>
      <c r="BM336" t="s">
        <v>83</v>
      </c>
      <c r="BN336" t="s">
        <v>84</v>
      </c>
      <c r="BO336" t="s">
        <v>85</v>
      </c>
      <c r="BP336" t="s">
        <v>86</v>
      </c>
      <c r="BQ336" t="s">
        <v>212</v>
      </c>
      <c r="BR336" t="s">
        <v>886</v>
      </c>
      <c r="BS336">
        <v>444130</v>
      </c>
      <c r="BT336">
        <v>0</v>
      </c>
      <c r="BU336">
        <v>0</v>
      </c>
      <c r="BV336">
        <v>0</v>
      </c>
      <c r="BW336">
        <v>0</v>
      </c>
      <c r="BX336">
        <v>444130</v>
      </c>
      <c r="BY336">
        <v>0</v>
      </c>
      <c r="BZ336">
        <v>1</v>
      </c>
      <c r="CA336" t="s">
        <v>887</v>
      </c>
      <c r="CB336" t="s">
        <v>888</v>
      </c>
      <c r="CC336" s="3">
        <v>46092.557106481479</v>
      </c>
      <c r="CD336" t="s">
        <v>91</v>
      </c>
    </row>
    <row r="337" spans="1:82" ht="16" x14ac:dyDescent="0.2">
      <c r="A337" t="s">
        <v>889</v>
      </c>
      <c r="B337" t="s">
        <v>890</v>
      </c>
      <c r="C337" t="s">
        <v>891</v>
      </c>
      <c r="D337" t="s">
        <v>78</v>
      </c>
      <c r="E337" t="s">
        <v>892</v>
      </c>
      <c r="F337">
        <v>4</v>
      </c>
      <c r="G337">
        <v>300</v>
      </c>
      <c r="H337" t="str">
        <f t="shared" si="36"/>
        <v>4x300</v>
      </c>
      <c r="I337">
        <v>221</v>
      </c>
      <c r="J337" s="4">
        <f t="shared" si="37"/>
        <v>3.0694444444444444E-2</v>
      </c>
      <c r="K337">
        <v>333</v>
      </c>
      <c r="L337" s="4">
        <f t="shared" si="38"/>
        <v>4.6250000000000006E-2</v>
      </c>
      <c r="M337">
        <v>506</v>
      </c>
      <c r="N337" s="4">
        <f t="shared" si="39"/>
        <v>7.0277777777777786E-2</v>
      </c>
      <c r="O337">
        <v>1009</v>
      </c>
      <c r="P337" s="4">
        <f t="shared" si="40"/>
        <v>0.1401388888888889</v>
      </c>
      <c r="Q337" s="6">
        <f t="shared" si="35"/>
        <v>2035</v>
      </c>
      <c r="R337" s="6">
        <f t="shared" si="41"/>
        <v>4</v>
      </c>
      <c r="S337">
        <v>245</v>
      </c>
      <c r="T337">
        <v>-30</v>
      </c>
      <c r="U337">
        <v>-31</v>
      </c>
      <c r="V337">
        <v>-10</v>
      </c>
      <c r="W337">
        <v>-17</v>
      </c>
      <c r="X337">
        <v>105</v>
      </c>
      <c r="Y337" s="2" t="s">
        <v>893</v>
      </c>
      <c r="Z337">
        <v>43.720547000000003</v>
      </c>
      <c r="AA337">
        <v>10.979559200000001</v>
      </c>
      <c r="AB337" t="s">
        <v>78</v>
      </c>
      <c r="AC337" t="s">
        <v>81</v>
      </c>
      <c r="AD337" t="s">
        <v>82</v>
      </c>
      <c r="AE337">
        <v>75237</v>
      </c>
      <c r="AF337">
        <v>0</v>
      </c>
      <c r="AG337">
        <v>0</v>
      </c>
      <c r="AH337">
        <v>51717</v>
      </c>
      <c r="AI337">
        <v>9416</v>
      </c>
      <c r="AJ337">
        <v>13711</v>
      </c>
      <c r="AK337">
        <v>393</v>
      </c>
      <c r="AL337">
        <v>1146</v>
      </c>
      <c r="AM337">
        <v>13848</v>
      </c>
      <c r="AN337">
        <v>69024</v>
      </c>
      <c r="AO337">
        <v>108694</v>
      </c>
      <c r="AP337">
        <v>0</v>
      </c>
      <c r="AQ337">
        <v>0</v>
      </c>
      <c r="AR337">
        <v>1</v>
      </c>
      <c r="AS337">
        <v>8</v>
      </c>
      <c r="AT337">
        <v>0</v>
      </c>
      <c r="AU337">
        <v>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10</v>
      </c>
      <c r="BB337">
        <v>12</v>
      </c>
      <c r="BC337">
        <v>6</v>
      </c>
      <c r="BD337">
        <v>0</v>
      </c>
      <c r="BE337">
        <v>2</v>
      </c>
      <c r="BF337">
        <v>0</v>
      </c>
      <c r="BG337">
        <v>2</v>
      </c>
      <c r="BH337">
        <v>0</v>
      </c>
      <c r="BI337">
        <v>2</v>
      </c>
      <c r="BJ337">
        <v>43.720489999999998</v>
      </c>
      <c r="BK337">
        <v>10.979579899999999</v>
      </c>
      <c r="BL337">
        <v>1200</v>
      </c>
      <c r="BM337" t="s">
        <v>83</v>
      </c>
      <c r="BN337" t="s">
        <v>84</v>
      </c>
      <c r="BO337" t="s">
        <v>85</v>
      </c>
      <c r="BP337" t="s">
        <v>86</v>
      </c>
      <c r="BQ337" t="s">
        <v>212</v>
      </c>
      <c r="BR337" t="s">
        <v>213</v>
      </c>
      <c r="BS337">
        <v>1793196</v>
      </c>
      <c r="BT337">
        <v>0</v>
      </c>
      <c r="BU337">
        <v>0</v>
      </c>
      <c r="BV337">
        <v>1344686</v>
      </c>
      <c r="BW337">
        <v>188336</v>
      </c>
      <c r="BX337">
        <v>252291</v>
      </c>
      <c r="BY337">
        <v>7883</v>
      </c>
      <c r="BZ337">
        <v>1</v>
      </c>
      <c r="CA337" t="s">
        <v>894</v>
      </c>
      <c r="CB337" t="s">
        <v>895</v>
      </c>
      <c r="CC337" s="3">
        <v>46092.557106481479</v>
      </c>
      <c r="CD337" t="s">
        <v>91</v>
      </c>
    </row>
    <row r="338" spans="1:82" ht="16" x14ac:dyDescent="0.2">
      <c r="A338" t="s">
        <v>426</v>
      </c>
      <c r="B338" t="s">
        <v>427</v>
      </c>
      <c r="C338" t="s">
        <v>428</v>
      </c>
      <c r="D338" t="s">
        <v>78</v>
      </c>
      <c r="E338" t="s">
        <v>429</v>
      </c>
      <c r="F338">
        <v>2</v>
      </c>
      <c r="G338">
        <v>300</v>
      </c>
      <c r="H338" t="str">
        <f t="shared" si="36"/>
        <v>2x300</v>
      </c>
      <c r="I338">
        <v>219</v>
      </c>
      <c r="J338" s="4">
        <f t="shared" si="37"/>
        <v>6.083333333333333E-2</v>
      </c>
      <c r="K338">
        <v>331</v>
      </c>
      <c r="L338" s="4">
        <f t="shared" si="38"/>
        <v>9.194444444444444E-2</v>
      </c>
      <c r="M338">
        <v>502</v>
      </c>
      <c r="N338" s="4">
        <f t="shared" si="39"/>
        <v>0.13944444444444445</v>
      </c>
      <c r="O338">
        <v>1003</v>
      </c>
      <c r="P338" s="4">
        <f t="shared" si="40"/>
        <v>0.27861111111111109</v>
      </c>
      <c r="Q338" s="6">
        <f t="shared" si="35"/>
        <v>2035</v>
      </c>
      <c r="R338" s="6">
        <f t="shared" si="41"/>
        <v>4</v>
      </c>
      <c r="S338">
        <v>156</v>
      </c>
      <c r="T338">
        <v>64</v>
      </c>
      <c r="U338">
        <v>-19</v>
      </c>
      <c r="V338">
        <v>-29</v>
      </c>
      <c r="W338">
        <v>2</v>
      </c>
      <c r="X338">
        <v>74</v>
      </c>
      <c r="Y338" s="2" t="s">
        <v>430</v>
      </c>
      <c r="Z338">
        <v>45.648725403241002</v>
      </c>
      <c r="AA338">
        <v>12.311449886505301</v>
      </c>
      <c r="AB338" t="s">
        <v>78</v>
      </c>
      <c r="AC338" t="s">
        <v>81</v>
      </c>
      <c r="AD338" t="s">
        <v>82</v>
      </c>
      <c r="AE338">
        <v>103576</v>
      </c>
      <c r="AF338">
        <v>57988</v>
      </c>
      <c r="AG338">
        <v>0</v>
      </c>
      <c r="AH338">
        <v>22600</v>
      </c>
      <c r="AI338">
        <v>19027</v>
      </c>
      <c r="AJ338">
        <v>3961</v>
      </c>
      <c r="AK338">
        <v>0</v>
      </c>
      <c r="AL338">
        <v>1601</v>
      </c>
      <c r="AM338">
        <v>7961</v>
      </c>
      <c r="AN338">
        <v>54450</v>
      </c>
      <c r="AO338">
        <v>211501</v>
      </c>
      <c r="AP338">
        <v>0</v>
      </c>
      <c r="AQ338">
        <v>0</v>
      </c>
      <c r="AR338">
        <v>2</v>
      </c>
      <c r="AS338">
        <v>2</v>
      </c>
      <c r="AT338">
        <v>0</v>
      </c>
      <c r="AU338">
        <v>23</v>
      </c>
      <c r="AV338">
        <v>3</v>
      </c>
      <c r="AW338">
        <v>0</v>
      </c>
      <c r="AX338">
        <v>0</v>
      </c>
      <c r="AY338">
        <v>0</v>
      </c>
      <c r="AZ338">
        <v>0</v>
      </c>
      <c r="BA338">
        <v>5</v>
      </c>
      <c r="BB338">
        <v>11</v>
      </c>
      <c r="BC338">
        <v>3</v>
      </c>
      <c r="BD338">
        <v>4</v>
      </c>
      <c r="BE338">
        <v>0</v>
      </c>
      <c r="BF338">
        <v>4</v>
      </c>
      <c r="BG338">
        <v>0</v>
      </c>
      <c r="BH338">
        <v>4</v>
      </c>
      <c r="BI338">
        <v>0</v>
      </c>
      <c r="BJ338">
        <v>45.648766100000003</v>
      </c>
      <c r="BK338">
        <v>12.3114645</v>
      </c>
      <c r="BL338">
        <v>600</v>
      </c>
      <c r="BM338" t="s">
        <v>83</v>
      </c>
      <c r="BN338" t="s">
        <v>84</v>
      </c>
      <c r="BO338" t="s">
        <v>85</v>
      </c>
      <c r="BP338" t="s">
        <v>160</v>
      </c>
      <c r="BQ338" t="s">
        <v>161</v>
      </c>
      <c r="BR338" t="s">
        <v>428</v>
      </c>
      <c r="BS338">
        <v>2555112</v>
      </c>
      <c r="BT338">
        <v>1507720</v>
      </c>
      <c r="BU338">
        <v>0</v>
      </c>
      <c r="BV338">
        <v>587606</v>
      </c>
      <c r="BW338">
        <v>380550</v>
      </c>
      <c r="BX338">
        <v>79236</v>
      </c>
      <c r="BY338">
        <v>0</v>
      </c>
      <c r="BZ338">
        <v>1</v>
      </c>
      <c r="CA338" t="s">
        <v>431</v>
      </c>
      <c r="CB338" t="s">
        <v>432</v>
      </c>
      <c r="CC338" s="3">
        <v>46092.557106481479</v>
      </c>
      <c r="CD338" t="s">
        <v>91</v>
      </c>
    </row>
    <row r="339" spans="1:82" ht="16" x14ac:dyDescent="0.2">
      <c r="A339" t="s">
        <v>433</v>
      </c>
      <c r="B339" t="s">
        <v>434</v>
      </c>
      <c r="C339" t="s">
        <v>435</v>
      </c>
      <c r="D339" t="s">
        <v>78</v>
      </c>
      <c r="E339" t="s">
        <v>436</v>
      </c>
      <c r="F339">
        <v>2</v>
      </c>
      <c r="G339">
        <v>300</v>
      </c>
      <c r="H339" t="str">
        <f t="shared" si="36"/>
        <v>2x300</v>
      </c>
      <c r="I339">
        <v>218</v>
      </c>
      <c r="J339" s="4">
        <f t="shared" si="37"/>
        <v>6.0555555555555557E-2</v>
      </c>
      <c r="K339">
        <v>329</v>
      </c>
      <c r="L339" s="4">
        <f t="shared" si="38"/>
        <v>9.1388888888888895E-2</v>
      </c>
      <c r="M339">
        <v>499</v>
      </c>
      <c r="N339" s="4">
        <f t="shared" si="39"/>
        <v>0.1386111111111111</v>
      </c>
      <c r="O339">
        <v>996</v>
      </c>
      <c r="P339" s="4">
        <f t="shared" si="40"/>
        <v>0.27666666666666667</v>
      </c>
      <c r="Q339" s="6">
        <f t="shared" si="35"/>
        <v>2035</v>
      </c>
      <c r="R339" s="6">
        <f t="shared" si="41"/>
        <v>4</v>
      </c>
      <c r="S339">
        <v>156</v>
      </c>
      <c r="T339">
        <v>57</v>
      </c>
      <c r="U339">
        <v>-17</v>
      </c>
      <c r="V339">
        <v>-25</v>
      </c>
      <c r="W339">
        <v>4</v>
      </c>
      <c r="X339">
        <v>69</v>
      </c>
      <c r="Y339" s="2" t="s">
        <v>437</v>
      </c>
      <c r="Z339">
        <v>45.142439353893003</v>
      </c>
      <c r="AA339">
        <v>10.0618828085932</v>
      </c>
      <c r="AB339" t="s">
        <v>78</v>
      </c>
      <c r="AC339" t="s">
        <v>81</v>
      </c>
      <c r="AD339" t="s">
        <v>82</v>
      </c>
      <c r="AE339">
        <v>89445</v>
      </c>
      <c r="AF339">
        <v>24722</v>
      </c>
      <c r="AG339">
        <v>14924</v>
      </c>
      <c r="AH339">
        <v>16497</v>
      </c>
      <c r="AI339">
        <v>19496</v>
      </c>
      <c r="AJ339">
        <v>12373</v>
      </c>
      <c r="AK339">
        <v>1433</v>
      </c>
      <c r="AL339">
        <v>2183</v>
      </c>
      <c r="AM339">
        <v>13363</v>
      </c>
      <c r="AN339">
        <v>74879</v>
      </c>
      <c r="AO339">
        <v>108543</v>
      </c>
      <c r="AP339">
        <v>0</v>
      </c>
      <c r="AQ339">
        <v>0</v>
      </c>
      <c r="AR339">
        <v>1</v>
      </c>
      <c r="AS339">
        <v>0</v>
      </c>
      <c r="AT339">
        <v>2</v>
      </c>
      <c r="AU339">
        <v>7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2</v>
      </c>
      <c r="BB339">
        <v>19</v>
      </c>
      <c r="BC339">
        <v>2</v>
      </c>
      <c r="BD339">
        <v>0</v>
      </c>
      <c r="BE339">
        <v>0</v>
      </c>
      <c r="BF339">
        <v>0</v>
      </c>
      <c r="BG339">
        <v>0</v>
      </c>
      <c r="BH339">
        <v>2</v>
      </c>
      <c r="BI339">
        <v>6</v>
      </c>
      <c r="BJ339">
        <v>45.142510000000001</v>
      </c>
      <c r="BK339">
        <v>10.06179</v>
      </c>
      <c r="BL339">
        <v>600</v>
      </c>
      <c r="BM339" t="s">
        <v>83</v>
      </c>
      <c r="BN339" t="s">
        <v>84</v>
      </c>
      <c r="BO339" t="s">
        <v>85</v>
      </c>
      <c r="BP339" t="s">
        <v>107</v>
      </c>
      <c r="BQ339" t="s">
        <v>108</v>
      </c>
      <c r="BR339" t="s">
        <v>435</v>
      </c>
      <c r="BS339">
        <v>1937462</v>
      </c>
      <c r="BT339">
        <v>642788</v>
      </c>
      <c r="BU339">
        <v>298500</v>
      </c>
      <c r="BV339">
        <v>329948</v>
      </c>
      <c r="BW339">
        <v>390006</v>
      </c>
      <c r="BX339">
        <v>247538</v>
      </c>
      <c r="BY339">
        <v>28682</v>
      </c>
      <c r="BZ339">
        <v>1</v>
      </c>
      <c r="CA339" t="s">
        <v>438</v>
      </c>
      <c r="CB339" t="s">
        <v>439</v>
      </c>
      <c r="CC339" s="3">
        <v>46092.557106481479</v>
      </c>
      <c r="CD339" t="s">
        <v>91</v>
      </c>
    </row>
    <row r="340" spans="1:82" ht="16" x14ac:dyDescent="0.2">
      <c r="A340" t="s">
        <v>440</v>
      </c>
      <c r="B340" t="s">
        <v>441</v>
      </c>
      <c r="C340" t="s">
        <v>442</v>
      </c>
      <c r="D340" t="s">
        <v>78</v>
      </c>
      <c r="E340" t="s">
        <v>443</v>
      </c>
      <c r="F340">
        <v>2</v>
      </c>
      <c r="G340">
        <v>300</v>
      </c>
      <c r="H340" t="str">
        <f t="shared" si="36"/>
        <v>2x300</v>
      </c>
      <c r="I340">
        <v>217</v>
      </c>
      <c r="J340" s="4">
        <f t="shared" si="37"/>
        <v>6.0277777777777784E-2</v>
      </c>
      <c r="K340">
        <v>328</v>
      </c>
      <c r="L340" s="4">
        <f t="shared" si="38"/>
        <v>9.1111111111111101E-2</v>
      </c>
      <c r="M340">
        <v>498</v>
      </c>
      <c r="N340" s="4">
        <f t="shared" si="39"/>
        <v>0.13833333333333334</v>
      </c>
      <c r="O340">
        <v>994</v>
      </c>
      <c r="P340" s="4">
        <f t="shared" si="40"/>
        <v>0.27611111111111114</v>
      </c>
      <c r="Q340" s="6">
        <f t="shared" si="35"/>
        <v>2035</v>
      </c>
      <c r="R340" s="6">
        <f t="shared" si="41"/>
        <v>4</v>
      </c>
      <c r="S340">
        <v>156</v>
      </c>
      <c r="T340">
        <v>-2</v>
      </c>
      <c r="U340">
        <v>41</v>
      </c>
      <c r="V340">
        <v>-4</v>
      </c>
      <c r="W340">
        <v>-12</v>
      </c>
      <c r="X340">
        <v>55</v>
      </c>
      <c r="Y340" s="2" t="s">
        <v>444</v>
      </c>
      <c r="Z340">
        <v>40.455229899999999</v>
      </c>
      <c r="AA340">
        <v>17.2685414</v>
      </c>
      <c r="AB340" t="s">
        <v>78</v>
      </c>
      <c r="AC340" t="s">
        <v>81</v>
      </c>
      <c r="AD340" t="s">
        <v>82</v>
      </c>
      <c r="AE340">
        <v>43997</v>
      </c>
      <c r="AF340">
        <v>0</v>
      </c>
      <c r="AG340">
        <v>0</v>
      </c>
      <c r="AH340">
        <v>0</v>
      </c>
      <c r="AI340">
        <v>0</v>
      </c>
      <c r="AJ340">
        <v>43997</v>
      </c>
      <c r="AK340">
        <v>0</v>
      </c>
      <c r="AL340">
        <v>29576</v>
      </c>
      <c r="AM340">
        <v>89223</v>
      </c>
      <c r="AN340">
        <v>129066</v>
      </c>
      <c r="AO340">
        <v>216513</v>
      </c>
      <c r="AP340">
        <v>1</v>
      </c>
      <c r="AQ340">
        <v>0</v>
      </c>
      <c r="AR340">
        <v>1</v>
      </c>
      <c r="AS340">
        <v>1</v>
      </c>
      <c r="AT340">
        <v>2</v>
      </c>
      <c r="AU340">
        <v>13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16</v>
      </c>
      <c r="BB340">
        <v>38</v>
      </c>
      <c r="BC340">
        <v>5</v>
      </c>
      <c r="BD340">
        <v>4</v>
      </c>
      <c r="BE340">
        <v>0</v>
      </c>
      <c r="BF340">
        <v>6</v>
      </c>
      <c r="BG340">
        <v>0</v>
      </c>
      <c r="BH340">
        <v>10</v>
      </c>
      <c r="BI340">
        <v>0</v>
      </c>
      <c r="BJ340">
        <v>40.455267300000003</v>
      </c>
      <c r="BK340">
        <v>17.2684839</v>
      </c>
      <c r="BL340">
        <v>600</v>
      </c>
      <c r="BM340" t="s">
        <v>83</v>
      </c>
      <c r="BN340" t="s">
        <v>84</v>
      </c>
      <c r="BO340" t="s">
        <v>85</v>
      </c>
      <c r="BP340" t="s">
        <v>97</v>
      </c>
      <c r="BQ340" t="s">
        <v>187</v>
      </c>
      <c r="BR340" t="s">
        <v>442</v>
      </c>
      <c r="BS340">
        <v>777417</v>
      </c>
      <c r="BT340">
        <v>0</v>
      </c>
      <c r="BU340">
        <v>0</v>
      </c>
      <c r="BV340">
        <v>0</v>
      </c>
      <c r="BW340">
        <v>0</v>
      </c>
      <c r="BX340">
        <v>777417</v>
      </c>
      <c r="BY340">
        <v>0</v>
      </c>
      <c r="BZ340">
        <v>1</v>
      </c>
      <c r="CA340" t="s">
        <v>445</v>
      </c>
      <c r="CB340" t="s">
        <v>446</v>
      </c>
      <c r="CC340" s="3">
        <v>46092.557106481479</v>
      </c>
      <c r="CD340" t="s">
        <v>91</v>
      </c>
    </row>
    <row r="341" spans="1:82" ht="16" x14ac:dyDescent="0.2">
      <c r="A341" t="s">
        <v>449</v>
      </c>
      <c r="B341" t="s">
        <v>450</v>
      </c>
      <c r="C341" t="s">
        <v>451</v>
      </c>
      <c r="D341" t="s">
        <v>78</v>
      </c>
      <c r="E341" t="s">
        <v>452</v>
      </c>
      <c r="F341">
        <v>2</v>
      </c>
      <c r="G341">
        <v>300</v>
      </c>
      <c r="H341" t="str">
        <f t="shared" si="36"/>
        <v>2x300</v>
      </c>
      <c r="I341">
        <v>215</v>
      </c>
      <c r="J341" s="4">
        <f t="shared" si="37"/>
        <v>5.9722222222222225E-2</v>
      </c>
      <c r="K341">
        <v>324</v>
      </c>
      <c r="L341" s="4">
        <f t="shared" si="38"/>
        <v>9.0000000000000011E-2</v>
      </c>
      <c r="M341">
        <v>492</v>
      </c>
      <c r="N341" s="4">
        <f t="shared" si="39"/>
        <v>0.13666666666666666</v>
      </c>
      <c r="O341">
        <v>982</v>
      </c>
      <c r="P341" s="4">
        <f t="shared" si="40"/>
        <v>0.27277777777777779</v>
      </c>
      <c r="Q341" s="6">
        <f t="shared" si="35"/>
        <v>2035</v>
      </c>
      <c r="R341" s="6">
        <f t="shared" si="41"/>
        <v>4</v>
      </c>
      <c r="S341">
        <v>156</v>
      </c>
      <c r="T341">
        <v>50</v>
      </c>
      <c r="U341">
        <v>-23</v>
      </c>
      <c r="V341">
        <v>-7</v>
      </c>
      <c r="W341">
        <v>-8</v>
      </c>
      <c r="X341">
        <v>73</v>
      </c>
      <c r="Y341" s="2" t="s">
        <v>453</v>
      </c>
      <c r="Z341">
        <v>43.572907600000001</v>
      </c>
      <c r="AA341">
        <v>10.3305513</v>
      </c>
      <c r="AB341" t="s">
        <v>78</v>
      </c>
      <c r="AC341" t="s">
        <v>81</v>
      </c>
      <c r="AD341" t="s">
        <v>82</v>
      </c>
      <c r="AE341">
        <v>74950</v>
      </c>
      <c r="AF341">
        <v>0</v>
      </c>
      <c r="AG341">
        <v>50105</v>
      </c>
      <c r="AH341">
        <v>17331</v>
      </c>
      <c r="AI341">
        <v>2357</v>
      </c>
      <c r="AJ341">
        <v>567</v>
      </c>
      <c r="AK341">
        <v>4590</v>
      </c>
      <c r="AL341">
        <v>4182</v>
      </c>
      <c r="AM341">
        <v>26464</v>
      </c>
      <c r="AN341">
        <v>124618</v>
      </c>
      <c r="AO341">
        <v>168659</v>
      </c>
      <c r="AP341">
        <v>1</v>
      </c>
      <c r="AQ341">
        <v>0</v>
      </c>
      <c r="AR341">
        <v>1</v>
      </c>
      <c r="AS341">
        <v>3</v>
      </c>
      <c r="AT341">
        <v>0</v>
      </c>
      <c r="AU341">
        <v>14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6</v>
      </c>
      <c r="BB341">
        <v>16</v>
      </c>
      <c r="BC341">
        <v>4</v>
      </c>
      <c r="BD341">
        <v>0</v>
      </c>
      <c r="BE341">
        <v>0</v>
      </c>
      <c r="BF341">
        <v>0</v>
      </c>
      <c r="BG341">
        <v>0</v>
      </c>
      <c r="BH341">
        <v>8</v>
      </c>
      <c r="BI341">
        <v>0</v>
      </c>
      <c r="BJ341">
        <v>43.573089899999999</v>
      </c>
      <c r="BK341">
        <v>10.330909999999999</v>
      </c>
      <c r="BL341">
        <v>600</v>
      </c>
      <c r="BM341" t="s">
        <v>83</v>
      </c>
      <c r="BN341" t="s">
        <v>84</v>
      </c>
      <c r="BO341" t="s">
        <v>85</v>
      </c>
      <c r="BP341" t="s">
        <v>86</v>
      </c>
      <c r="BQ341" t="s">
        <v>212</v>
      </c>
      <c r="BR341" t="s">
        <v>454</v>
      </c>
      <c r="BS341">
        <v>1499176</v>
      </c>
      <c r="BT341">
        <v>0</v>
      </c>
      <c r="BU341">
        <v>1002140</v>
      </c>
      <c r="BV341">
        <v>346682</v>
      </c>
      <c r="BW341">
        <v>47171</v>
      </c>
      <c r="BX341">
        <v>11355</v>
      </c>
      <c r="BY341">
        <v>91828</v>
      </c>
      <c r="BZ341">
        <v>1</v>
      </c>
      <c r="CA341" t="s">
        <v>455</v>
      </c>
      <c r="CB341" t="s">
        <v>456</v>
      </c>
      <c r="CC341" s="3">
        <v>46092.557106481479</v>
      </c>
      <c r="CD341" t="s">
        <v>91</v>
      </c>
    </row>
    <row r="342" spans="1:82" ht="16" x14ac:dyDescent="0.2">
      <c r="A342" t="s">
        <v>457</v>
      </c>
      <c r="B342" t="s">
        <v>458</v>
      </c>
      <c r="C342" t="s">
        <v>459</v>
      </c>
      <c r="D342" t="s">
        <v>78</v>
      </c>
      <c r="E342" t="s">
        <v>460</v>
      </c>
      <c r="F342">
        <v>2</v>
      </c>
      <c r="G342">
        <v>300</v>
      </c>
      <c r="H342" t="str">
        <f t="shared" si="36"/>
        <v>2x300</v>
      </c>
      <c r="I342">
        <v>214</v>
      </c>
      <c r="J342" s="4">
        <f t="shared" si="37"/>
        <v>5.9444444444444446E-2</v>
      </c>
      <c r="K342">
        <v>323</v>
      </c>
      <c r="L342" s="4">
        <f t="shared" si="38"/>
        <v>8.9722222222222217E-2</v>
      </c>
      <c r="M342">
        <v>490</v>
      </c>
      <c r="N342" s="4">
        <f t="shared" si="39"/>
        <v>0.1361111111111111</v>
      </c>
      <c r="O342">
        <v>979</v>
      </c>
      <c r="P342" s="4">
        <f t="shared" si="40"/>
        <v>0.27194444444444443</v>
      </c>
      <c r="Q342" s="6">
        <f t="shared" si="35"/>
        <v>2035</v>
      </c>
      <c r="R342" s="6">
        <f t="shared" si="41"/>
        <v>4</v>
      </c>
      <c r="S342">
        <v>156</v>
      </c>
      <c r="T342">
        <v>40</v>
      </c>
      <c r="U342">
        <v>-26</v>
      </c>
      <c r="V342">
        <v>16</v>
      </c>
      <c r="W342">
        <v>-12</v>
      </c>
      <c r="X342">
        <v>65</v>
      </c>
      <c r="Y342" s="2" t="s">
        <v>461</v>
      </c>
      <c r="Z342">
        <v>44.548679999999997</v>
      </c>
      <c r="AA342">
        <v>10.797639999999999</v>
      </c>
      <c r="AB342" t="s">
        <v>78</v>
      </c>
      <c r="AC342" t="s">
        <v>81</v>
      </c>
      <c r="AD342" t="s">
        <v>82</v>
      </c>
      <c r="AE342">
        <v>73261</v>
      </c>
      <c r="AF342">
        <v>0</v>
      </c>
      <c r="AG342">
        <v>0</v>
      </c>
      <c r="AH342">
        <v>0</v>
      </c>
      <c r="AI342">
        <v>36143</v>
      </c>
      <c r="AJ342">
        <v>26183</v>
      </c>
      <c r="AK342">
        <v>10935</v>
      </c>
      <c r="AL342">
        <v>10536</v>
      </c>
      <c r="AM342">
        <v>30689</v>
      </c>
      <c r="AN342">
        <v>79623</v>
      </c>
      <c r="AO342">
        <v>162896</v>
      </c>
      <c r="AP342">
        <v>3</v>
      </c>
      <c r="AQ342">
        <v>0</v>
      </c>
      <c r="AR342">
        <v>3</v>
      </c>
      <c r="AS342">
        <v>10</v>
      </c>
      <c r="AT342">
        <v>0</v>
      </c>
      <c r="AU342">
        <v>33</v>
      </c>
      <c r="AV342">
        <v>5</v>
      </c>
      <c r="AW342">
        <v>2</v>
      </c>
      <c r="AX342">
        <v>2</v>
      </c>
      <c r="AY342">
        <v>0</v>
      </c>
      <c r="AZ342">
        <v>2</v>
      </c>
      <c r="BA342">
        <v>21</v>
      </c>
      <c r="BB342">
        <v>55</v>
      </c>
      <c r="BC342">
        <v>4</v>
      </c>
      <c r="BD342">
        <v>0</v>
      </c>
      <c r="BE342">
        <v>0</v>
      </c>
      <c r="BF342">
        <v>6</v>
      </c>
      <c r="BG342">
        <v>0</v>
      </c>
      <c r="BH342">
        <v>8</v>
      </c>
      <c r="BI342">
        <v>0</v>
      </c>
      <c r="BJ342">
        <v>44.548670000000001</v>
      </c>
      <c r="BK342">
        <v>10.7974999</v>
      </c>
      <c r="BL342">
        <v>600</v>
      </c>
      <c r="BM342" t="s">
        <v>83</v>
      </c>
      <c r="BN342" t="s">
        <v>84</v>
      </c>
      <c r="BO342" t="s">
        <v>85</v>
      </c>
      <c r="BP342" t="s">
        <v>160</v>
      </c>
      <c r="BQ342" t="s">
        <v>170</v>
      </c>
      <c r="BR342" t="s">
        <v>462</v>
      </c>
      <c r="BS342">
        <v>1139497</v>
      </c>
      <c r="BT342">
        <v>0</v>
      </c>
      <c r="BU342">
        <v>0</v>
      </c>
      <c r="BV342">
        <v>0</v>
      </c>
      <c r="BW342">
        <v>397020</v>
      </c>
      <c r="BX342">
        <v>523705</v>
      </c>
      <c r="BY342">
        <v>218772</v>
      </c>
      <c r="BZ342">
        <v>1</v>
      </c>
      <c r="CA342" t="s">
        <v>463</v>
      </c>
      <c r="CB342" t="s">
        <v>464</v>
      </c>
      <c r="CC342" s="3">
        <v>46092.557106481479</v>
      </c>
      <c r="CD342" t="s">
        <v>91</v>
      </c>
    </row>
    <row r="343" spans="1:82" ht="16" x14ac:dyDescent="0.2">
      <c r="A343" t="s">
        <v>465</v>
      </c>
      <c r="B343" t="s">
        <v>466</v>
      </c>
      <c r="C343" t="s">
        <v>179</v>
      </c>
      <c r="D343" t="s">
        <v>78</v>
      </c>
      <c r="E343" t="s">
        <v>467</v>
      </c>
      <c r="F343">
        <v>2</v>
      </c>
      <c r="G343">
        <v>300</v>
      </c>
      <c r="H343" t="str">
        <f t="shared" si="36"/>
        <v>2x300</v>
      </c>
      <c r="I343">
        <v>213</v>
      </c>
      <c r="J343" s="4">
        <f t="shared" si="37"/>
        <v>5.9166666666666666E-2</v>
      </c>
      <c r="K343">
        <v>322</v>
      </c>
      <c r="L343" s="4">
        <f t="shared" si="38"/>
        <v>8.9444444444444438E-2</v>
      </c>
      <c r="M343">
        <v>489</v>
      </c>
      <c r="N343" s="4">
        <f t="shared" si="39"/>
        <v>0.13583333333333333</v>
      </c>
      <c r="O343">
        <v>975</v>
      </c>
      <c r="P343" s="4">
        <f t="shared" si="40"/>
        <v>0.27083333333333331</v>
      </c>
      <c r="Q343" s="6">
        <f t="shared" si="35"/>
        <v>2035</v>
      </c>
      <c r="R343" s="6">
        <f t="shared" si="41"/>
        <v>4</v>
      </c>
      <c r="S343">
        <v>156</v>
      </c>
      <c r="T343">
        <v>48</v>
      </c>
      <c r="U343">
        <v>-24</v>
      </c>
      <c r="V343">
        <v>13</v>
      </c>
      <c r="W343">
        <v>-21</v>
      </c>
      <c r="X343">
        <v>66</v>
      </c>
      <c r="Y343" s="2" t="s">
        <v>468</v>
      </c>
      <c r="Z343">
        <v>45.558286191935501</v>
      </c>
      <c r="AA343">
        <v>10.2275211779121</v>
      </c>
      <c r="AB343" t="s">
        <v>78</v>
      </c>
      <c r="AC343" t="s">
        <v>81</v>
      </c>
      <c r="AD343" t="s">
        <v>82</v>
      </c>
      <c r="AE343">
        <v>131017</v>
      </c>
      <c r="AF343">
        <v>0</v>
      </c>
      <c r="AG343">
        <v>0</v>
      </c>
      <c r="AH343">
        <v>10595</v>
      </c>
      <c r="AI343">
        <v>59406</v>
      </c>
      <c r="AJ343">
        <v>53084</v>
      </c>
      <c r="AK343">
        <v>7932</v>
      </c>
      <c r="AL343">
        <v>14985</v>
      </c>
      <c r="AM343">
        <v>48242</v>
      </c>
      <c r="AN343">
        <v>185581</v>
      </c>
      <c r="AO343">
        <v>349290</v>
      </c>
      <c r="AP343">
        <v>5</v>
      </c>
      <c r="AQ343">
        <v>0</v>
      </c>
      <c r="AR343">
        <v>4</v>
      </c>
      <c r="AS343">
        <v>5</v>
      </c>
      <c r="AT343">
        <v>2</v>
      </c>
      <c r="AU343">
        <v>31</v>
      </c>
      <c r="AV343">
        <v>8</v>
      </c>
      <c r="AW343">
        <v>0</v>
      </c>
      <c r="AX343">
        <v>3</v>
      </c>
      <c r="AY343">
        <v>1</v>
      </c>
      <c r="AZ343">
        <v>1</v>
      </c>
      <c r="BA343">
        <v>55</v>
      </c>
      <c r="BB343">
        <v>105</v>
      </c>
      <c r="BC343">
        <v>12</v>
      </c>
      <c r="BD343">
        <v>6</v>
      </c>
      <c r="BE343">
        <v>0</v>
      </c>
      <c r="BF343">
        <v>20</v>
      </c>
      <c r="BG343">
        <v>0</v>
      </c>
      <c r="BH343">
        <v>34</v>
      </c>
      <c r="BI343">
        <v>1</v>
      </c>
      <c r="BJ343">
        <v>45.558267899999997</v>
      </c>
      <c r="BK343">
        <v>10.227610200000001</v>
      </c>
      <c r="BL343">
        <v>600</v>
      </c>
      <c r="BM343" t="s">
        <v>83</v>
      </c>
      <c r="BN343" t="s">
        <v>84</v>
      </c>
      <c r="BO343" t="s">
        <v>85</v>
      </c>
      <c r="BP343" t="s">
        <v>107</v>
      </c>
      <c r="BQ343" t="s">
        <v>108</v>
      </c>
      <c r="BR343" t="s">
        <v>179</v>
      </c>
      <c r="BS343">
        <v>2412912</v>
      </c>
      <c r="BT343">
        <v>0</v>
      </c>
      <c r="BU343">
        <v>0</v>
      </c>
      <c r="BV343">
        <v>211906</v>
      </c>
      <c r="BW343">
        <v>1198584</v>
      </c>
      <c r="BX343">
        <v>843753</v>
      </c>
      <c r="BY343">
        <v>158669</v>
      </c>
      <c r="BZ343">
        <v>1</v>
      </c>
      <c r="CA343" t="s">
        <v>469</v>
      </c>
      <c r="CB343" t="s">
        <v>470</v>
      </c>
      <c r="CC343" s="3">
        <v>46092.557106481479</v>
      </c>
      <c r="CD343" t="s">
        <v>91</v>
      </c>
    </row>
    <row r="344" spans="1:82" ht="16" x14ac:dyDescent="0.2">
      <c r="A344" t="s">
        <v>471</v>
      </c>
      <c r="B344" t="s">
        <v>472</v>
      </c>
      <c r="C344" t="s">
        <v>473</v>
      </c>
      <c r="D344" t="s">
        <v>78</v>
      </c>
      <c r="E344" t="s">
        <v>474</v>
      </c>
      <c r="F344">
        <v>2</v>
      </c>
      <c r="G344">
        <v>300</v>
      </c>
      <c r="H344" t="str">
        <f t="shared" si="36"/>
        <v>2x300</v>
      </c>
      <c r="I344">
        <v>212</v>
      </c>
      <c r="J344" s="4">
        <f t="shared" si="37"/>
        <v>5.8888888888888886E-2</v>
      </c>
      <c r="K344">
        <v>320</v>
      </c>
      <c r="L344" s="4">
        <f t="shared" si="38"/>
        <v>8.8888888888888892E-2</v>
      </c>
      <c r="M344">
        <v>485</v>
      </c>
      <c r="N344" s="4">
        <f t="shared" si="39"/>
        <v>0.13472222222222222</v>
      </c>
      <c r="O344">
        <v>968</v>
      </c>
      <c r="P344" s="4">
        <f t="shared" si="40"/>
        <v>0.2688888888888889</v>
      </c>
      <c r="Q344" s="6">
        <f t="shared" si="35"/>
        <v>2035</v>
      </c>
      <c r="R344" s="6">
        <f t="shared" si="41"/>
        <v>4</v>
      </c>
      <c r="S344">
        <v>156</v>
      </c>
      <c r="T344">
        <v>6</v>
      </c>
      <c r="U344">
        <v>-19</v>
      </c>
      <c r="V344">
        <v>18</v>
      </c>
      <c r="W344">
        <v>11</v>
      </c>
      <c r="X344">
        <v>64</v>
      </c>
      <c r="Y344" s="2" t="s">
        <v>475</v>
      </c>
      <c r="Z344">
        <v>45.326529999999998</v>
      </c>
      <c r="AA344">
        <v>9.1355400000000007</v>
      </c>
      <c r="AB344" t="s">
        <v>78</v>
      </c>
      <c r="AC344" t="s">
        <v>81</v>
      </c>
      <c r="AD344" t="s">
        <v>82</v>
      </c>
      <c r="AE344">
        <v>58690</v>
      </c>
      <c r="AF344">
        <v>0</v>
      </c>
      <c r="AG344">
        <v>0</v>
      </c>
      <c r="AH344">
        <v>45539</v>
      </c>
      <c r="AI344">
        <v>0</v>
      </c>
      <c r="AJ344">
        <v>13151</v>
      </c>
      <c r="AK344">
        <v>0</v>
      </c>
      <c r="AL344">
        <v>5432</v>
      </c>
      <c r="AM344">
        <v>8434</v>
      </c>
      <c r="AN344">
        <v>43328</v>
      </c>
      <c r="AO344">
        <v>205129</v>
      </c>
      <c r="AP344">
        <v>0</v>
      </c>
      <c r="AQ344">
        <v>0</v>
      </c>
      <c r="AR344">
        <v>4</v>
      </c>
      <c r="AS344">
        <v>4</v>
      </c>
      <c r="AT344">
        <v>4</v>
      </c>
      <c r="AU344">
        <v>7</v>
      </c>
      <c r="AV344">
        <v>9</v>
      </c>
      <c r="AW344">
        <v>1</v>
      </c>
      <c r="AX344">
        <v>2</v>
      </c>
      <c r="AY344">
        <v>0</v>
      </c>
      <c r="AZ344">
        <v>1</v>
      </c>
      <c r="BA344">
        <v>3</v>
      </c>
      <c r="BB344">
        <v>3</v>
      </c>
      <c r="BC344">
        <v>0</v>
      </c>
      <c r="BD344">
        <v>2</v>
      </c>
      <c r="BE344">
        <v>0</v>
      </c>
      <c r="BF344">
        <v>2</v>
      </c>
      <c r="BG344">
        <v>0</v>
      </c>
      <c r="BH344">
        <v>2</v>
      </c>
      <c r="BI344">
        <v>0</v>
      </c>
      <c r="BJ344">
        <v>45.326535499999999</v>
      </c>
      <c r="BK344">
        <v>9.1357391999999997</v>
      </c>
      <c r="BL344">
        <v>600</v>
      </c>
      <c r="BM344" t="s">
        <v>83</v>
      </c>
      <c r="BN344" t="s">
        <v>84</v>
      </c>
      <c r="BO344" t="s">
        <v>85</v>
      </c>
      <c r="BP344" t="s">
        <v>107</v>
      </c>
      <c r="BQ344" t="s">
        <v>108</v>
      </c>
      <c r="BR344" t="s">
        <v>109</v>
      </c>
      <c r="BS344">
        <v>1173885</v>
      </c>
      <c r="BT344">
        <v>0</v>
      </c>
      <c r="BU344">
        <v>0</v>
      </c>
      <c r="BV344">
        <v>910822</v>
      </c>
      <c r="BW344">
        <v>0</v>
      </c>
      <c r="BX344">
        <v>263063</v>
      </c>
      <c r="BY344">
        <v>0</v>
      </c>
      <c r="BZ344">
        <v>1</v>
      </c>
      <c r="CA344" t="s">
        <v>476</v>
      </c>
      <c r="CB344" t="s">
        <v>477</v>
      </c>
      <c r="CC344" s="3">
        <v>46092.557106481479</v>
      </c>
      <c r="CD344" t="s">
        <v>91</v>
      </c>
    </row>
    <row r="345" spans="1:82" ht="16" x14ac:dyDescent="0.2">
      <c r="A345" t="s">
        <v>478</v>
      </c>
      <c r="B345" t="s">
        <v>479</v>
      </c>
      <c r="C345" t="s">
        <v>480</v>
      </c>
      <c r="D345" t="s">
        <v>78</v>
      </c>
      <c r="E345" t="s">
        <v>481</v>
      </c>
      <c r="F345">
        <v>2</v>
      </c>
      <c r="G345">
        <v>300</v>
      </c>
      <c r="H345" t="str">
        <f t="shared" si="36"/>
        <v>2x300</v>
      </c>
      <c r="I345">
        <v>209</v>
      </c>
      <c r="J345" s="4">
        <f t="shared" si="37"/>
        <v>5.8055555555555555E-2</v>
      </c>
      <c r="K345">
        <v>316</v>
      </c>
      <c r="L345" s="4">
        <f t="shared" si="38"/>
        <v>8.7777777777777774E-2</v>
      </c>
      <c r="M345">
        <v>479</v>
      </c>
      <c r="N345" s="4">
        <f t="shared" si="39"/>
        <v>0.13305555555555557</v>
      </c>
      <c r="O345">
        <v>956</v>
      </c>
      <c r="P345" s="4">
        <f t="shared" si="40"/>
        <v>0.26555555555555554</v>
      </c>
      <c r="Q345" s="6">
        <f t="shared" si="35"/>
        <v>2035</v>
      </c>
      <c r="R345" s="6">
        <f t="shared" si="41"/>
        <v>4</v>
      </c>
      <c r="S345">
        <v>156</v>
      </c>
      <c r="T345">
        <v>7</v>
      </c>
      <c r="U345">
        <v>3</v>
      </c>
      <c r="V345">
        <v>5</v>
      </c>
      <c r="W345">
        <v>1</v>
      </c>
      <c r="X345">
        <v>62</v>
      </c>
      <c r="Y345" s="2" t="s">
        <v>482</v>
      </c>
      <c r="Z345">
        <v>45.482546900000003</v>
      </c>
      <c r="AA345">
        <v>8.9633058000000005</v>
      </c>
      <c r="AB345" t="s">
        <v>78</v>
      </c>
      <c r="AC345" t="s">
        <v>81</v>
      </c>
      <c r="AD345" t="s">
        <v>82</v>
      </c>
      <c r="AE345">
        <v>60635</v>
      </c>
      <c r="AF345">
        <v>0</v>
      </c>
      <c r="AG345">
        <v>0</v>
      </c>
      <c r="AH345">
        <v>17172</v>
      </c>
      <c r="AI345">
        <v>10053</v>
      </c>
      <c r="AJ345">
        <v>22381</v>
      </c>
      <c r="AK345">
        <v>11029</v>
      </c>
      <c r="AL345">
        <v>8239</v>
      </c>
      <c r="AM345">
        <v>22409</v>
      </c>
      <c r="AN345">
        <v>94841</v>
      </c>
      <c r="AO345">
        <v>386818</v>
      </c>
      <c r="AP345">
        <v>0</v>
      </c>
      <c r="AQ345">
        <v>0</v>
      </c>
      <c r="AR345">
        <v>2</v>
      </c>
      <c r="AS345">
        <v>2</v>
      </c>
      <c r="AT345">
        <v>0</v>
      </c>
      <c r="AU345">
        <v>9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20</v>
      </c>
      <c r="BB345">
        <v>33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2</v>
      </c>
      <c r="BI345">
        <v>0</v>
      </c>
      <c r="BJ345">
        <v>45.482489899999997</v>
      </c>
      <c r="BK345">
        <v>8.9632699999999996</v>
      </c>
      <c r="BL345">
        <v>600</v>
      </c>
      <c r="BM345" t="s">
        <v>83</v>
      </c>
      <c r="BN345" t="s">
        <v>84</v>
      </c>
      <c r="BO345" t="s">
        <v>85</v>
      </c>
      <c r="BP345" t="s">
        <v>107</v>
      </c>
      <c r="BQ345" t="s">
        <v>108</v>
      </c>
      <c r="BR345" t="s">
        <v>109</v>
      </c>
      <c r="BS345">
        <v>1127254</v>
      </c>
      <c r="BT345">
        <v>0</v>
      </c>
      <c r="BU345">
        <v>0</v>
      </c>
      <c r="BV345">
        <v>343459</v>
      </c>
      <c r="BW345">
        <v>201064</v>
      </c>
      <c r="BX345">
        <v>362151</v>
      </c>
      <c r="BY345">
        <v>220580</v>
      </c>
      <c r="BZ345">
        <v>1</v>
      </c>
      <c r="CA345" t="s">
        <v>483</v>
      </c>
      <c r="CB345" t="s">
        <v>484</v>
      </c>
      <c r="CC345" s="3">
        <v>46092.557106481479</v>
      </c>
      <c r="CD345" t="s">
        <v>91</v>
      </c>
    </row>
    <row r="346" spans="1:82" ht="16" x14ac:dyDescent="0.2">
      <c r="A346" t="s">
        <v>485</v>
      </c>
      <c r="B346" t="s">
        <v>486</v>
      </c>
      <c r="C346" t="s">
        <v>487</v>
      </c>
      <c r="D346" t="s">
        <v>78</v>
      </c>
      <c r="E346" t="s">
        <v>488</v>
      </c>
      <c r="F346">
        <v>2</v>
      </c>
      <c r="G346">
        <v>300</v>
      </c>
      <c r="H346" t="str">
        <f t="shared" si="36"/>
        <v>2x300</v>
      </c>
      <c r="I346">
        <v>207</v>
      </c>
      <c r="J346" s="4">
        <f t="shared" si="37"/>
        <v>5.7499999999999996E-2</v>
      </c>
      <c r="K346">
        <v>312</v>
      </c>
      <c r="L346" s="4">
        <f t="shared" si="38"/>
        <v>8.666666666666667E-2</v>
      </c>
      <c r="M346">
        <v>473</v>
      </c>
      <c r="N346" s="4">
        <f t="shared" si="39"/>
        <v>0.13138888888888889</v>
      </c>
      <c r="O346">
        <v>944</v>
      </c>
      <c r="P346" s="4">
        <f t="shared" si="40"/>
        <v>0.26222222222222219</v>
      </c>
      <c r="Q346" s="6">
        <f t="shared" si="35"/>
        <v>2035</v>
      </c>
      <c r="R346" s="6">
        <f t="shared" si="41"/>
        <v>4</v>
      </c>
      <c r="S346">
        <v>156</v>
      </c>
      <c r="T346">
        <v>20</v>
      </c>
      <c r="U346">
        <v>0</v>
      </c>
      <c r="V346">
        <v>3</v>
      </c>
      <c r="W346">
        <v>-7</v>
      </c>
      <c r="X346">
        <v>57</v>
      </c>
      <c r="Y346" s="2" t="s">
        <v>489</v>
      </c>
      <c r="Z346">
        <v>45.633763480705198</v>
      </c>
      <c r="AA346">
        <v>8.8334207826973206</v>
      </c>
      <c r="AB346" t="s">
        <v>78</v>
      </c>
      <c r="AC346" t="s">
        <v>81</v>
      </c>
      <c r="AD346" t="s">
        <v>82</v>
      </c>
      <c r="AE346">
        <v>122532</v>
      </c>
      <c r="AF346">
        <v>0</v>
      </c>
      <c r="AG346">
        <v>0</v>
      </c>
      <c r="AH346">
        <v>54210</v>
      </c>
      <c r="AI346">
        <v>11128</v>
      </c>
      <c r="AJ346">
        <v>44571</v>
      </c>
      <c r="AK346">
        <v>12623</v>
      </c>
      <c r="AL346">
        <v>7819</v>
      </c>
      <c r="AM346">
        <v>22609</v>
      </c>
      <c r="AN346">
        <v>176153</v>
      </c>
      <c r="AO346">
        <v>469344</v>
      </c>
      <c r="AP346">
        <v>2</v>
      </c>
      <c r="AQ346">
        <v>0</v>
      </c>
      <c r="AR346">
        <v>4</v>
      </c>
      <c r="AS346">
        <v>13</v>
      </c>
      <c r="AT346">
        <v>1</v>
      </c>
      <c r="AU346">
        <v>18</v>
      </c>
      <c r="AV346">
        <v>1</v>
      </c>
      <c r="AW346">
        <v>1</v>
      </c>
      <c r="AX346">
        <v>0</v>
      </c>
      <c r="AY346">
        <v>0</v>
      </c>
      <c r="AZ346">
        <v>0</v>
      </c>
      <c r="BA346">
        <v>14</v>
      </c>
      <c r="BB346">
        <v>30</v>
      </c>
      <c r="BC346">
        <v>14</v>
      </c>
      <c r="BD346">
        <v>2</v>
      </c>
      <c r="BE346">
        <v>0</v>
      </c>
      <c r="BF346">
        <v>2</v>
      </c>
      <c r="BG346">
        <v>0</v>
      </c>
      <c r="BH346">
        <v>12</v>
      </c>
      <c r="BI346">
        <v>0</v>
      </c>
      <c r="BJ346">
        <v>45.633851999999997</v>
      </c>
      <c r="BK346">
        <v>8.8332733999999995</v>
      </c>
      <c r="BL346">
        <v>600</v>
      </c>
      <c r="BM346" t="s">
        <v>83</v>
      </c>
      <c r="BN346" t="s">
        <v>84</v>
      </c>
      <c r="BO346" t="s">
        <v>85</v>
      </c>
      <c r="BP346" t="s">
        <v>107</v>
      </c>
      <c r="BQ346" t="s">
        <v>108</v>
      </c>
      <c r="BR346" t="s">
        <v>305</v>
      </c>
      <c r="BS346">
        <v>2079723</v>
      </c>
      <c r="BT346">
        <v>0</v>
      </c>
      <c r="BU346">
        <v>0</v>
      </c>
      <c r="BV346">
        <v>881330</v>
      </c>
      <c r="BW346">
        <v>222565</v>
      </c>
      <c r="BX346">
        <v>723343</v>
      </c>
      <c r="BY346">
        <v>252485</v>
      </c>
      <c r="BZ346">
        <v>1</v>
      </c>
      <c r="CA346" t="s">
        <v>490</v>
      </c>
      <c r="CB346" t="s">
        <v>491</v>
      </c>
      <c r="CC346" s="3">
        <v>46092.557106481479</v>
      </c>
      <c r="CD346" t="s">
        <v>91</v>
      </c>
    </row>
    <row r="347" spans="1:82" ht="16" x14ac:dyDescent="0.2">
      <c r="A347" t="s">
        <v>492</v>
      </c>
      <c r="B347" t="s">
        <v>493</v>
      </c>
      <c r="C347" t="s">
        <v>494</v>
      </c>
      <c r="D347" t="s">
        <v>78</v>
      </c>
      <c r="E347" t="s">
        <v>495</v>
      </c>
      <c r="F347">
        <v>2</v>
      </c>
      <c r="G347">
        <v>300</v>
      </c>
      <c r="H347" t="str">
        <f t="shared" si="36"/>
        <v>2x300</v>
      </c>
      <c r="I347">
        <v>205</v>
      </c>
      <c r="J347" s="4">
        <f t="shared" si="37"/>
        <v>5.6944444444444443E-2</v>
      </c>
      <c r="K347">
        <v>309</v>
      </c>
      <c r="L347" s="4">
        <f t="shared" si="38"/>
        <v>8.5833333333333331E-2</v>
      </c>
      <c r="M347">
        <v>469</v>
      </c>
      <c r="N347" s="4">
        <f t="shared" si="39"/>
        <v>0.13027777777777777</v>
      </c>
      <c r="O347">
        <v>937</v>
      </c>
      <c r="P347" s="4">
        <f t="shared" si="40"/>
        <v>0.26027777777777777</v>
      </c>
      <c r="Q347" s="6">
        <f t="shared" si="35"/>
        <v>2035</v>
      </c>
      <c r="R347" s="6">
        <f t="shared" si="41"/>
        <v>4</v>
      </c>
      <c r="S347">
        <v>156</v>
      </c>
      <c r="T347">
        <v>37</v>
      </c>
      <c r="U347">
        <v>-24</v>
      </c>
      <c r="V347">
        <v>15</v>
      </c>
      <c r="W347">
        <v>-15</v>
      </c>
      <c r="X347">
        <v>58</v>
      </c>
      <c r="Y347" s="2" t="s">
        <v>496</v>
      </c>
      <c r="Z347">
        <v>45.149234633140402</v>
      </c>
      <c r="AA347">
        <v>9.9948157797580706</v>
      </c>
      <c r="AB347" t="s">
        <v>78</v>
      </c>
      <c r="AC347" t="s">
        <v>81</v>
      </c>
      <c r="AD347" t="s">
        <v>82</v>
      </c>
      <c r="AE347">
        <v>58738</v>
      </c>
      <c r="AF347">
        <v>0</v>
      </c>
      <c r="AG347">
        <v>0</v>
      </c>
      <c r="AH347">
        <v>26191</v>
      </c>
      <c r="AI347">
        <v>29765</v>
      </c>
      <c r="AJ347">
        <v>2335</v>
      </c>
      <c r="AK347">
        <v>447</v>
      </c>
      <c r="AL347">
        <v>3613</v>
      </c>
      <c r="AM347">
        <v>15098</v>
      </c>
      <c r="AN347">
        <v>73867</v>
      </c>
      <c r="AO347">
        <v>104579</v>
      </c>
      <c r="AP347">
        <v>0</v>
      </c>
      <c r="AQ347">
        <v>0</v>
      </c>
      <c r="AR347">
        <v>5</v>
      </c>
      <c r="AS347">
        <v>29</v>
      </c>
      <c r="AT347">
        <v>3</v>
      </c>
      <c r="AU347">
        <v>16</v>
      </c>
      <c r="AV347">
        <v>1</v>
      </c>
      <c r="AW347">
        <v>2</v>
      </c>
      <c r="AX347">
        <v>0</v>
      </c>
      <c r="AY347">
        <v>0</v>
      </c>
      <c r="AZ347">
        <v>0</v>
      </c>
      <c r="BA347">
        <v>22</v>
      </c>
      <c r="BB347">
        <v>43</v>
      </c>
      <c r="BC347">
        <v>17</v>
      </c>
      <c r="BD347">
        <v>4</v>
      </c>
      <c r="BE347">
        <v>0</v>
      </c>
      <c r="BF347">
        <v>10</v>
      </c>
      <c r="BG347">
        <v>0</v>
      </c>
      <c r="BH347">
        <v>14</v>
      </c>
      <c r="BI347">
        <v>0</v>
      </c>
      <c r="BJ347">
        <v>45.1492</v>
      </c>
      <c r="BK347">
        <v>9.9948399000000006</v>
      </c>
      <c r="BL347">
        <v>600</v>
      </c>
      <c r="BM347" t="s">
        <v>83</v>
      </c>
      <c r="BN347" t="s">
        <v>84</v>
      </c>
      <c r="BO347" t="s">
        <v>85</v>
      </c>
      <c r="BP347" t="s">
        <v>107</v>
      </c>
      <c r="BQ347" t="s">
        <v>108</v>
      </c>
      <c r="BR347" t="s">
        <v>435</v>
      </c>
      <c r="BS347">
        <v>1169738</v>
      </c>
      <c r="BT347">
        <v>0</v>
      </c>
      <c r="BU347">
        <v>0</v>
      </c>
      <c r="BV347">
        <v>523837</v>
      </c>
      <c r="BW347">
        <v>590215</v>
      </c>
      <c r="BX347">
        <v>46712</v>
      </c>
      <c r="BY347">
        <v>8974</v>
      </c>
      <c r="BZ347">
        <v>1</v>
      </c>
      <c r="CA347" t="s">
        <v>497</v>
      </c>
      <c r="CB347" t="s">
        <v>498</v>
      </c>
      <c r="CC347" s="3">
        <v>46092.557106481479</v>
      </c>
      <c r="CD347" t="s">
        <v>91</v>
      </c>
    </row>
    <row r="348" spans="1:82" ht="16" x14ac:dyDescent="0.2">
      <c r="A348" t="s">
        <v>499</v>
      </c>
      <c r="B348" t="s">
        <v>500</v>
      </c>
      <c r="C348" t="s">
        <v>501</v>
      </c>
      <c r="D348" t="s">
        <v>78</v>
      </c>
      <c r="E348" t="s">
        <v>502</v>
      </c>
      <c r="F348">
        <v>2</v>
      </c>
      <c r="G348">
        <v>300</v>
      </c>
      <c r="H348" t="str">
        <f t="shared" si="36"/>
        <v>2x300</v>
      </c>
      <c r="I348">
        <v>204</v>
      </c>
      <c r="J348" s="4">
        <f t="shared" si="37"/>
        <v>5.6666666666666671E-2</v>
      </c>
      <c r="K348">
        <v>308</v>
      </c>
      <c r="L348" s="4">
        <f t="shared" si="38"/>
        <v>8.5555555555555551E-2</v>
      </c>
      <c r="M348">
        <v>467</v>
      </c>
      <c r="N348" s="4">
        <f t="shared" si="39"/>
        <v>0.12972222222222221</v>
      </c>
      <c r="O348">
        <v>931</v>
      </c>
      <c r="P348" s="4">
        <f t="shared" si="40"/>
        <v>0.25861111111111112</v>
      </c>
      <c r="Q348" s="6">
        <f t="shared" si="35"/>
        <v>2035</v>
      </c>
      <c r="R348" s="6">
        <f t="shared" si="41"/>
        <v>4</v>
      </c>
      <c r="S348">
        <v>156</v>
      </c>
      <c r="T348">
        <v>2</v>
      </c>
      <c r="U348">
        <v>-21</v>
      </c>
      <c r="V348">
        <v>29</v>
      </c>
      <c r="W348">
        <v>-3</v>
      </c>
      <c r="X348">
        <v>69</v>
      </c>
      <c r="Y348" s="2" t="s">
        <v>503</v>
      </c>
      <c r="Z348">
        <v>45.161174593903397</v>
      </c>
      <c r="AA348">
        <v>9.1316349018458904</v>
      </c>
      <c r="AB348" t="s">
        <v>78</v>
      </c>
      <c r="AC348" t="s">
        <v>81</v>
      </c>
      <c r="AD348" t="s">
        <v>82</v>
      </c>
      <c r="AE348">
        <v>50624</v>
      </c>
      <c r="AF348">
        <v>17953</v>
      </c>
      <c r="AG348">
        <v>0</v>
      </c>
      <c r="AH348">
        <v>16223</v>
      </c>
      <c r="AI348">
        <v>6121</v>
      </c>
      <c r="AJ348">
        <v>10327</v>
      </c>
      <c r="AK348">
        <v>0</v>
      </c>
      <c r="AL348">
        <v>3621</v>
      </c>
      <c r="AM348">
        <v>8949</v>
      </c>
      <c r="AN348">
        <v>68261</v>
      </c>
      <c r="AO348">
        <v>118625</v>
      </c>
      <c r="AP348">
        <v>0</v>
      </c>
      <c r="AQ348">
        <v>0</v>
      </c>
      <c r="AR348">
        <v>6</v>
      </c>
      <c r="AS348">
        <v>7</v>
      </c>
      <c r="AT348">
        <v>2</v>
      </c>
      <c r="AU348">
        <v>34</v>
      </c>
      <c r="AV348">
        <v>2</v>
      </c>
      <c r="AW348">
        <v>0</v>
      </c>
      <c r="AX348">
        <v>3</v>
      </c>
      <c r="AY348">
        <v>0</v>
      </c>
      <c r="AZ348">
        <v>1</v>
      </c>
      <c r="BA348">
        <v>14</v>
      </c>
      <c r="BB348">
        <v>24</v>
      </c>
      <c r="BC348">
        <v>9</v>
      </c>
      <c r="BD348">
        <v>2</v>
      </c>
      <c r="BE348">
        <v>0</v>
      </c>
      <c r="BF348">
        <v>4</v>
      </c>
      <c r="BG348">
        <v>0</v>
      </c>
      <c r="BH348">
        <v>6</v>
      </c>
      <c r="BI348">
        <v>0</v>
      </c>
      <c r="BJ348">
        <v>45.160783199999997</v>
      </c>
      <c r="BK348">
        <v>9.1322530999999998</v>
      </c>
      <c r="BL348">
        <v>600</v>
      </c>
      <c r="BM348" t="s">
        <v>83</v>
      </c>
      <c r="BN348" t="s">
        <v>84</v>
      </c>
      <c r="BO348" t="s">
        <v>85</v>
      </c>
      <c r="BP348" t="s">
        <v>107</v>
      </c>
      <c r="BQ348" t="s">
        <v>108</v>
      </c>
      <c r="BR348" t="s">
        <v>501</v>
      </c>
      <c r="BS348">
        <v>1012573</v>
      </c>
      <c r="BT348">
        <v>359065</v>
      </c>
      <c r="BU348">
        <v>0</v>
      </c>
      <c r="BV348">
        <v>324488</v>
      </c>
      <c r="BW348">
        <v>122439</v>
      </c>
      <c r="BX348">
        <v>206581</v>
      </c>
      <c r="BY348">
        <v>0</v>
      </c>
      <c r="BZ348">
        <v>1</v>
      </c>
      <c r="CA348" t="s">
        <v>504</v>
      </c>
      <c r="CB348" t="s">
        <v>505</v>
      </c>
      <c r="CC348" s="3">
        <v>46092.557106481479</v>
      </c>
      <c r="CD348" t="s">
        <v>91</v>
      </c>
    </row>
    <row r="349" spans="1:82" ht="16" x14ac:dyDescent="0.2">
      <c r="A349" t="s">
        <v>507</v>
      </c>
      <c r="B349" t="s">
        <v>508</v>
      </c>
      <c r="C349" t="s">
        <v>509</v>
      </c>
      <c r="D349" t="s">
        <v>78</v>
      </c>
      <c r="E349" t="s">
        <v>510</v>
      </c>
      <c r="F349">
        <v>2</v>
      </c>
      <c r="G349">
        <v>300</v>
      </c>
      <c r="H349" t="str">
        <f t="shared" si="36"/>
        <v>2x300</v>
      </c>
      <c r="I349">
        <v>202</v>
      </c>
      <c r="J349" s="4">
        <f t="shared" si="37"/>
        <v>5.6111111111111112E-2</v>
      </c>
      <c r="K349">
        <v>306</v>
      </c>
      <c r="L349" s="4">
        <f t="shared" si="38"/>
        <v>8.5000000000000006E-2</v>
      </c>
      <c r="M349">
        <v>463</v>
      </c>
      <c r="N349" s="4">
        <f t="shared" si="39"/>
        <v>0.12861111111111109</v>
      </c>
      <c r="O349">
        <v>925</v>
      </c>
      <c r="P349" s="4">
        <f t="shared" si="40"/>
        <v>0.25694444444444448</v>
      </c>
      <c r="Q349" s="6">
        <f t="shared" si="35"/>
        <v>2035</v>
      </c>
      <c r="R349" s="6">
        <f t="shared" si="41"/>
        <v>4</v>
      </c>
      <c r="S349">
        <v>156</v>
      </c>
      <c r="T349">
        <v>58</v>
      </c>
      <c r="U349">
        <v>-24</v>
      </c>
      <c r="V349">
        <v>-16</v>
      </c>
      <c r="W349">
        <v>-12</v>
      </c>
      <c r="X349">
        <v>68</v>
      </c>
      <c r="Y349" s="2" t="s">
        <v>511</v>
      </c>
      <c r="Z349">
        <v>44.653759999999998</v>
      </c>
      <c r="AA349">
        <v>10.909890000000001</v>
      </c>
      <c r="AB349" t="s">
        <v>78</v>
      </c>
      <c r="AC349" t="s">
        <v>81</v>
      </c>
      <c r="AD349" t="s">
        <v>82</v>
      </c>
      <c r="AE349">
        <v>100189</v>
      </c>
      <c r="AF349">
        <v>0</v>
      </c>
      <c r="AG349">
        <v>0</v>
      </c>
      <c r="AH349">
        <v>0</v>
      </c>
      <c r="AI349">
        <v>21684</v>
      </c>
      <c r="AJ349">
        <v>64945</v>
      </c>
      <c r="AK349">
        <v>13560</v>
      </c>
      <c r="AL349">
        <v>13026</v>
      </c>
      <c r="AM349">
        <v>55648</v>
      </c>
      <c r="AN349">
        <v>162561</v>
      </c>
      <c r="AO349">
        <v>232464</v>
      </c>
      <c r="AP349">
        <v>0</v>
      </c>
      <c r="AQ349">
        <v>1</v>
      </c>
      <c r="AR349">
        <v>4</v>
      </c>
      <c r="AS349">
        <v>10</v>
      </c>
      <c r="AT349">
        <v>5</v>
      </c>
      <c r="AU349">
        <v>30</v>
      </c>
      <c r="AV349">
        <v>1</v>
      </c>
      <c r="AW349">
        <v>0</v>
      </c>
      <c r="AX349">
        <v>1</v>
      </c>
      <c r="AY349">
        <v>0</v>
      </c>
      <c r="AZ349">
        <v>4</v>
      </c>
      <c r="BA349">
        <v>10</v>
      </c>
      <c r="BB349">
        <v>63</v>
      </c>
      <c r="BC349">
        <v>2</v>
      </c>
      <c r="BD349">
        <v>1</v>
      </c>
      <c r="BE349">
        <v>0</v>
      </c>
      <c r="BF349">
        <v>3</v>
      </c>
      <c r="BG349">
        <v>0</v>
      </c>
      <c r="BH349">
        <v>15</v>
      </c>
      <c r="BI349">
        <v>0</v>
      </c>
      <c r="BJ349">
        <v>44.653704300000001</v>
      </c>
      <c r="BK349">
        <v>10.910024399999999</v>
      </c>
      <c r="BL349">
        <v>600</v>
      </c>
      <c r="BM349" t="s">
        <v>83</v>
      </c>
      <c r="BN349" t="s">
        <v>84</v>
      </c>
      <c r="BO349" t="s">
        <v>85</v>
      </c>
      <c r="BP349" t="s">
        <v>160</v>
      </c>
      <c r="BQ349" t="s">
        <v>170</v>
      </c>
      <c r="BR349" t="s">
        <v>462</v>
      </c>
      <c r="BS349">
        <v>1839620</v>
      </c>
      <c r="BT349">
        <v>0</v>
      </c>
      <c r="BU349">
        <v>0</v>
      </c>
      <c r="BV349">
        <v>0</v>
      </c>
      <c r="BW349">
        <v>433699</v>
      </c>
      <c r="BX349">
        <v>1134683</v>
      </c>
      <c r="BY349">
        <v>271238</v>
      </c>
      <c r="BZ349">
        <v>1</v>
      </c>
      <c r="CA349" t="s">
        <v>512</v>
      </c>
      <c r="CB349" t="s">
        <v>513</v>
      </c>
      <c r="CC349" s="3">
        <v>46092.557106481479</v>
      </c>
      <c r="CD349" t="s">
        <v>91</v>
      </c>
    </row>
    <row r="350" spans="1:82" ht="16" x14ac:dyDescent="0.2">
      <c r="A350" t="s">
        <v>514</v>
      </c>
      <c r="B350" t="s">
        <v>515</v>
      </c>
      <c r="C350" t="s">
        <v>516</v>
      </c>
      <c r="D350" t="s">
        <v>78</v>
      </c>
      <c r="E350" t="s">
        <v>517</v>
      </c>
      <c r="F350">
        <v>2</v>
      </c>
      <c r="G350">
        <v>300</v>
      </c>
      <c r="H350" t="str">
        <f t="shared" si="36"/>
        <v>2x300</v>
      </c>
      <c r="I350">
        <v>199</v>
      </c>
      <c r="J350" s="4">
        <f t="shared" si="37"/>
        <v>5.527777777777778E-2</v>
      </c>
      <c r="K350">
        <v>300</v>
      </c>
      <c r="L350" s="4">
        <f t="shared" si="38"/>
        <v>8.3333333333333329E-2</v>
      </c>
      <c r="M350">
        <v>455</v>
      </c>
      <c r="N350" s="4">
        <f t="shared" si="39"/>
        <v>0.12638888888888888</v>
      </c>
      <c r="O350">
        <v>909</v>
      </c>
      <c r="P350" s="4">
        <f t="shared" si="40"/>
        <v>0.2525</v>
      </c>
      <c r="Q350" s="6">
        <f t="shared" si="35"/>
        <v>2035</v>
      </c>
      <c r="R350" s="6">
        <f t="shared" si="41"/>
        <v>4</v>
      </c>
      <c r="S350">
        <v>156</v>
      </c>
      <c r="T350">
        <v>22</v>
      </c>
      <c r="U350">
        <v>-19</v>
      </c>
      <c r="V350">
        <v>2</v>
      </c>
      <c r="W350">
        <v>1</v>
      </c>
      <c r="X350">
        <v>60</v>
      </c>
      <c r="Y350" s="2" t="s">
        <v>518</v>
      </c>
      <c r="Z350">
        <v>45.64284</v>
      </c>
      <c r="AA350">
        <v>11.77336</v>
      </c>
      <c r="AB350" t="s">
        <v>78</v>
      </c>
      <c r="AC350" t="s">
        <v>81</v>
      </c>
      <c r="AD350" t="s">
        <v>82</v>
      </c>
      <c r="AE350">
        <v>67358</v>
      </c>
      <c r="AF350">
        <v>0</v>
      </c>
      <c r="AG350">
        <v>20549</v>
      </c>
      <c r="AH350">
        <v>26964</v>
      </c>
      <c r="AI350">
        <v>0</v>
      </c>
      <c r="AJ350">
        <v>19845</v>
      </c>
      <c r="AK350">
        <v>0</v>
      </c>
      <c r="AL350">
        <v>3841</v>
      </c>
      <c r="AM350">
        <v>11982</v>
      </c>
      <c r="AN350">
        <v>44200</v>
      </c>
      <c r="AO350">
        <v>139715</v>
      </c>
      <c r="AP350">
        <v>0</v>
      </c>
      <c r="AQ350">
        <v>1</v>
      </c>
      <c r="AR350">
        <v>4</v>
      </c>
      <c r="AS350">
        <v>6</v>
      </c>
      <c r="AT350">
        <v>1</v>
      </c>
      <c r="AU350">
        <v>10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4</v>
      </c>
      <c r="BB350">
        <v>16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45.642820700000001</v>
      </c>
      <c r="BK350">
        <v>11.773377200000001</v>
      </c>
      <c r="BL350">
        <v>600</v>
      </c>
      <c r="BM350" t="s">
        <v>83</v>
      </c>
      <c r="BN350" t="s">
        <v>84</v>
      </c>
      <c r="BO350" t="s">
        <v>85</v>
      </c>
      <c r="BP350" t="s">
        <v>160</v>
      </c>
      <c r="BQ350" t="s">
        <v>161</v>
      </c>
      <c r="BR350" t="s">
        <v>519</v>
      </c>
      <c r="BS350">
        <v>1347317</v>
      </c>
      <c r="BT350">
        <v>0</v>
      </c>
      <c r="BU350">
        <v>410998</v>
      </c>
      <c r="BV350">
        <v>539321</v>
      </c>
      <c r="BW350">
        <v>0</v>
      </c>
      <c r="BX350">
        <v>396998</v>
      </c>
      <c r="BY350">
        <v>0</v>
      </c>
      <c r="BZ350">
        <v>1</v>
      </c>
      <c r="CA350" t="s">
        <v>520</v>
      </c>
      <c r="CB350" t="s">
        <v>521</v>
      </c>
      <c r="CC350" s="3">
        <v>46092.557106481479</v>
      </c>
      <c r="CD350" t="s">
        <v>91</v>
      </c>
    </row>
    <row r="351" spans="1:82" ht="16" x14ac:dyDescent="0.2">
      <c r="A351" t="s">
        <v>522</v>
      </c>
      <c r="B351" t="s">
        <v>523</v>
      </c>
      <c r="C351" t="s">
        <v>524</v>
      </c>
      <c r="D351" t="s">
        <v>78</v>
      </c>
      <c r="E351" t="s">
        <v>525</v>
      </c>
      <c r="F351">
        <v>2</v>
      </c>
      <c r="G351">
        <v>300</v>
      </c>
      <c r="H351" t="str">
        <f t="shared" si="36"/>
        <v>2x300</v>
      </c>
      <c r="I351">
        <v>197</v>
      </c>
      <c r="J351" s="4">
        <f t="shared" si="37"/>
        <v>5.4722222222222221E-2</v>
      </c>
      <c r="K351">
        <v>298</v>
      </c>
      <c r="L351" s="4">
        <f t="shared" si="38"/>
        <v>8.277777777777777E-2</v>
      </c>
      <c r="M351">
        <v>452</v>
      </c>
      <c r="N351" s="4">
        <f t="shared" si="39"/>
        <v>0.12555555555555556</v>
      </c>
      <c r="O351">
        <v>902</v>
      </c>
      <c r="P351" s="4">
        <f t="shared" si="40"/>
        <v>0.25055555555555559</v>
      </c>
      <c r="Q351" s="6">
        <f t="shared" si="35"/>
        <v>2035</v>
      </c>
      <c r="R351" s="6">
        <f t="shared" si="41"/>
        <v>4</v>
      </c>
      <c r="S351">
        <v>156</v>
      </c>
      <c r="T351">
        <v>39</v>
      </c>
      <c r="U351">
        <v>-20</v>
      </c>
      <c r="V351">
        <v>-10</v>
      </c>
      <c r="W351">
        <v>-3</v>
      </c>
      <c r="X351">
        <v>62</v>
      </c>
      <c r="Y351" s="2" t="s">
        <v>526</v>
      </c>
      <c r="Z351">
        <v>45.689129007680002</v>
      </c>
      <c r="AA351">
        <v>11.4842185865053</v>
      </c>
      <c r="AB351" t="s">
        <v>78</v>
      </c>
      <c r="AC351" t="s">
        <v>81</v>
      </c>
      <c r="AD351" t="s">
        <v>82</v>
      </c>
      <c r="AE351">
        <v>39893</v>
      </c>
      <c r="AF351">
        <v>0</v>
      </c>
      <c r="AG351">
        <v>0</v>
      </c>
      <c r="AH351">
        <v>0</v>
      </c>
      <c r="AI351">
        <v>32595</v>
      </c>
      <c r="AJ351">
        <v>7298</v>
      </c>
      <c r="AK351">
        <v>0</v>
      </c>
      <c r="AL351">
        <v>2790</v>
      </c>
      <c r="AM351">
        <v>12185</v>
      </c>
      <c r="AN351">
        <v>54584</v>
      </c>
      <c r="AO351">
        <v>172006</v>
      </c>
      <c r="AP351">
        <v>3</v>
      </c>
      <c r="AQ351">
        <v>0</v>
      </c>
      <c r="AR351">
        <v>6</v>
      </c>
      <c r="AS351">
        <v>16</v>
      </c>
      <c r="AT351">
        <v>1</v>
      </c>
      <c r="AU351">
        <v>29</v>
      </c>
      <c r="AV351">
        <v>2</v>
      </c>
      <c r="AW351">
        <v>1</v>
      </c>
      <c r="AX351">
        <v>0</v>
      </c>
      <c r="AY351">
        <v>0</v>
      </c>
      <c r="AZ351">
        <v>0</v>
      </c>
      <c r="BA351">
        <v>8</v>
      </c>
      <c r="BB351">
        <v>16</v>
      </c>
      <c r="BC351">
        <v>2</v>
      </c>
      <c r="BD351">
        <v>0</v>
      </c>
      <c r="BE351">
        <v>0</v>
      </c>
      <c r="BF351">
        <v>4</v>
      </c>
      <c r="BG351">
        <v>0</v>
      </c>
      <c r="BH351">
        <v>4</v>
      </c>
      <c r="BI351">
        <v>0</v>
      </c>
      <c r="BJ351">
        <v>45.689099599999999</v>
      </c>
      <c r="BK351">
        <v>11.4842213</v>
      </c>
      <c r="BL351">
        <v>600</v>
      </c>
      <c r="BM351" t="s">
        <v>83</v>
      </c>
      <c r="BN351" t="s">
        <v>84</v>
      </c>
      <c r="BO351" t="s">
        <v>85</v>
      </c>
      <c r="BP351" t="s">
        <v>160</v>
      </c>
      <c r="BQ351" t="s">
        <v>161</v>
      </c>
      <c r="BR351" t="s">
        <v>527</v>
      </c>
      <c r="BS351">
        <v>797949</v>
      </c>
      <c r="BT351">
        <v>0</v>
      </c>
      <c r="BU351">
        <v>0</v>
      </c>
      <c r="BV351">
        <v>0</v>
      </c>
      <c r="BW351">
        <v>651960</v>
      </c>
      <c r="BX351">
        <v>145989</v>
      </c>
      <c r="BY351">
        <v>0</v>
      </c>
      <c r="BZ351">
        <v>1</v>
      </c>
      <c r="CA351" t="s">
        <v>528</v>
      </c>
      <c r="CB351" t="s">
        <v>529</v>
      </c>
      <c r="CC351" s="3">
        <v>46092.557106481479</v>
      </c>
      <c r="CD351" t="s">
        <v>91</v>
      </c>
    </row>
    <row r="352" spans="1:82" ht="16" x14ac:dyDescent="0.2">
      <c r="A352" t="s">
        <v>530</v>
      </c>
      <c r="B352" t="s">
        <v>531</v>
      </c>
      <c r="C352" t="s">
        <v>532</v>
      </c>
      <c r="D352" t="s">
        <v>78</v>
      </c>
      <c r="E352" t="s">
        <v>533</v>
      </c>
      <c r="F352">
        <v>2</v>
      </c>
      <c r="G352">
        <v>300</v>
      </c>
      <c r="H352" t="str">
        <f t="shared" si="36"/>
        <v>2x300</v>
      </c>
      <c r="I352">
        <v>197</v>
      </c>
      <c r="J352" s="4">
        <f t="shared" si="37"/>
        <v>5.4722222222222221E-2</v>
      </c>
      <c r="K352">
        <v>297</v>
      </c>
      <c r="L352" s="4">
        <f t="shared" si="38"/>
        <v>8.2500000000000004E-2</v>
      </c>
      <c r="M352">
        <v>451</v>
      </c>
      <c r="N352" s="4">
        <f t="shared" si="39"/>
        <v>0.12527777777777779</v>
      </c>
      <c r="O352">
        <v>899</v>
      </c>
      <c r="P352" s="4">
        <f t="shared" si="40"/>
        <v>0.24972222222222221</v>
      </c>
      <c r="Q352" s="6">
        <f t="shared" si="35"/>
        <v>2035</v>
      </c>
      <c r="R352" s="6">
        <f t="shared" si="41"/>
        <v>4</v>
      </c>
      <c r="S352">
        <v>156</v>
      </c>
      <c r="T352">
        <v>11</v>
      </c>
      <c r="U352">
        <v>-1</v>
      </c>
      <c r="V352">
        <v>4</v>
      </c>
      <c r="W352">
        <v>-8</v>
      </c>
      <c r="X352">
        <v>56</v>
      </c>
      <c r="Y352" s="2" t="s">
        <v>534</v>
      </c>
      <c r="Z352">
        <v>45.590515099999998</v>
      </c>
      <c r="AA352">
        <v>9.0504111999999992</v>
      </c>
      <c r="AB352" t="s">
        <v>78</v>
      </c>
      <c r="AC352" t="s">
        <v>81</v>
      </c>
      <c r="AD352" t="s">
        <v>82</v>
      </c>
      <c r="AE352">
        <v>44775</v>
      </c>
      <c r="AF352">
        <v>0</v>
      </c>
      <c r="AG352">
        <v>0</v>
      </c>
      <c r="AH352">
        <v>16158</v>
      </c>
      <c r="AI352">
        <v>0</v>
      </c>
      <c r="AJ352">
        <v>21245</v>
      </c>
      <c r="AK352">
        <v>7372</v>
      </c>
      <c r="AL352">
        <v>9548</v>
      </c>
      <c r="AM352">
        <v>31791</v>
      </c>
      <c r="AN352">
        <v>157161</v>
      </c>
      <c r="AO352">
        <v>675690</v>
      </c>
      <c r="AP352">
        <v>0</v>
      </c>
      <c r="AQ352">
        <v>1</v>
      </c>
      <c r="AR352">
        <v>4</v>
      </c>
      <c r="AS352">
        <v>11</v>
      </c>
      <c r="AT352">
        <v>0</v>
      </c>
      <c r="AU352">
        <v>19</v>
      </c>
      <c r="AV352">
        <v>3</v>
      </c>
      <c r="AW352">
        <v>0</v>
      </c>
      <c r="AX352">
        <v>0</v>
      </c>
      <c r="AY352">
        <v>0</v>
      </c>
      <c r="AZ352">
        <v>0</v>
      </c>
      <c r="BA352">
        <v>7</v>
      </c>
      <c r="BB352">
        <v>18</v>
      </c>
      <c r="BC352">
        <v>4</v>
      </c>
      <c r="BD352">
        <v>2</v>
      </c>
      <c r="BE352">
        <v>0</v>
      </c>
      <c r="BF352">
        <v>4</v>
      </c>
      <c r="BG352">
        <v>0</v>
      </c>
      <c r="BH352">
        <v>10</v>
      </c>
      <c r="BI352">
        <v>0</v>
      </c>
      <c r="BJ352">
        <v>45.590637800000003</v>
      </c>
      <c r="BK352">
        <v>9.0503678999999995</v>
      </c>
      <c r="BL352">
        <v>600</v>
      </c>
      <c r="BM352" t="s">
        <v>83</v>
      </c>
      <c r="BN352" t="s">
        <v>84</v>
      </c>
      <c r="BO352" t="s">
        <v>85</v>
      </c>
      <c r="BP352" t="s">
        <v>107</v>
      </c>
      <c r="BQ352" t="s">
        <v>108</v>
      </c>
      <c r="BR352" t="s">
        <v>305</v>
      </c>
      <c r="BS352">
        <v>895644</v>
      </c>
      <c r="BT352">
        <v>0</v>
      </c>
      <c r="BU352">
        <v>0</v>
      </c>
      <c r="BV352">
        <v>323192</v>
      </c>
      <c r="BW352">
        <v>0</v>
      </c>
      <c r="BX352">
        <v>424962</v>
      </c>
      <c r="BY352">
        <v>147490</v>
      </c>
      <c r="BZ352">
        <v>1</v>
      </c>
      <c r="CA352" t="s">
        <v>535</v>
      </c>
      <c r="CB352" t="s">
        <v>536</v>
      </c>
      <c r="CC352" s="3">
        <v>46092.557106481479</v>
      </c>
      <c r="CD352" t="s">
        <v>91</v>
      </c>
    </row>
    <row r="353" spans="1:82" ht="16" x14ac:dyDescent="0.2">
      <c r="A353" t="s">
        <v>537</v>
      </c>
      <c r="B353" t="s">
        <v>538</v>
      </c>
      <c r="C353" t="s">
        <v>539</v>
      </c>
      <c r="D353" t="s">
        <v>78</v>
      </c>
      <c r="E353" t="s">
        <v>540</v>
      </c>
      <c r="F353">
        <v>2</v>
      </c>
      <c r="G353">
        <v>300</v>
      </c>
      <c r="H353" t="str">
        <f t="shared" si="36"/>
        <v>2x300</v>
      </c>
      <c r="I353">
        <v>196</v>
      </c>
      <c r="J353" s="4">
        <f t="shared" si="37"/>
        <v>5.4444444444444441E-2</v>
      </c>
      <c r="K353">
        <v>296</v>
      </c>
      <c r="L353" s="4">
        <f t="shared" si="38"/>
        <v>8.2222222222222224E-2</v>
      </c>
      <c r="M353">
        <v>449</v>
      </c>
      <c r="N353" s="4">
        <f t="shared" si="39"/>
        <v>0.12472222222222222</v>
      </c>
      <c r="O353">
        <v>896</v>
      </c>
      <c r="P353" s="4">
        <f t="shared" si="40"/>
        <v>0.24888888888888891</v>
      </c>
      <c r="Q353" s="6">
        <f t="shared" si="35"/>
        <v>2035</v>
      </c>
      <c r="R353" s="6">
        <f t="shared" si="41"/>
        <v>4</v>
      </c>
      <c r="S353">
        <v>156</v>
      </c>
      <c r="T353">
        <v>34</v>
      </c>
      <c r="U353">
        <v>-20</v>
      </c>
      <c r="V353">
        <v>-2</v>
      </c>
      <c r="W353">
        <v>-9</v>
      </c>
      <c r="X353">
        <v>59</v>
      </c>
      <c r="Y353" s="2" t="s">
        <v>541</v>
      </c>
      <c r="Z353">
        <v>45.302909378343401</v>
      </c>
      <c r="AA353">
        <v>9.4870821374283292</v>
      </c>
      <c r="AB353" t="s">
        <v>78</v>
      </c>
      <c r="AC353" t="s">
        <v>81</v>
      </c>
      <c r="AD353" t="s">
        <v>82</v>
      </c>
      <c r="AE353">
        <v>74116</v>
      </c>
      <c r="AF353">
        <v>0</v>
      </c>
      <c r="AG353">
        <v>0</v>
      </c>
      <c r="AH353">
        <v>24689</v>
      </c>
      <c r="AI353">
        <v>18084</v>
      </c>
      <c r="AJ353">
        <v>26146</v>
      </c>
      <c r="AK353">
        <v>5197</v>
      </c>
      <c r="AL353">
        <v>10334</v>
      </c>
      <c r="AM353">
        <v>29571</v>
      </c>
      <c r="AN353">
        <v>60127</v>
      </c>
      <c r="AO353">
        <v>120363</v>
      </c>
      <c r="AP353">
        <v>2</v>
      </c>
      <c r="AQ353">
        <v>1</v>
      </c>
      <c r="AR353">
        <v>4</v>
      </c>
      <c r="AS353">
        <v>5</v>
      </c>
      <c r="AT353">
        <v>0</v>
      </c>
      <c r="AU353">
        <v>10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2</v>
      </c>
      <c r="BB353">
        <v>15</v>
      </c>
      <c r="BC353">
        <v>2</v>
      </c>
      <c r="BD353">
        <v>4</v>
      </c>
      <c r="BE353">
        <v>0</v>
      </c>
      <c r="BF353">
        <v>4</v>
      </c>
      <c r="BG353">
        <v>0</v>
      </c>
      <c r="BH353">
        <v>6</v>
      </c>
      <c r="BI353">
        <v>0</v>
      </c>
      <c r="BJ353">
        <v>45.3029443</v>
      </c>
      <c r="BK353">
        <v>9.4871209000000007</v>
      </c>
      <c r="BL353">
        <v>600</v>
      </c>
      <c r="BM353" t="s">
        <v>83</v>
      </c>
      <c r="BN353" t="s">
        <v>84</v>
      </c>
      <c r="BO353" t="s">
        <v>85</v>
      </c>
      <c r="BP353" t="s">
        <v>107</v>
      </c>
      <c r="BQ353" t="s">
        <v>108</v>
      </c>
      <c r="BR353" t="s">
        <v>539</v>
      </c>
      <c r="BS353">
        <v>1482451</v>
      </c>
      <c r="BT353">
        <v>0</v>
      </c>
      <c r="BU353">
        <v>0</v>
      </c>
      <c r="BV353">
        <v>493794</v>
      </c>
      <c r="BW353">
        <v>361692</v>
      </c>
      <c r="BX353">
        <v>523002</v>
      </c>
      <c r="BY353">
        <v>103963</v>
      </c>
      <c r="BZ353">
        <v>1</v>
      </c>
      <c r="CA353" t="s">
        <v>542</v>
      </c>
      <c r="CB353" t="s">
        <v>543</v>
      </c>
      <c r="CC353" s="3">
        <v>46092.557106481479</v>
      </c>
      <c r="CD353" t="s">
        <v>91</v>
      </c>
    </row>
    <row r="354" spans="1:82" ht="16" x14ac:dyDescent="0.2">
      <c r="A354" t="s">
        <v>544</v>
      </c>
      <c r="B354" t="s">
        <v>545</v>
      </c>
      <c r="C354" t="s">
        <v>546</v>
      </c>
      <c r="D354" t="s">
        <v>78</v>
      </c>
      <c r="E354" t="s">
        <v>547</v>
      </c>
      <c r="F354">
        <v>2</v>
      </c>
      <c r="G354">
        <v>300</v>
      </c>
      <c r="H354" t="str">
        <f t="shared" si="36"/>
        <v>2x300</v>
      </c>
      <c r="I354">
        <v>195</v>
      </c>
      <c r="J354" s="4">
        <f t="shared" si="37"/>
        <v>5.4166666666666669E-2</v>
      </c>
      <c r="K354">
        <v>295</v>
      </c>
      <c r="L354" s="4">
        <f t="shared" si="38"/>
        <v>8.1944444444444445E-2</v>
      </c>
      <c r="M354">
        <v>447</v>
      </c>
      <c r="N354" s="4">
        <f t="shared" si="39"/>
        <v>0.12416666666666666</v>
      </c>
      <c r="O354">
        <v>893</v>
      </c>
      <c r="P354" s="4">
        <f t="shared" si="40"/>
        <v>0.24805555555555556</v>
      </c>
      <c r="Q354" s="6">
        <f t="shared" si="35"/>
        <v>2035</v>
      </c>
      <c r="R354" s="6">
        <f t="shared" si="41"/>
        <v>4</v>
      </c>
      <c r="S354">
        <v>156</v>
      </c>
      <c r="T354">
        <v>9</v>
      </c>
      <c r="U354">
        <v>-22</v>
      </c>
      <c r="V354">
        <v>18</v>
      </c>
      <c r="W354">
        <v>-2</v>
      </c>
      <c r="X354">
        <v>57</v>
      </c>
      <c r="Y354" s="2" t="s">
        <v>548</v>
      </c>
      <c r="Z354">
        <v>44.781399999999998</v>
      </c>
      <c r="AA354">
        <v>10.3421</v>
      </c>
      <c r="AB354" t="s">
        <v>78</v>
      </c>
      <c r="AC354" t="s">
        <v>81</v>
      </c>
      <c r="AD354" t="s">
        <v>82</v>
      </c>
      <c r="AE354">
        <v>66264</v>
      </c>
      <c r="AF354">
        <v>0</v>
      </c>
      <c r="AG354">
        <v>0</v>
      </c>
      <c r="AH354">
        <v>23865</v>
      </c>
      <c r="AI354">
        <v>0</v>
      </c>
      <c r="AJ354">
        <v>36362</v>
      </c>
      <c r="AK354">
        <v>6037</v>
      </c>
      <c r="AL354">
        <v>12384</v>
      </c>
      <c r="AM354">
        <v>53587</v>
      </c>
      <c r="AN354">
        <v>160946</v>
      </c>
      <c r="AO354">
        <v>217431</v>
      </c>
      <c r="AP354">
        <v>1</v>
      </c>
      <c r="AQ354">
        <v>5</v>
      </c>
      <c r="AR354">
        <v>3</v>
      </c>
      <c r="AS354">
        <v>6</v>
      </c>
      <c r="AT354">
        <v>3</v>
      </c>
      <c r="AU354">
        <v>8</v>
      </c>
      <c r="AV354">
        <v>9</v>
      </c>
      <c r="AW354">
        <v>0</v>
      </c>
      <c r="AX354">
        <v>1</v>
      </c>
      <c r="AY354">
        <v>0</v>
      </c>
      <c r="AZ354">
        <v>0</v>
      </c>
      <c r="BA354">
        <v>12</v>
      </c>
      <c r="BB354">
        <v>28</v>
      </c>
      <c r="BC354">
        <v>6</v>
      </c>
      <c r="BD354">
        <v>4</v>
      </c>
      <c r="BE354">
        <v>0</v>
      </c>
      <c r="BF354">
        <v>4</v>
      </c>
      <c r="BG354">
        <v>0</v>
      </c>
      <c r="BH354">
        <v>4</v>
      </c>
      <c r="BI354">
        <v>0</v>
      </c>
      <c r="BJ354">
        <v>44.781359299999998</v>
      </c>
      <c r="BK354">
        <v>10.341948500000001</v>
      </c>
      <c r="BL354">
        <v>600</v>
      </c>
      <c r="BM354" t="s">
        <v>83</v>
      </c>
      <c r="BN354" t="s">
        <v>84</v>
      </c>
      <c r="BO354" t="s">
        <v>85</v>
      </c>
      <c r="BP354" t="s">
        <v>160</v>
      </c>
      <c r="BQ354" t="s">
        <v>170</v>
      </c>
      <c r="BR354" t="s">
        <v>171</v>
      </c>
      <c r="BS354">
        <v>1325383</v>
      </c>
      <c r="BT354">
        <v>0</v>
      </c>
      <c r="BU354">
        <v>0</v>
      </c>
      <c r="BV354">
        <v>477327</v>
      </c>
      <c r="BW354">
        <v>0</v>
      </c>
      <c r="BX354">
        <v>727306</v>
      </c>
      <c r="BY354">
        <v>120750</v>
      </c>
      <c r="BZ354">
        <v>1</v>
      </c>
      <c r="CA354" t="s">
        <v>549</v>
      </c>
      <c r="CB354" t="s">
        <v>550</v>
      </c>
      <c r="CC354" s="3">
        <v>46092.557106481479</v>
      </c>
      <c r="CD354" t="s">
        <v>91</v>
      </c>
    </row>
    <row r="355" spans="1:82" ht="16" x14ac:dyDescent="0.2">
      <c r="A355" t="s">
        <v>551</v>
      </c>
      <c r="B355" t="s">
        <v>552</v>
      </c>
      <c r="C355" t="s">
        <v>423</v>
      </c>
      <c r="D355" t="s">
        <v>78</v>
      </c>
      <c r="E355" t="s">
        <v>553</v>
      </c>
      <c r="F355">
        <v>2</v>
      </c>
      <c r="G355">
        <v>300</v>
      </c>
      <c r="H355" t="str">
        <f t="shared" si="36"/>
        <v>2x300</v>
      </c>
      <c r="I355">
        <v>194</v>
      </c>
      <c r="J355" s="4">
        <f t="shared" si="37"/>
        <v>5.3888888888888882E-2</v>
      </c>
      <c r="K355">
        <v>294</v>
      </c>
      <c r="L355" s="4">
        <f t="shared" si="38"/>
        <v>8.1666666666666665E-2</v>
      </c>
      <c r="M355">
        <v>445</v>
      </c>
      <c r="N355" s="4">
        <f t="shared" si="39"/>
        <v>0.12361111111111112</v>
      </c>
      <c r="O355">
        <v>888</v>
      </c>
      <c r="P355" s="4">
        <f t="shared" si="40"/>
        <v>0.24666666666666667</v>
      </c>
      <c r="Q355" s="6">
        <f t="shared" si="35"/>
        <v>2035</v>
      </c>
      <c r="R355" s="6">
        <f t="shared" si="41"/>
        <v>4</v>
      </c>
      <c r="S355">
        <v>156</v>
      </c>
      <c r="T355">
        <v>21</v>
      </c>
      <c r="U355">
        <v>-20</v>
      </c>
      <c r="V355">
        <v>-3</v>
      </c>
      <c r="W355">
        <v>1</v>
      </c>
      <c r="X355">
        <v>64</v>
      </c>
      <c r="Y355" s="2" t="s">
        <v>554</v>
      </c>
      <c r="Z355">
        <v>43.4522209</v>
      </c>
      <c r="AA355">
        <v>11.88124</v>
      </c>
      <c r="AB355" t="s">
        <v>78</v>
      </c>
      <c r="AC355" t="s">
        <v>81</v>
      </c>
      <c r="AD355" t="s">
        <v>82</v>
      </c>
      <c r="AE355">
        <v>46565</v>
      </c>
      <c r="AF355">
        <v>0</v>
      </c>
      <c r="AG355">
        <v>15028</v>
      </c>
      <c r="AH355">
        <v>18399</v>
      </c>
      <c r="AI355">
        <v>5991</v>
      </c>
      <c r="AJ355">
        <v>5404</v>
      </c>
      <c r="AK355">
        <v>1743</v>
      </c>
      <c r="AL355">
        <v>12627</v>
      </c>
      <c r="AM355">
        <v>39989</v>
      </c>
      <c r="AN355">
        <v>73253</v>
      </c>
      <c r="AO355">
        <v>102463</v>
      </c>
      <c r="AP355">
        <v>0</v>
      </c>
      <c r="AQ355">
        <v>0</v>
      </c>
      <c r="AR355">
        <v>1</v>
      </c>
      <c r="AS355">
        <v>2</v>
      </c>
      <c r="AT355">
        <v>1</v>
      </c>
      <c r="AU355">
        <v>19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10</v>
      </c>
      <c r="BB355">
        <v>20</v>
      </c>
      <c r="BC355">
        <v>10</v>
      </c>
      <c r="BD355">
        <v>0</v>
      </c>
      <c r="BE355">
        <v>0</v>
      </c>
      <c r="BF355">
        <v>0</v>
      </c>
      <c r="BG355">
        <v>0</v>
      </c>
      <c r="BH355">
        <v>2</v>
      </c>
      <c r="BI355">
        <v>0</v>
      </c>
      <c r="BJ355">
        <v>43.452114399999999</v>
      </c>
      <c r="BK355">
        <v>11.8813212</v>
      </c>
      <c r="BL355">
        <v>600</v>
      </c>
      <c r="BM355" t="s">
        <v>83</v>
      </c>
      <c r="BN355" t="s">
        <v>84</v>
      </c>
      <c r="BO355" t="s">
        <v>85</v>
      </c>
      <c r="BP355" t="s">
        <v>86</v>
      </c>
      <c r="BQ355" t="s">
        <v>212</v>
      </c>
      <c r="BR355" t="s">
        <v>423</v>
      </c>
      <c r="BS355">
        <v>931456</v>
      </c>
      <c r="BT355">
        <v>0</v>
      </c>
      <c r="BU355">
        <v>300580</v>
      </c>
      <c r="BV355">
        <v>368041</v>
      </c>
      <c r="BW355">
        <v>119832</v>
      </c>
      <c r="BX355">
        <v>108114</v>
      </c>
      <c r="BY355">
        <v>34889</v>
      </c>
      <c r="BZ355">
        <v>1</v>
      </c>
      <c r="CA355" t="s">
        <v>555</v>
      </c>
      <c r="CB355" t="s">
        <v>556</v>
      </c>
      <c r="CC355" s="3">
        <v>46092.557106481479</v>
      </c>
      <c r="CD355" t="s">
        <v>91</v>
      </c>
    </row>
    <row r="356" spans="1:82" ht="16" x14ac:dyDescent="0.2">
      <c r="A356" t="s">
        <v>557</v>
      </c>
      <c r="B356" t="s">
        <v>558</v>
      </c>
      <c r="C356" t="s">
        <v>559</v>
      </c>
      <c r="D356" t="s">
        <v>78</v>
      </c>
      <c r="E356" t="s">
        <v>560</v>
      </c>
      <c r="F356">
        <v>2</v>
      </c>
      <c r="G356">
        <v>300</v>
      </c>
      <c r="H356" t="str">
        <f t="shared" si="36"/>
        <v>2x300</v>
      </c>
      <c r="I356">
        <v>193</v>
      </c>
      <c r="J356" s="4">
        <f t="shared" si="37"/>
        <v>5.3611111111111109E-2</v>
      </c>
      <c r="K356">
        <v>292</v>
      </c>
      <c r="L356" s="4">
        <f t="shared" si="38"/>
        <v>8.111111111111112E-2</v>
      </c>
      <c r="M356">
        <v>442</v>
      </c>
      <c r="N356" s="4">
        <f t="shared" si="39"/>
        <v>0.12277777777777778</v>
      </c>
      <c r="O356">
        <v>883</v>
      </c>
      <c r="P356" s="4">
        <f t="shared" si="40"/>
        <v>0.24527777777777779</v>
      </c>
      <c r="Q356" s="6">
        <f t="shared" si="35"/>
        <v>2035</v>
      </c>
      <c r="R356" s="6">
        <f t="shared" si="41"/>
        <v>4</v>
      </c>
      <c r="S356">
        <v>156</v>
      </c>
      <c r="T356">
        <v>-54</v>
      </c>
      <c r="U356">
        <v>140</v>
      </c>
      <c r="V356">
        <v>-74</v>
      </c>
      <c r="W356">
        <v>1</v>
      </c>
      <c r="X356">
        <v>40</v>
      </c>
      <c r="Y356" s="2" t="s">
        <v>561</v>
      </c>
      <c r="Z356">
        <v>41.833170000000003</v>
      </c>
      <c r="AA356">
        <v>12.50034</v>
      </c>
      <c r="AB356" t="s">
        <v>78</v>
      </c>
      <c r="AC356" t="s">
        <v>81</v>
      </c>
      <c r="AD356" t="s">
        <v>82</v>
      </c>
      <c r="AE356">
        <v>18020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18020</v>
      </c>
      <c r="AL356">
        <v>16426</v>
      </c>
      <c r="AM356">
        <v>62963</v>
      </c>
      <c r="AN356">
        <v>374829</v>
      </c>
      <c r="AO356">
        <v>1537591</v>
      </c>
      <c r="AP356">
        <v>1</v>
      </c>
      <c r="AQ356">
        <v>0</v>
      </c>
      <c r="AR356">
        <v>4</v>
      </c>
      <c r="AS356">
        <v>1</v>
      </c>
      <c r="AT356">
        <v>5</v>
      </c>
      <c r="AU356">
        <v>30</v>
      </c>
      <c r="AV356">
        <v>0</v>
      </c>
      <c r="AW356">
        <v>0</v>
      </c>
      <c r="AX356">
        <v>0</v>
      </c>
      <c r="AY356">
        <v>2</v>
      </c>
      <c r="AZ356">
        <v>4</v>
      </c>
      <c r="BA356">
        <v>20</v>
      </c>
      <c r="BB356">
        <v>88</v>
      </c>
      <c r="BC356">
        <v>12</v>
      </c>
      <c r="BD356">
        <v>0</v>
      </c>
      <c r="BE356">
        <v>0</v>
      </c>
      <c r="BF356">
        <v>0</v>
      </c>
      <c r="BG356">
        <v>0</v>
      </c>
      <c r="BH356">
        <v>20</v>
      </c>
      <c r="BI356">
        <v>0</v>
      </c>
      <c r="BJ356">
        <v>41.83314</v>
      </c>
      <c r="BK356">
        <v>12.50041</v>
      </c>
      <c r="BL356">
        <v>600</v>
      </c>
      <c r="BM356" t="s">
        <v>83</v>
      </c>
      <c r="BN356" t="s">
        <v>84</v>
      </c>
      <c r="BO356" t="s">
        <v>85</v>
      </c>
      <c r="BP356" t="s">
        <v>86</v>
      </c>
      <c r="BQ356" t="s">
        <v>87</v>
      </c>
      <c r="BR356" t="s">
        <v>88</v>
      </c>
      <c r="BS356">
        <v>360412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360412</v>
      </c>
      <c r="BZ356">
        <v>1</v>
      </c>
      <c r="CA356" t="s">
        <v>562</v>
      </c>
      <c r="CB356" t="s">
        <v>563</v>
      </c>
      <c r="CC356" s="3">
        <v>46092.557106481479</v>
      </c>
      <c r="CD356" t="s">
        <v>91</v>
      </c>
    </row>
    <row r="357" spans="1:82" ht="16" x14ac:dyDescent="0.2">
      <c r="A357" t="s">
        <v>564</v>
      </c>
      <c r="B357" t="s">
        <v>565</v>
      </c>
      <c r="C357" t="s">
        <v>566</v>
      </c>
      <c r="D357" t="s">
        <v>78</v>
      </c>
      <c r="E357" t="s">
        <v>567</v>
      </c>
      <c r="F357">
        <v>2</v>
      </c>
      <c r="G357">
        <v>300</v>
      </c>
      <c r="H357" t="str">
        <f t="shared" si="36"/>
        <v>2x300</v>
      </c>
      <c r="I357">
        <v>192</v>
      </c>
      <c r="J357" s="4">
        <f t="shared" si="37"/>
        <v>5.3333333333333337E-2</v>
      </c>
      <c r="K357">
        <v>290</v>
      </c>
      <c r="L357" s="4">
        <f t="shared" si="38"/>
        <v>8.0555555555555561E-2</v>
      </c>
      <c r="M357">
        <v>440</v>
      </c>
      <c r="N357" s="4">
        <f t="shared" si="39"/>
        <v>0.12222222222222222</v>
      </c>
      <c r="O357">
        <v>878</v>
      </c>
      <c r="P357" s="4">
        <f t="shared" si="40"/>
        <v>0.24388888888888891</v>
      </c>
      <c r="Q357" s="6">
        <f t="shared" si="35"/>
        <v>2035</v>
      </c>
      <c r="R357" s="6">
        <f t="shared" si="41"/>
        <v>4</v>
      </c>
      <c r="S357">
        <v>156</v>
      </c>
      <c r="T357">
        <v>9</v>
      </c>
      <c r="U357">
        <v>-5</v>
      </c>
      <c r="V357">
        <v>3</v>
      </c>
      <c r="W357">
        <v>-7</v>
      </c>
      <c r="X357">
        <v>59</v>
      </c>
      <c r="Y357" s="2" t="s">
        <v>568</v>
      </c>
      <c r="Z357">
        <v>44.415803894806899</v>
      </c>
      <c r="AA357">
        <v>8.8660335355824298</v>
      </c>
      <c r="AB357" t="s">
        <v>78</v>
      </c>
      <c r="AC357" t="s">
        <v>81</v>
      </c>
      <c r="AD357" t="s">
        <v>82</v>
      </c>
      <c r="AE357">
        <v>60337</v>
      </c>
      <c r="AF357">
        <v>0</v>
      </c>
      <c r="AG357">
        <v>0</v>
      </c>
      <c r="AH357">
        <v>37816</v>
      </c>
      <c r="AI357">
        <v>0</v>
      </c>
      <c r="AJ357">
        <v>20349</v>
      </c>
      <c r="AK357">
        <v>2172</v>
      </c>
      <c r="AL357">
        <v>12388</v>
      </c>
      <c r="AM357">
        <v>50822</v>
      </c>
      <c r="AN357">
        <v>207291</v>
      </c>
      <c r="AO357">
        <v>517022</v>
      </c>
      <c r="AP357">
        <v>0</v>
      </c>
      <c r="AQ357">
        <v>1</v>
      </c>
      <c r="AR357">
        <v>5</v>
      </c>
      <c r="AS357">
        <v>7</v>
      </c>
      <c r="AT357">
        <v>7</v>
      </c>
      <c r="AU357">
        <v>33</v>
      </c>
      <c r="AV357">
        <v>2</v>
      </c>
      <c r="AW357">
        <v>0</v>
      </c>
      <c r="AX357">
        <v>4</v>
      </c>
      <c r="AY357">
        <v>1</v>
      </c>
      <c r="AZ357">
        <v>0</v>
      </c>
      <c r="BA357">
        <v>4</v>
      </c>
      <c r="BB357">
        <v>52</v>
      </c>
      <c r="BC357">
        <v>0</v>
      </c>
      <c r="BD357">
        <v>4</v>
      </c>
      <c r="BE357">
        <v>0</v>
      </c>
      <c r="BF357">
        <v>6</v>
      </c>
      <c r="BG357">
        <v>0</v>
      </c>
      <c r="BH357">
        <v>22</v>
      </c>
      <c r="BI357">
        <v>0</v>
      </c>
      <c r="BJ357">
        <v>44.415798299999999</v>
      </c>
      <c r="BK357">
        <v>8.8660335999999997</v>
      </c>
      <c r="BL357">
        <v>600</v>
      </c>
      <c r="BM357" t="s">
        <v>83</v>
      </c>
      <c r="BN357" t="s">
        <v>84</v>
      </c>
      <c r="BO357" t="s">
        <v>85</v>
      </c>
      <c r="BP357" t="s">
        <v>107</v>
      </c>
      <c r="BQ357" t="s">
        <v>569</v>
      </c>
      <c r="BR357" t="s">
        <v>570</v>
      </c>
      <c r="BS357">
        <v>1354297</v>
      </c>
      <c r="BT357">
        <v>0</v>
      </c>
      <c r="BU357">
        <v>0</v>
      </c>
      <c r="BV357">
        <v>903841</v>
      </c>
      <c r="BW357">
        <v>0</v>
      </c>
      <c r="BX357">
        <v>407009</v>
      </c>
      <c r="BY357">
        <v>43447</v>
      </c>
      <c r="BZ357">
        <v>1</v>
      </c>
      <c r="CA357" t="s">
        <v>571</v>
      </c>
      <c r="CB357" t="s">
        <v>572</v>
      </c>
      <c r="CC357" s="3">
        <v>46092.557106481479</v>
      </c>
      <c r="CD357" t="s">
        <v>91</v>
      </c>
    </row>
    <row r="358" spans="1:82" ht="16" x14ac:dyDescent="0.2">
      <c r="A358" t="s">
        <v>573</v>
      </c>
      <c r="B358" t="s">
        <v>574</v>
      </c>
      <c r="C358" t="s">
        <v>575</v>
      </c>
      <c r="D358" t="s">
        <v>78</v>
      </c>
      <c r="E358" t="s">
        <v>576</v>
      </c>
      <c r="F358">
        <v>2</v>
      </c>
      <c r="G358">
        <v>300</v>
      </c>
      <c r="H358" t="str">
        <f t="shared" si="36"/>
        <v>2x300</v>
      </c>
      <c r="I358">
        <v>192</v>
      </c>
      <c r="J358" s="4">
        <f t="shared" si="37"/>
        <v>5.3333333333333337E-2</v>
      </c>
      <c r="K358">
        <v>290</v>
      </c>
      <c r="L358" s="4">
        <f t="shared" si="38"/>
        <v>8.0555555555555561E-2</v>
      </c>
      <c r="M358">
        <v>439</v>
      </c>
      <c r="N358" s="4">
        <f t="shared" si="39"/>
        <v>0.12194444444444445</v>
      </c>
      <c r="O358">
        <v>877</v>
      </c>
      <c r="P358" s="4">
        <f t="shared" si="40"/>
        <v>0.24361111111111111</v>
      </c>
      <c r="Q358" s="6">
        <f t="shared" si="35"/>
        <v>2035</v>
      </c>
      <c r="R358" s="6">
        <f t="shared" si="41"/>
        <v>4</v>
      </c>
      <c r="S358">
        <v>156</v>
      </c>
      <c r="T358">
        <v>44</v>
      </c>
      <c r="U358">
        <v>-25</v>
      </c>
      <c r="V358">
        <v>-6</v>
      </c>
      <c r="W358">
        <v>-17</v>
      </c>
      <c r="X358">
        <v>63</v>
      </c>
      <c r="Y358" s="2" t="s">
        <v>577</v>
      </c>
      <c r="Z358">
        <v>44.722234870075397</v>
      </c>
      <c r="AA358">
        <v>10.622212249077</v>
      </c>
      <c r="AB358" t="s">
        <v>78</v>
      </c>
      <c r="AC358" t="s">
        <v>81</v>
      </c>
      <c r="AD358" t="s">
        <v>82</v>
      </c>
      <c r="AE358">
        <v>65151</v>
      </c>
      <c r="AF358">
        <v>0</v>
      </c>
      <c r="AG358">
        <v>0</v>
      </c>
      <c r="AH358">
        <v>18080</v>
      </c>
      <c r="AI358">
        <v>42593</v>
      </c>
      <c r="AJ358">
        <v>4478</v>
      </c>
      <c r="AK358">
        <v>0</v>
      </c>
      <c r="AL358">
        <v>2871</v>
      </c>
      <c r="AM358">
        <v>15456</v>
      </c>
      <c r="AN358">
        <v>113992</v>
      </c>
      <c r="AO358">
        <v>201574</v>
      </c>
      <c r="AP358">
        <v>1</v>
      </c>
      <c r="AQ358">
        <v>2</v>
      </c>
      <c r="AR358">
        <v>2</v>
      </c>
      <c r="AS358">
        <v>2</v>
      </c>
      <c r="AT358">
        <v>0</v>
      </c>
      <c r="AU358">
        <v>10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33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8</v>
      </c>
      <c r="BI358">
        <v>0</v>
      </c>
      <c r="BJ358">
        <v>44.722169899999997</v>
      </c>
      <c r="BK358">
        <v>10.6227099</v>
      </c>
      <c r="BL358">
        <v>600</v>
      </c>
      <c r="BM358" t="s">
        <v>83</v>
      </c>
      <c r="BN358" t="s">
        <v>84</v>
      </c>
      <c r="BO358" t="s">
        <v>85</v>
      </c>
      <c r="BP358" t="s">
        <v>160</v>
      </c>
      <c r="BQ358" t="s">
        <v>170</v>
      </c>
      <c r="BR358" t="s">
        <v>578</v>
      </c>
      <c r="BS358">
        <v>1431134</v>
      </c>
      <c r="BT358">
        <v>0</v>
      </c>
      <c r="BU358">
        <v>0</v>
      </c>
      <c r="BV358">
        <v>361616</v>
      </c>
      <c r="BW358">
        <v>979936</v>
      </c>
      <c r="BX358">
        <v>89582</v>
      </c>
      <c r="BY358">
        <v>0</v>
      </c>
      <c r="BZ358">
        <v>1</v>
      </c>
      <c r="CA358" t="s">
        <v>579</v>
      </c>
      <c r="CB358" t="s">
        <v>580</v>
      </c>
      <c r="CC358" s="3">
        <v>46092.557106481479</v>
      </c>
      <c r="CD358" t="s">
        <v>91</v>
      </c>
    </row>
    <row r="359" spans="1:82" ht="16" x14ac:dyDescent="0.2">
      <c r="A359" t="s">
        <v>581</v>
      </c>
      <c r="B359" t="s">
        <v>582</v>
      </c>
      <c r="C359" t="s">
        <v>583</v>
      </c>
      <c r="D359" t="s">
        <v>78</v>
      </c>
      <c r="E359" t="s">
        <v>584</v>
      </c>
      <c r="F359">
        <v>2</v>
      </c>
      <c r="G359">
        <v>300</v>
      </c>
      <c r="H359" t="str">
        <f t="shared" si="36"/>
        <v>2x300</v>
      </c>
      <c r="I359">
        <v>191</v>
      </c>
      <c r="J359" s="4">
        <f t="shared" si="37"/>
        <v>5.3055555555555557E-2</v>
      </c>
      <c r="K359">
        <v>289</v>
      </c>
      <c r="L359" s="4">
        <f t="shared" si="38"/>
        <v>8.0277777777777781E-2</v>
      </c>
      <c r="M359">
        <v>438</v>
      </c>
      <c r="N359" s="4">
        <f t="shared" si="39"/>
        <v>0.12166666666666666</v>
      </c>
      <c r="O359">
        <v>873</v>
      </c>
      <c r="P359" s="4">
        <f t="shared" si="40"/>
        <v>0.24250000000000002</v>
      </c>
      <c r="Q359" s="6">
        <f t="shared" si="35"/>
        <v>2035</v>
      </c>
      <c r="R359" s="6">
        <f t="shared" si="41"/>
        <v>4</v>
      </c>
      <c r="S359">
        <v>156</v>
      </c>
      <c r="T359">
        <v>31</v>
      </c>
      <c r="U359">
        <v>-17</v>
      </c>
      <c r="V359">
        <v>-7</v>
      </c>
      <c r="W359">
        <v>-15</v>
      </c>
      <c r="X359">
        <v>70</v>
      </c>
      <c r="Y359" s="2" t="s">
        <v>585</v>
      </c>
      <c r="Z359">
        <v>45.589790000000001</v>
      </c>
      <c r="AA359">
        <v>9.8967399999999994</v>
      </c>
      <c r="AB359" t="s">
        <v>78</v>
      </c>
      <c r="AC359" t="s">
        <v>81</v>
      </c>
      <c r="AD359" t="s">
        <v>82</v>
      </c>
      <c r="AE359">
        <v>16875</v>
      </c>
      <c r="AF359">
        <v>0</v>
      </c>
      <c r="AG359">
        <v>0</v>
      </c>
      <c r="AH359">
        <v>0</v>
      </c>
      <c r="AI359">
        <v>15353</v>
      </c>
      <c r="AJ359">
        <v>1522</v>
      </c>
      <c r="AK359">
        <v>0</v>
      </c>
      <c r="AL359">
        <v>4678</v>
      </c>
      <c r="AM359">
        <v>14005</v>
      </c>
      <c r="AN359">
        <v>49695</v>
      </c>
      <c r="AO359">
        <v>200002</v>
      </c>
      <c r="AP359">
        <v>1</v>
      </c>
      <c r="AQ359">
        <v>0</v>
      </c>
      <c r="AR359">
        <v>2</v>
      </c>
      <c r="AS359">
        <v>8</v>
      </c>
      <c r="AT359">
        <v>0</v>
      </c>
      <c r="AU359">
        <v>7</v>
      </c>
      <c r="AV359">
        <v>1</v>
      </c>
      <c r="AW359">
        <v>1</v>
      </c>
      <c r="AX359">
        <v>0</v>
      </c>
      <c r="AY359">
        <v>0</v>
      </c>
      <c r="AZ359">
        <v>0</v>
      </c>
      <c r="BA359">
        <v>8</v>
      </c>
      <c r="BB359">
        <v>15</v>
      </c>
      <c r="BC359">
        <v>4</v>
      </c>
      <c r="BD359">
        <v>6</v>
      </c>
      <c r="BE359">
        <v>0</v>
      </c>
      <c r="BF359">
        <v>6</v>
      </c>
      <c r="BG359">
        <v>0</v>
      </c>
      <c r="BH359">
        <v>6</v>
      </c>
      <c r="BI359">
        <v>0</v>
      </c>
      <c r="BJ359">
        <v>45.589811699999998</v>
      </c>
      <c r="BK359">
        <v>9.8967262999999992</v>
      </c>
      <c r="BL359">
        <v>600</v>
      </c>
      <c r="BM359" t="s">
        <v>83</v>
      </c>
      <c r="BN359" t="s">
        <v>84</v>
      </c>
      <c r="BO359" t="s">
        <v>85</v>
      </c>
      <c r="BP359" t="s">
        <v>107</v>
      </c>
      <c r="BQ359" t="s">
        <v>108</v>
      </c>
      <c r="BR359" t="s">
        <v>179</v>
      </c>
      <c r="BS359">
        <v>337524</v>
      </c>
      <c r="BT359">
        <v>0</v>
      </c>
      <c r="BU359">
        <v>0</v>
      </c>
      <c r="BV359">
        <v>0</v>
      </c>
      <c r="BW359">
        <v>307071</v>
      </c>
      <c r="BX359">
        <v>30453</v>
      </c>
      <c r="BY359">
        <v>0</v>
      </c>
      <c r="BZ359">
        <v>1</v>
      </c>
      <c r="CA359" t="s">
        <v>586</v>
      </c>
      <c r="CB359" t="s">
        <v>587</v>
      </c>
      <c r="CC359" s="3">
        <v>46092.557106481479</v>
      </c>
      <c r="CD359" t="s">
        <v>91</v>
      </c>
    </row>
    <row r="360" spans="1:82" ht="16" x14ac:dyDescent="0.2">
      <c r="A360" t="s">
        <v>588</v>
      </c>
      <c r="B360" t="s">
        <v>589</v>
      </c>
      <c r="C360" t="s">
        <v>590</v>
      </c>
      <c r="D360" t="s">
        <v>78</v>
      </c>
      <c r="E360" t="s">
        <v>591</v>
      </c>
      <c r="F360">
        <v>2</v>
      </c>
      <c r="G360">
        <v>300</v>
      </c>
      <c r="H360" t="str">
        <f t="shared" si="36"/>
        <v>2x300</v>
      </c>
      <c r="I360">
        <v>189</v>
      </c>
      <c r="J360" s="4">
        <f t="shared" si="37"/>
        <v>5.2499999999999998E-2</v>
      </c>
      <c r="K360">
        <v>286</v>
      </c>
      <c r="L360" s="4">
        <f t="shared" si="38"/>
        <v>7.9444444444444443E-2</v>
      </c>
      <c r="M360">
        <v>433</v>
      </c>
      <c r="N360" s="4">
        <f t="shared" si="39"/>
        <v>0.12027777777777778</v>
      </c>
      <c r="O360">
        <v>865</v>
      </c>
      <c r="P360" s="4">
        <f t="shared" si="40"/>
        <v>0.24027777777777778</v>
      </c>
      <c r="Q360" s="6">
        <f t="shared" si="35"/>
        <v>2035</v>
      </c>
      <c r="R360" s="6">
        <f t="shared" si="41"/>
        <v>4</v>
      </c>
      <c r="S360">
        <v>156</v>
      </c>
      <c r="T360">
        <v>19</v>
      </c>
      <c r="U360">
        <v>-21</v>
      </c>
      <c r="V360">
        <v>11</v>
      </c>
      <c r="W360">
        <v>-11</v>
      </c>
      <c r="X360">
        <v>61</v>
      </c>
      <c r="Y360" s="2" t="s">
        <v>592</v>
      </c>
      <c r="Z360">
        <v>45.393527400000004</v>
      </c>
      <c r="AA360">
        <v>11.031562600000001</v>
      </c>
      <c r="AB360" t="s">
        <v>78</v>
      </c>
      <c r="AC360" t="s">
        <v>81</v>
      </c>
      <c r="AD360" t="s">
        <v>82</v>
      </c>
      <c r="AE360">
        <v>69324</v>
      </c>
      <c r="AF360">
        <v>0</v>
      </c>
      <c r="AG360">
        <v>0</v>
      </c>
      <c r="AH360">
        <v>43630</v>
      </c>
      <c r="AI360">
        <v>15353</v>
      </c>
      <c r="AJ360">
        <v>10341</v>
      </c>
      <c r="AK360">
        <v>0</v>
      </c>
      <c r="AL360">
        <v>4063</v>
      </c>
      <c r="AM360">
        <v>14149</v>
      </c>
      <c r="AN360">
        <v>87257</v>
      </c>
      <c r="AO360">
        <v>338447</v>
      </c>
      <c r="AP360">
        <v>1</v>
      </c>
      <c r="AQ360">
        <v>0</v>
      </c>
      <c r="AR360">
        <v>8</v>
      </c>
      <c r="AS360">
        <v>18</v>
      </c>
      <c r="AT360">
        <v>1</v>
      </c>
      <c r="AU360">
        <v>27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6</v>
      </c>
      <c r="BB360">
        <v>10</v>
      </c>
      <c r="BC360">
        <v>5</v>
      </c>
      <c r="BD360">
        <v>6</v>
      </c>
      <c r="BE360">
        <v>0</v>
      </c>
      <c r="BF360">
        <v>8</v>
      </c>
      <c r="BG360">
        <v>0</v>
      </c>
      <c r="BH360">
        <v>8</v>
      </c>
      <c r="BI360">
        <v>0</v>
      </c>
      <c r="BJ360">
        <v>45.393520000000002</v>
      </c>
      <c r="BK360">
        <v>11.031560000000001</v>
      </c>
      <c r="BL360">
        <v>600</v>
      </c>
      <c r="BM360" t="s">
        <v>83</v>
      </c>
      <c r="BN360" t="s">
        <v>84</v>
      </c>
      <c r="BO360" t="s">
        <v>85</v>
      </c>
      <c r="BP360" t="s">
        <v>160</v>
      </c>
      <c r="BQ360" t="s">
        <v>161</v>
      </c>
      <c r="BR360" t="s">
        <v>162</v>
      </c>
      <c r="BS360">
        <v>1648350</v>
      </c>
      <c r="BT360">
        <v>0</v>
      </c>
      <c r="BU360">
        <v>0</v>
      </c>
      <c r="BV360">
        <v>1134408</v>
      </c>
      <c r="BW360">
        <v>307091</v>
      </c>
      <c r="BX360">
        <v>206851</v>
      </c>
      <c r="BY360">
        <v>0</v>
      </c>
      <c r="BZ360">
        <v>1</v>
      </c>
      <c r="CA360" t="s">
        <v>593</v>
      </c>
      <c r="CB360" t="s">
        <v>594</v>
      </c>
      <c r="CC360" s="3">
        <v>46092.557106481479</v>
      </c>
      <c r="CD360" t="s">
        <v>91</v>
      </c>
    </row>
    <row r="361" spans="1:82" ht="16" x14ac:dyDescent="0.2">
      <c r="A361" t="s">
        <v>1076</v>
      </c>
      <c r="B361" t="s">
        <v>427</v>
      </c>
      <c r="C361" t="s">
        <v>428</v>
      </c>
      <c r="D361" t="s">
        <v>78</v>
      </c>
      <c r="E361" t="s">
        <v>429</v>
      </c>
      <c r="F361">
        <v>2</v>
      </c>
      <c r="G361">
        <v>150</v>
      </c>
      <c r="H361" t="str">
        <f t="shared" si="36"/>
        <v>2x150</v>
      </c>
      <c r="I361">
        <v>189</v>
      </c>
      <c r="J361" s="4">
        <f t="shared" si="37"/>
        <v>6.0576923076923077E-2</v>
      </c>
      <c r="K361">
        <v>286</v>
      </c>
      <c r="L361" s="4">
        <f t="shared" si="38"/>
        <v>9.1666666666666674E-2</v>
      </c>
      <c r="M361">
        <v>433</v>
      </c>
      <c r="N361" s="4">
        <f t="shared" si="39"/>
        <v>0.13878205128205129</v>
      </c>
      <c r="O361">
        <v>864</v>
      </c>
      <c r="P361" s="4">
        <f t="shared" si="40"/>
        <v>0.27692307692307694</v>
      </c>
      <c r="Q361" s="6">
        <f t="shared" si="35"/>
        <v>2035</v>
      </c>
      <c r="R361" s="6">
        <f t="shared" si="41"/>
        <v>4</v>
      </c>
      <c r="S361">
        <v>135</v>
      </c>
      <c r="T361">
        <v>55</v>
      </c>
      <c r="U361">
        <v>-16</v>
      </c>
      <c r="V361">
        <v>-25</v>
      </c>
      <c r="W361">
        <v>2</v>
      </c>
      <c r="X361">
        <v>64</v>
      </c>
      <c r="Y361" s="2" t="s">
        <v>430</v>
      </c>
      <c r="Z361">
        <v>45.648725403241002</v>
      </c>
      <c r="AA361">
        <v>12.311449886505301</v>
      </c>
      <c r="AB361" t="s">
        <v>78</v>
      </c>
      <c r="AC361" t="s">
        <v>81</v>
      </c>
      <c r="AD361" t="s">
        <v>82</v>
      </c>
      <c r="AE361">
        <v>103576</v>
      </c>
      <c r="AF361">
        <v>57988</v>
      </c>
      <c r="AG361">
        <v>0</v>
      </c>
      <c r="AH361">
        <v>22600</v>
      </c>
      <c r="AI361">
        <v>19027</v>
      </c>
      <c r="AJ361">
        <v>3961</v>
      </c>
      <c r="AK361">
        <v>0</v>
      </c>
      <c r="AL361">
        <v>1601</v>
      </c>
      <c r="AM361">
        <v>7961</v>
      </c>
      <c r="AN361">
        <v>54450</v>
      </c>
      <c r="AO361">
        <v>211501</v>
      </c>
      <c r="AP361">
        <v>0</v>
      </c>
      <c r="AQ361">
        <v>0</v>
      </c>
      <c r="AR361">
        <v>2</v>
      </c>
      <c r="AS361">
        <v>2</v>
      </c>
      <c r="AT361">
        <v>0</v>
      </c>
      <c r="AU361">
        <v>23</v>
      </c>
      <c r="AV361">
        <v>3</v>
      </c>
      <c r="AW361">
        <v>0</v>
      </c>
      <c r="AX361">
        <v>0</v>
      </c>
      <c r="AY361">
        <v>0</v>
      </c>
      <c r="AZ361">
        <v>0</v>
      </c>
      <c r="BA361">
        <v>5</v>
      </c>
      <c r="BB361">
        <v>11</v>
      </c>
      <c r="BC361">
        <v>3</v>
      </c>
      <c r="BD361">
        <v>4</v>
      </c>
      <c r="BE361">
        <v>0</v>
      </c>
      <c r="BF361">
        <v>4</v>
      </c>
      <c r="BG361">
        <v>0</v>
      </c>
      <c r="BH361">
        <v>4</v>
      </c>
      <c r="BI361">
        <v>0</v>
      </c>
      <c r="BJ361">
        <v>45.648766100000003</v>
      </c>
      <c r="BK361">
        <v>12.3114645</v>
      </c>
      <c r="BL361">
        <v>300</v>
      </c>
      <c r="BM361" t="s">
        <v>83</v>
      </c>
      <c r="BN361" t="s">
        <v>84</v>
      </c>
      <c r="BO361" t="s">
        <v>85</v>
      </c>
      <c r="BP361" t="s">
        <v>160</v>
      </c>
      <c r="BQ361" t="s">
        <v>161</v>
      </c>
      <c r="BR361" t="s">
        <v>428</v>
      </c>
      <c r="BS361">
        <v>2555112</v>
      </c>
      <c r="BT361">
        <v>1507720</v>
      </c>
      <c r="BU361">
        <v>0</v>
      </c>
      <c r="BV361">
        <v>587606</v>
      </c>
      <c r="BW361">
        <v>380550</v>
      </c>
      <c r="BX361">
        <v>79236</v>
      </c>
      <c r="BY361">
        <v>0</v>
      </c>
      <c r="BZ361">
        <v>1</v>
      </c>
      <c r="CA361" t="s">
        <v>431</v>
      </c>
      <c r="CB361" t="s">
        <v>432</v>
      </c>
      <c r="CC361" s="3">
        <v>46092.557106481479</v>
      </c>
      <c r="CD361" t="s">
        <v>91</v>
      </c>
    </row>
    <row r="362" spans="1:82" ht="16" x14ac:dyDescent="0.2">
      <c r="A362" t="s">
        <v>595</v>
      </c>
      <c r="B362" t="s">
        <v>596</v>
      </c>
      <c r="C362" t="s">
        <v>597</v>
      </c>
      <c r="D362" t="s">
        <v>78</v>
      </c>
      <c r="E362" t="s">
        <v>598</v>
      </c>
      <c r="F362">
        <v>2</v>
      </c>
      <c r="G362">
        <v>300</v>
      </c>
      <c r="H362" t="str">
        <f t="shared" si="36"/>
        <v>2x300</v>
      </c>
      <c r="I362">
        <v>189</v>
      </c>
      <c r="J362" s="4">
        <f t="shared" si="37"/>
        <v>5.2499999999999998E-2</v>
      </c>
      <c r="K362">
        <v>285</v>
      </c>
      <c r="L362" s="4">
        <f t="shared" si="38"/>
        <v>7.9166666666666663E-2</v>
      </c>
      <c r="M362">
        <v>432</v>
      </c>
      <c r="N362" s="4">
        <f t="shared" si="39"/>
        <v>0.12</v>
      </c>
      <c r="O362">
        <v>863</v>
      </c>
      <c r="P362" s="4">
        <f t="shared" si="40"/>
        <v>0.2397222222222222</v>
      </c>
      <c r="Q362" s="6">
        <f t="shared" si="35"/>
        <v>2035</v>
      </c>
      <c r="R362" s="6">
        <f t="shared" si="41"/>
        <v>4</v>
      </c>
      <c r="S362">
        <v>156</v>
      </c>
      <c r="T362">
        <v>45</v>
      </c>
      <c r="U362">
        <v>-21</v>
      </c>
      <c r="V362">
        <v>-35</v>
      </c>
      <c r="W362">
        <v>3</v>
      </c>
      <c r="X362">
        <v>68</v>
      </c>
      <c r="Y362" s="2" t="s">
        <v>599</v>
      </c>
      <c r="Z362">
        <v>45.609499999999997</v>
      </c>
      <c r="AA362">
        <v>10.208</v>
      </c>
      <c r="AB362" t="s">
        <v>78</v>
      </c>
      <c r="AC362" t="s">
        <v>81</v>
      </c>
      <c r="AD362" t="s">
        <v>82</v>
      </c>
      <c r="AE362">
        <v>50945</v>
      </c>
      <c r="AF362">
        <v>0</v>
      </c>
      <c r="AG362">
        <v>0</v>
      </c>
      <c r="AH362">
        <v>0</v>
      </c>
      <c r="AI362">
        <v>37251</v>
      </c>
      <c r="AJ362">
        <v>12491</v>
      </c>
      <c r="AK362">
        <v>1203</v>
      </c>
      <c r="AL362">
        <v>5409</v>
      </c>
      <c r="AM362">
        <v>15201</v>
      </c>
      <c r="AN362">
        <v>72240</v>
      </c>
      <c r="AO362">
        <v>300794</v>
      </c>
      <c r="AP362">
        <v>3</v>
      </c>
      <c r="AQ362">
        <v>0</v>
      </c>
      <c r="AR362">
        <v>4</v>
      </c>
      <c r="AS362">
        <v>6</v>
      </c>
      <c r="AT362">
        <v>0</v>
      </c>
      <c r="AU362">
        <v>23</v>
      </c>
      <c r="AV362">
        <v>22</v>
      </c>
      <c r="AW362">
        <v>2</v>
      </c>
      <c r="AX362">
        <v>0</v>
      </c>
      <c r="AY362">
        <v>0</v>
      </c>
      <c r="AZ362">
        <v>0</v>
      </c>
      <c r="BA362">
        <v>8</v>
      </c>
      <c r="BB362">
        <v>12</v>
      </c>
      <c r="BC362">
        <v>4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45.6094632</v>
      </c>
      <c r="BK362">
        <v>10.207891999999999</v>
      </c>
      <c r="BL362">
        <v>600</v>
      </c>
      <c r="BM362" t="s">
        <v>83</v>
      </c>
      <c r="BN362" t="s">
        <v>84</v>
      </c>
      <c r="BO362" t="s">
        <v>85</v>
      </c>
      <c r="BP362" t="s">
        <v>107</v>
      </c>
      <c r="BQ362" t="s">
        <v>108</v>
      </c>
      <c r="BR362" t="s">
        <v>179</v>
      </c>
      <c r="BS362">
        <v>1019030</v>
      </c>
      <c r="BT362">
        <v>0</v>
      </c>
      <c r="BU362">
        <v>0</v>
      </c>
      <c r="BV362">
        <v>0</v>
      </c>
      <c r="BW362">
        <v>745045</v>
      </c>
      <c r="BX362">
        <v>249902</v>
      </c>
      <c r="BY362">
        <v>24083</v>
      </c>
      <c r="BZ362">
        <v>1</v>
      </c>
      <c r="CA362" t="s">
        <v>600</v>
      </c>
      <c r="CB362" t="s">
        <v>601</v>
      </c>
      <c r="CC362" s="3">
        <v>46092.557106481479</v>
      </c>
      <c r="CD362" t="s">
        <v>91</v>
      </c>
    </row>
    <row r="363" spans="1:82" ht="16" x14ac:dyDescent="0.2">
      <c r="A363" t="s">
        <v>602</v>
      </c>
      <c r="B363" t="s">
        <v>603</v>
      </c>
      <c r="C363" t="s">
        <v>604</v>
      </c>
      <c r="D363" t="s">
        <v>78</v>
      </c>
      <c r="E363" t="s">
        <v>605</v>
      </c>
      <c r="F363">
        <v>2</v>
      </c>
      <c r="G363">
        <v>300</v>
      </c>
      <c r="H363" t="str">
        <f t="shared" si="36"/>
        <v>2x300</v>
      </c>
      <c r="I363">
        <v>189</v>
      </c>
      <c r="J363" s="4">
        <f t="shared" si="37"/>
        <v>5.2499999999999998E-2</v>
      </c>
      <c r="K363">
        <v>285</v>
      </c>
      <c r="L363" s="4">
        <f t="shared" si="38"/>
        <v>7.9166666666666663E-2</v>
      </c>
      <c r="M363">
        <v>432</v>
      </c>
      <c r="N363" s="4">
        <f t="shared" si="39"/>
        <v>0.12</v>
      </c>
      <c r="O363">
        <v>862</v>
      </c>
      <c r="P363" s="4">
        <f t="shared" si="40"/>
        <v>0.23944444444444446</v>
      </c>
      <c r="Q363" s="6">
        <f t="shared" si="35"/>
        <v>2035</v>
      </c>
      <c r="R363" s="6">
        <f t="shared" si="41"/>
        <v>4</v>
      </c>
      <c r="S363">
        <v>156</v>
      </c>
      <c r="T363">
        <v>-14</v>
      </c>
      <c r="U363">
        <v>7</v>
      </c>
      <c r="V363">
        <v>7</v>
      </c>
      <c r="W363">
        <v>1</v>
      </c>
      <c r="X363">
        <v>50</v>
      </c>
      <c r="Y363" s="2" t="s">
        <v>606</v>
      </c>
      <c r="Z363">
        <v>41.803801664339097</v>
      </c>
      <c r="AA363">
        <v>12.6044388625716</v>
      </c>
      <c r="AB363" t="s">
        <v>78</v>
      </c>
      <c r="AC363" t="s">
        <v>81</v>
      </c>
      <c r="AD363" t="s">
        <v>82</v>
      </c>
      <c r="AE363">
        <v>30062</v>
      </c>
      <c r="AF363">
        <v>0</v>
      </c>
      <c r="AG363">
        <v>0</v>
      </c>
      <c r="AH363">
        <v>0</v>
      </c>
      <c r="AI363">
        <v>9940</v>
      </c>
      <c r="AJ363">
        <v>20122</v>
      </c>
      <c r="AK363">
        <v>0</v>
      </c>
      <c r="AL363">
        <v>21399</v>
      </c>
      <c r="AM363">
        <v>50534</v>
      </c>
      <c r="AN363">
        <v>142746</v>
      </c>
      <c r="AO363">
        <v>751416</v>
      </c>
      <c r="AP363">
        <v>5</v>
      </c>
      <c r="AQ363">
        <v>0</v>
      </c>
      <c r="AR363">
        <v>3</v>
      </c>
      <c r="AS363">
        <v>11</v>
      </c>
      <c r="AT363">
        <v>2</v>
      </c>
      <c r="AU363">
        <v>29</v>
      </c>
      <c r="AV363">
        <v>7</v>
      </c>
      <c r="AW363">
        <v>0</v>
      </c>
      <c r="AX363">
        <v>2</v>
      </c>
      <c r="AY363">
        <v>0</v>
      </c>
      <c r="AZ363">
        <v>1</v>
      </c>
      <c r="BA363">
        <v>3</v>
      </c>
      <c r="BB363">
        <v>12</v>
      </c>
      <c r="BC363">
        <v>3</v>
      </c>
      <c r="BD363">
        <v>2</v>
      </c>
      <c r="BE363">
        <v>0</v>
      </c>
      <c r="BF363">
        <v>2</v>
      </c>
      <c r="BG363">
        <v>0</v>
      </c>
      <c r="BH363">
        <v>3</v>
      </c>
      <c r="BI363">
        <v>3</v>
      </c>
      <c r="BJ363">
        <v>41.803869900000002</v>
      </c>
      <c r="BK363">
        <v>12.604340000000001</v>
      </c>
      <c r="BL363">
        <v>600</v>
      </c>
      <c r="BM363" t="s">
        <v>83</v>
      </c>
      <c r="BN363" t="s">
        <v>84</v>
      </c>
      <c r="BO363" t="s">
        <v>85</v>
      </c>
      <c r="BP363" t="s">
        <v>86</v>
      </c>
      <c r="BQ363" t="s">
        <v>87</v>
      </c>
      <c r="BR363" t="s">
        <v>88</v>
      </c>
      <c r="BS363">
        <v>601359</v>
      </c>
      <c r="BT363">
        <v>0</v>
      </c>
      <c r="BU363">
        <v>0</v>
      </c>
      <c r="BV363">
        <v>0</v>
      </c>
      <c r="BW363">
        <v>198814</v>
      </c>
      <c r="BX363">
        <v>402545</v>
      </c>
      <c r="BY363">
        <v>0</v>
      </c>
      <c r="BZ363">
        <v>1</v>
      </c>
      <c r="CA363" t="s">
        <v>607</v>
      </c>
      <c r="CB363" t="s">
        <v>608</v>
      </c>
      <c r="CC363" s="3">
        <v>46092.557106481479</v>
      </c>
      <c r="CD363" t="s">
        <v>91</v>
      </c>
    </row>
    <row r="364" spans="1:82" ht="16" x14ac:dyDescent="0.2">
      <c r="A364" t="s">
        <v>1077</v>
      </c>
      <c r="B364" t="s">
        <v>434</v>
      </c>
      <c r="C364" t="s">
        <v>435</v>
      </c>
      <c r="D364" t="s">
        <v>78</v>
      </c>
      <c r="E364" t="s">
        <v>436</v>
      </c>
      <c r="F364">
        <v>2</v>
      </c>
      <c r="G364">
        <v>150</v>
      </c>
      <c r="H364" t="str">
        <f t="shared" si="36"/>
        <v>2x150</v>
      </c>
      <c r="I364">
        <v>188</v>
      </c>
      <c r="J364" s="4">
        <f t="shared" si="37"/>
        <v>6.0256410256410257E-2</v>
      </c>
      <c r="K364">
        <v>284</v>
      </c>
      <c r="L364" s="4">
        <f t="shared" si="38"/>
        <v>9.1025641025641021E-2</v>
      </c>
      <c r="M364">
        <v>430</v>
      </c>
      <c r="N364" s="4">
        <f t="shared" si="39"/>
        <v>0.1378205128205128</v>
      </c>
      <c r="O364">
        <v>859</v>
      </c>
      <c r="P364" s="4">
        <f t="shared" si="40"/>
        <v>0.27532051282051279</v>
      </c>
      <c r="Q364" s="6">
        <f t="shared" si="35"/>
        <v>2035</v>
      </c>
      <c r="R364" s="6">
        <f t="shared" si="41"/>
        <v>4</v>
      </c>
      <c r="S364">
        <v>135</v>
      </c>
      <c r="T364">
        <v>49</v>
      </c>
      <c r="U364">
        <v>-14</v>
      </c>
      <c r="V364">
        <v>-22</v>
      </c>
      <c r="W364">
        <v>4</v>
      </c>
      <c r="X364">
        <v>59</v>
      </c>
      <c r="Y364" s="2" t="s">
        <v>437</v>
      </c>
      <c r="Z364">
        <v>45.142439353893003</v>
      </c>
      <c r="AA364">
        <v>10.0618828085932</v>
      </c>
      <c r="AB364" t="s">
        <v>78</v>
      </c>
      <c r="AC364" t="s">
        <v>81</v>
      </c>
      <c r="AD364" t="s">
        <v>82</v>
      </c>
      <c r="AE364">
        <v>89445</v>
      </c>
      <c r="AF364">
        <v>24722</v>
      </c>
      <c r="AG364">
        <v>14924</v>
      </c>
      <c r="AH364">
        <v>16497</v>
      </c>
      <c r="AI364">
        <v>19496</v>
      </c>
      <c r="AJ364">
        <v>12373</v>
      </c>
      <c r="AK364">
        <v>1433</v>
      </c>
      <c r="AL364">
        <v>2183</v>
      </c>
      <c r="AM364">
        <v>13363</v>
      </c>
      <c r="AN364">
        <v>74879</v>
      </c>
      <c r="AO364">
        <v>108543</v>
      </c>
      <c r="AP364">
        <v>0</v>
      </c>
      <c r="AQ364">
        <v>0</v>
      </c>
      <c r="AR364">
        <v>1</v>
      </c>
      <c r="AS364">
        <v>0</v>
      </c>
      <c r="AT364">
        <v>2</v>
      </c>
      <c r="AU364">
        <v>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2</v>
      </c>
      <c r="BB364">
        <v>19</v>
      </c>
      <c r="BC364">
        <v>2</v>
      </c>
      <c r="BD364">
        <v>0</v>
      </c>
      <c r="BE364">
        <v>0</v>
      </c>
      <c r="BF364">
        <v>0</v>
      </c>
      <c r="BG364">
        <v>0</v>
      </c>
      <c r="BH364">
        <v>2</v>
      </c>
      <c r="BI364">
        <v>6</v>
      </c>
      <c r="BJ364">
        <v>45.142510000000001</v>
      </c>
      <c r="BK364">
        <v>10.06179</v>
      </c>
      <c r="BL364">
        <v>300</v>
      </c>
      <c r="BM364" t="s">
        <v>83</v>
      </c>
      <c r="BN364" t="s">
        <v>84</v>
      </c>
      <c r="BO364" t="s">
        <v>85</v>
      </c>
      <c r="BP364" t="s">
        <v>107</v>
      </c>
      <c r="BQ364" t="s">
        <v>108</v>
      </c>
      <c r="BR364" t="s">
        <v>435</v>
      </c>
      <c r="BS364">
        <v>1937462</v>
      </c>
      <c r="BT364">
        <v>642788</v>
      </c>
      <c r="BU364">
        <v>298500</v>
      </c>
      <c r="BV364">
        <v>329948</v>
      </c>
      <c r="BW364">
        <v>390006</v>
      </c>
      <c r="BX364">
        <v>247538</v>
      </c>
      <c r="BY364">
        <v>28682</v>
      </c>
      <c r="BZ364">
        <v>1</v>
      </c>
      <c r="CA364" t="s">
        <v>438</v>
      </c>
      <c r="CB364" t="s">
        <v>439</v>
      </c>
      <c r="CC364" s="3">
        <v>46092.557106481479</v>
      </c>
      <c r="CD364" t="s">
        <v>91</v>
      </c>
    </row>
    <row r="365" spans="1:82" ht="16" x14ac:dyDescent="0.2">
      <c r="A365" t="s">
        <v>1078</v>
      </c>
      <c r="B365" t="s">
        <v>441</v>
      </c>
      <c r="C365" t="s">
        <v>442</v>
      </c>
      <c r="D365" t="s">
        <v>78</v>
      </c>
      <c r="E365" t="s">
        <v>443</v>
      </c>
      <c r="F365">
        <v>2</v>
      </c>
      <c r="G365">
        <v>150</v>
      </c>
      <c r="H365" t="str">
        <f t="shared" si="36"/>
        <v>2x150</v>
      </c>
      <c r="I365">
        <v>187</v>
      </c>
      <c r="J365" s="4">
        <f t="shared" si="37"/>
        <v>5.9935897435897438E-2</v>
      </c>
      <c r="K365">
        <v>283</v>
      </c>
      <c r="L365" s="4">
        <f t="shared" si="38"/>
        <v>9.0705128205128202E-2</v>
      </c>
      <c r="M365">
        <v>429</v>
      </c>
      <c r="N365" s="4">
        <f t="shared" si="39"/>
        <v>0.13749999999999998</v>
      </c>
      <c r="O365">
        <v>857</v>
      </c>
      <c r="P365" s="4">
        <f t="shared" si="40"/>
        <v>0.27467948717948715</v>
      </c>
      <c r="Q365" s="6">
        <f t="shared" si="35"/>
        <v>2035</v>
      </c>
      <c r="R365" s="6">
        <f t="shared" si="41"/>
        <v>4</v>
      </c>
      <c r="S365">
        <v>135</v>
      </c>
      <c r="T365">
        <v>-1</v>
      </c>
      <c r="U365">
        <v>36</v>
      </c>
      <c r="V365">
        <v>-3</v>
      </c>
      <c r="W365">
        <v>-10</v>
      </c>
      <c r="X365">
        <v>47</v>
      </c>
      <c r="Y365" s="2" t="s">
        <v>444</v>
      </c>
      <c r="Z365">
        <v>40.455229899999999</v>
      </c>
      <c r="AA365">
        <v>17.2685414</v>
      </c>
      <c r="AB365" t="s">
        <v>78</v>
      </c>
      <c r="AC365" t="s">
        <v>81</v>
      </c>
      <c r="AD365" t="s">
        <v>82</v>
      </c>
      <c r="AE365">
        <v>43997</v>
      </c>
      <c r="AF365">
        <v>0</v>
      </c>
      <c r="AG365">
        <v>0</v>
      </c>
      <c r="AH365">
        <v>0</v>
      </c>
      <c r="AI365">
        <v>0</v>
      </c>
      <c r="AJ365">
        <v>43997</v>
      </c>
      <c r="AK365">
        <v>0</v>
      </c>
      <c r="AL365">
        <v>29576</v>
      </c>
      <c r="AM365">
        <v>89223</v>
      </c>
      <c r="AN365">
        <v>129066</v>
      </c>
      <c r="AO365">
        <v>216513</v>
      </c>
      <c r="AP365">
        <v>1</v>
      </c>
      <c r="AQ365">
        <v>0</v>
      </c>
      <c r="AR365">
        <v>1</v>
      </c>
      <c r="AS365">
        <v>1</v>
      </c>
      <c r="AT365">
        <v>2</v>
      </c>
      <c r="AU365">
        <v>13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16</v>
      </c>
      <c r="BB365">
        <v>38</v>
      </c>
      <c r="BC365">
        <v>5</v>
      </c>
      <c r="BD365">
        <v>4</v>
      </c>
      <c r="BE365">
        <v>0</v>
      </c>
      <c r="BF365">
        <v>6</v>
      </c>
      <c r="BG365">
        <v>0</v>
      </c>
      <c r="BH365">
        <v>10</v>
      </c>
      <c r="BI365">
        <v>0</v>
      </c>
      <c r="BJ365">
        <v>40.455267300000003</v>
      </c>
      <c r="BK365">
        <v>17.2684839</v>
      </c>
      <c r="BL365">
        <v>300</v>
      </c>
      <c r="BM365" t="s">
        <v>83</v>
      </c>
      <c r="BN365" t="s">
        <v>84</v>
      </c>
      <c r="BO365" t="s">
        <v>85</v>
      </c>
      <c r="BP365" t="s">
        <v>97</v>
      </c>
      <c r="BQ365" t="s">
        <v>187</v>
      </c>
      <c r="BR365" t="s">
        <v>442</v>
      </c>
      <c r="BS365">
        <v>777417</v>
      </c>
      <c r="BT365">
        <v>0</v>
      </c>
      <c r="BU365">
        <v>0</v>
      </c>
      <c r="BV365">
        <v>0</v>
      </c>
      <c r="BW365">
        <v>0</v>
      </c>
      <c r="BX365">
        <v>777417</v>
      </c>
      <c r="BY365">
        <v>0</v>
      </c>
      <c r="BZ365">
        <v>1</v>
      </c>
      <c r="CA365" t="s">
        <v>445</v>
      </c>
      <c r="CB365" t="s">
        <v>446</v>
      </c>
      <c r="CC365" s="3">
        <v>46092.557106481479</v>
      </c>
      <c r="CD365" t="s">
        <v>91</v>
      </c>
    </row>
    <row r="366" spans="1:82" ht="16" x14ac:dyDescent="0.2">
      <c r="A366" t="s">
        <v>610</v>
      </c>
      <c r="B366" t="s">
        <v>611</v>
      </c>
      <c r="C366" t="s">
        <v>612</v>
      </c>
      <c r="D366" t="s">
        <v>78</v>
      </c>
      <c r="E366" t="s">
        <v>613</v>
      </c>
      <c r="F366">
        <v>2</v>
      </c>
      <c r="G366">
        <v>300</v>
      </c>
      <c r="H366" t="str">
        <f t="shared" si="36"/>
        <v>2x300</v>
      </c>
      <c r="I366">
        <v>186</v>
      </c>
      <c r="J366" s="4">
        <f t="shared" si="37"/>
        <v>5.1666666666666666E-2</v>
      </c>
      <c r="K366">
        <v>281</v>
      </c>
      <c r="L366" s="4">
        <f t="shared" si="38"/>
        <v>7.8055555555555559E-2</v>
      </c>
      <c r="M366">
        <v>426</v>
      </c>
      <c r="N366" s="4">
        <f t="shared" si="39"/>
        <v>0.11833333333333333</v>
      </c>
      <c r="O366">
        <v>851</v>
      </c>
      <c r="P366" s="4">
        <f t="shared" si="40"/>
        <v>0.23638888888888887</v>
      </c>
      <c r="Q366" s="6">
        <f t="shared" si="35"/>
        <v>2035</v>
      </c>
      <c r="R366" s="6">
        <f t="shared" si="41"/>
        <v>4</v>
      </c>
      <c r="S366">
        <v>156</v>
      </c>
      <c r="T366">
        <v>8</v>
      </c>
      <c r="U366">
        <v>-24</v>
      </c>
      <c r="V366">
        <v>21</v>
      </c>
      <c r="W366">
        <v>-13</v>
      </c>
      <c r="X366">
        <v>59</v>
      </c>
      <c r="Y366" s="2" t="s">
        <v>614</v>
      </c>
      <c r="Z366">
        <v>44.817087954999899</v>
      </c>
      <c r="AA366">
        <v>11.607328093252599</v>
      </c>
      <c r="AB366" t="s">
        <v>78</v>
      </c>
      <c r="AC366" t="s">
        <v>81</v>
      </c>
      <c r="AD366" t="s">
        <v>82</v>
      </c>
      <c r="AE366">
        <v>46087</v>
      </c>
      <c r="AF366">
        <v>0</v>
      </c>
      <c r="AG366">
        <v>0</v>
      </c>
      <c r="AH366">
        <v>37545</v>
      </c>
      <c r="AI366">
        <v>4016</v>
      </c>
      <c r="AJ366">
        <v>3968</v>
      </c>
      <c r="AK366">
        <v>558</v>
      </c>
      <c r="AL366">
        <v>9117</v>
      </c>
      <c r="AM366">
        <v>30481</v>
      </c>
      <c r="AN366">
        <v>90579</v>
      </c>
      <c r="AO366">
        <v>137268</v>
      </c>
      <c r="AP366">
        <v>2</v>
      </c>
      <c r="AQ366">
        <v>1</v>
      </c>
      <c r="AR366">
        <v>2</v>
      </c>
      <c r="AS366">
        <v>34</v>
      </c>
      <c r="AT366">
        <v>0</v>
      </c>
      <c r="AU366">
        <v>20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14</v>
      </c>
      <c r="BB366">
        <v>33</v>
      </c>
      <c r="BC366">
        <v>1</v>
      </c>
      <c r="BD366">
        <v>6</v>
      </c>
      <c r="BE366">
        <v>0</v>
      </c>
      <c r="BF366">
        <v>8</v>
      </c>
      <c r="BG366">
        <v>0</v>
      </c>
      <c r="BH366">
        <v>12</v>
      </c>
      <c r="BI366">
        <v>0</v>
      </c>
      <c r="BJ366">
        <v>44.8171757</v>
      </c>
      <c r="BK366">
        <v>11.6068993</v>
      </c>
      <c r="BL366">
        <v>600</v>
      </c>
      <c r="BM366" t="s">
        <v>83</v>
      </c>
      <c r="BN366" t="s">
        <v>84</v>
      </c>
      <c r="BO366" t="s">
        <v>85</v>
      </c>
      <c r="BP366" t="s">
        <v>160</v>
      </c>
      <c r="BQ366" t="s">
        <v>170</v>
      </c>
      <c r="BR366" t="s">
        <v>615</v>
      </c>
      <c r="BS366">
        <v>921813</v>
      </c>
      <c r="BT366">
        <v>0</v>
      </c>
      <c r="BU366">
        <v>0</v>
      </c>
      <c r="BV366">
        <v>750935</v>
      </c>
      <c r="BW366">
        <v>80333</v>
      </c>
      <c r="BX366">
        <v>79370</v>
      </c>
      <c r="BY366">
        <v>11175</v>
      </c>
      <c r="BZ366">
        <v>1</v>
      </c>
      <c r="CA366" t="s">
        <v>616</v>
      </c>
      <c r="CB366" t="s">
        <v>617</v>
      </c>
      <c r="CC366" s="3">
        <v>46092.557106481479</v>
      </c>
      <c r="CD366" t="s">
        <v>91</v>
      </c>
    </row>
    <row r="367" spans="1:82" ht="16" x14ac:dyDescent="0.2">
      <c r="A367" t="s">
        <v>1080</v>
      </c>
      <c r="B367" t="s">
        <v>450</v>
      </c>
      <c r="C367" t="s">
        <v>451</v>
      </c>
      <c r="D367" t="s">
        <v>78</v>
      </c>
      <c r="E367" t="s">
        <v>452</v>
      </c>
      <c r="F367">
        <v>2</v>
      </c>
      <c r="G367">
        <v>150</v>
      </c>
      <c r="H367" t="str">
        <f t="shared" si="36"/>
        <v>2x150</v>
      </c>
      <c r="I367">
        <v>185</v>
      </c>
      <c r="J367" s="4">
        <f t="shared" si="37"/>
        <v>5.9294871794871799E-2</v>
      </c>
      <c r="K367">
        <v>280</v>
      </c>
      <c r="L367" s="4">
        <f t="shared" si="38"/>
        <v>8.9743589743589744E-2</v>
      </c>
      <c r="M367">
        <v>424</v>
      </c>
      <c r="N367" s="4">
        <f t="shared" si="39"/>
        <v>0.13589743589743589</v>
      </c>
      <c r="O367">
        <v>846</v>
      </c>
      <c r="P367" s="4">
        <f t="shared" si="40"/>
        <v>0.27115384615384613</v>
      </c>
      <c r="Q367" s="6">
        <f t="shared" si="35"/>
        <v>2035</v>
      </c>
      <c r="R367" s="6">
        <f t="shared" si="41"/>
        <v>4</v>
      </c>
      <c r="S367">
        <v>135</v>
      </c>
      <c r="T367">
        <v>43</v>
      </c>
      <c r="U367">
        <v>-19</v>
      </c>
      <c r="V367">
        <v>-6</v>
      </c>
      <c r="W367">
        <v>-7</v>
      </c>
      <c r="X367">
        <v>63</v>
      </c>
      <c r="Y367" s="2" t="s">
        <v>453</v>
      </c>
      <c r="Z367">
        <v>43.572907600000001</v>
      </c>
      <c r="AA367">
        <v>10.3305513</v>
      </c>
      <c r="AB367" t="s">
        <v>78</v>
      </c>
      <c r="AC367" t="s">
        <v>81</v>
      </c>
      <c r="AD367" t="s">
        <v>82</v>
      </c>
      <c r="AE367">
        <v>74950</v>
      </c>
      <c r="AF367">
        <v>0</v>
      </c>
      <c r="AG367">
        <v>50105</v>
      </c>
      <c r="AH367">
        <v>17331</v>
      </c>
      <c r="AI367">
        <v>2357</v>
      </c>
      <c r="AJ367">
        <v>567</v>
      </c>
      <c r="AK367">
        <v>4590</v>
      </c>
      <c r="AL367">
        <v>4182</v>
      </c>
      <c r="AM367">
        <v>26464</v>
      </c>
      <c r="AN367">
        <v>124618</v>
      </c>
      <c r="AO367">
        <v>168659</v>
      </c>
      <c r="AP367">
        <v>1</v>
      </c>
      <c r="AQ367">
        <v>0</v>
      </c>
      <c r="AR367">
        <v>1</v>
      </c>
      <c r="AS367">
        <v>3</v>
      </c>
      <c r="AT367">
        <v>0</v>
      </c>
      <c r="AU367">
        <v>14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6</v>
      </c>
      <c r="BB367">
        <v>16</v>
      </c>
      <c r="BC367">
        <v>4</v>
      </c>
      <c r="BD367">
        <v>0</v>
      </c>
      <c r="BE367">
        <v>0</v>
      </c>
      <c r="BF367">
        <v>0</v>
      </c>
      <c r="BG367">
        <v>0</v>
      </c>
      <c r="BH367">
        <v>8</v>
      </c>
      <c r="BI367">
        <v>0</v>
      </c>
      <c r="BJ367">
        <v>43.573089899999999</v>
      </c>
      <c r="BK367">
        <v>10.330909999999999</v>
      </c>
      <c r="BL367">
        <v>300</v>
      </c>
      <c r="BM367" t="s">
        <v>83</v>
      </c>
      <c r="BN367" t="s">
        <v>84</v>
      </c>
      <c r="BO367" t="s">
        <v>85</v>
      </c>
      <c r="BP367" t="s">
        <v>86</v>
      </c>
      <c r="BQ367" t="s">
        <v>212</v>
      </c>
      <c r="BR367" t="s">
        <v>454</v>
      </c>
      <c r="BS367">
        <v>1499176</v>
      </c>
      <c r="BT367">
        <v>0</v>
      </c>
      <c r="BU367">
        <v>1002140</v>
      </c>
      <c r="BV367">
        <v>346682</v>
      </c>
      <c r="BW367">
        <v>47171</v>
      </c>
      <c r="BX367">
        <v>11355</v>
      </c>
      <c r="BY367">
        <v>91828</v>
      </c>
      <c r="BZ367">
        <v>1</v>
      </c>
      <c r="CA367" t="s">
        <v>455</v>
      </c>
      <c r="CB367" t="s">
        <v>456</v>
      </c>
      <c r="CC367" s="3">
        <v>46092.557106481479</v>
      </c>
      <c r="CD367" t="s">
        <v>91</v>
      </c>
    </row>
    <row r="368" spans="1:82" ht="16" x14ac:dyDescent="0.2">
      <c r="A368" t="s">
        <v>1081</v>
      </c>
      <c r="B368" t="s">
        <v>458</v>
      </c>
      <c r="C368" t="s">
        <v>459</v>
      </c>
      <c r="D368" t="s">
        <v>78</v>
      </c>
      <c r="E368" t="s">
        <v>460</v>
      </c>
      <c r="F368">
        <v>2</v>
      </c>
      <c r="G368">
        <v>150</v>
      </c>
      <c r="H368" t="str">
        <f t="shared" si="36"/>
        <v>2x150</v>
      </c>
      <c r="I368">
        <v>185</v>
      </c>
      <c r="J368" s="4">
        <f t="shared" si="37"/>
        <v>5.9294871794871799E-2</v>
      </c>
      <c r="K368">
        <v>279</v>
      </c>
      <c r="L368" s="4">
        <f t="shared" si="38"/>
        <v>8.9423076923076925E-2</v>
      </c>
      <c r="M368">
        <v>423</v>
      </c>
      <c r="N368" s="4">
        <f t="shared" si="39"/>
        <v>0.13557692307692307</v>
      </c>
      <c r="O368">
        <v>844</v>
      </c>
      <c r="P368" s="4">
        <f t="shared" si="40"/>
        <v>0.2705128205128205</v>
      </c>
      <c r="Q368" s="6">
        <f t="shared" si="35"/>
        <v>2035</v>
      </c>
      <c r="R368" s="6">
        <f t="shared" si="41"/>
        <v>4</v>
      </c>
      <c r="S368">
        <v>135</v>
      </c>
      <c r="T368">
        <v>35</v>
      </c>
      <c r="U368">
        <v>-22</v>
      </c>
      <c r="V368">
        <v>14</v>
      </c>
      <c r="W368">
        <v>-10</v>
      </c>
      <c r="X368">
        <v>56</v>
      </c>
      <c r="Y368" s="2" t="s">
        <v>461</v>
      </c>
      <c r="Z368">
        <v>44.548679999999997</v>
      </c>
      <c r="AA368">
        <v>10.797639999999999</v>
      </c>
      <c r="AB368" t="s">
        <v>78</v>
      </c>
      <c r="AC368" t="s">
        <v>81</v>
      </c>
      <c r="AD368" t="s">
        <v>82</v>
      </c>
      <c r="AE368">
        <v>73261</v>
      </c>
      <c r="AF368">
        <v>0</v>
      </c>
      <c r="AG368">
        <v>0</v>
      </c>
      <c r="AH368">
        <v>0</v>
      </c>
      <c r="AI368">
        <v>36143</v>
      </c>
      <c r="AJ368">
        <v>26183</v>
      </c>
      <c r="AK368">
        <v>10935</v>
      </c>
      <c r="AL368">
        <v>10536</v>
      </c>
      <c r="AM368">
        <v>30689</v>
      </c>
      <c r="AN368">
        <v>79623</v>
      </c>
      <c r="AO368">
        <v>162896</v>
      </c>
      <c r="AP368">
        <v>3</v>
      </c>
      <c r="AQ368">
        <v>0</v>
      </c>
      <c r="AR368">
        <v>3</v>
      </c>
      <c r="AS368">
        <v>10</v>
      </c>
      <c r="AT368">
        <v>0</v>
      </c>
      <c r="AU368">
        <v>33</v>
      </c>
      <c r="AV368">
        <v>5</v>
      </c>
      <c r="AW368">
        <v>2</v>
      </c>
      <c r="AX368">
        <v>2</v>
      </c>
      <c r="AY368">
        <v>0</v>
      </c>
      <c r="AZ368">
        <v>2</v>
      </c>
      <c r="BA368">
        <v>21</v>
      </c>
      <c r="BB368">
        <v>55</v>
      </c>
      <c r="BC368">
        <v>4</v>
      </c>
      <c r="BD368">
        <v>0</v>
      </c>
      <c r="BE368">
        <v>0</v>
      </c>
      <c r="BF368">
        <v>6</v>
      </c>
      <c r="BG368">
        <v>0</v>
      </c>
      <c r="BH368">
        <v>8</v>
      </c>
      <c r="BI368">
        <v>0</v>
      </c>
      <c r="BJ368">
        <v>44.548670000000001</v>
      </c>
      <c r="BK368">
        <v>10.7974999</v>
      </c>
      <c r="BL368">
        <v>300</v>
      </c>
      <c r="BM368" t="s">
        <v>83</v>
      </c>
      <c r="BN368" t="s">
        <v>84</v>
      </c>
      <c r="BO368" t="s">
        <v>85</v>
      </c>
      <c r="BP368" t="s">
        <v>160</v>
      </c>
      <c r="BQ368" t="s">
        <v>170</v>
      </c>
      <c r="BR368" t="s">
        <v>462</v>
      </c>
      <c r="BS368">
        <v>1139497</v>
      </c>
      <c r="BT368">
        <v>0</v>
      </c>
      <c r="BU368">
        <v>0</v>
      </c>
      <c r="BV368">
        <v>0</v>
      </c>
      <c r="BW368">
        <v>397020</v>
      </c>
      <c r="BX368">
        <v>523705</v>
      </c>
      <c r="BY368">
        <v>218772</v>
      </c>
      <c r="BZ368">
        <v>1</v>
      </c>
      <c r="CA368" t="s">
        <v>463</v>
      </c>
      <c r="CB368" t="s">
        <v>464</v>
      </c>
      <c r="CC368" s="3">
        <v>46092.557106481479</v>
      </c>
      <c r="CD368" t="s">
        <v>91</v>
      </c>
    </row>
    <row r="369" spans="1:82" ht="16" x14ac:dyDescent="0.2">
      <c r="A369" t="s">
        <v>619</v>
      </c>
      <c r="B369" t="s">
        <v>620</v>
      </c>
      <c r="C369" t="s">
        <v>621</v>
      </c>
      <c r="D369" t="s">
        <v>78</v>
      </c>
      <c r="E369" t="s">
        <v>622</v>
      </c>
      <c r="F369">
        <v>2</v>
      </c>
      <c r="G369">
        <v>300</v>
      </c>
      <c r="H369" t="str">
        <f t="shared" si="36"/>
        <v>2x300</v>
      </c>
      <c r="I369">
        <v>184</v>
      </c>
      <c r="J369" s="4">
        <f t="shared" si="37"/>
        <v>5.1111111111111107E-2</v>
      </c>
      <c r="K369">
        <v>278</v>
      </c>
      <c r="L369" s="4">
        <f t="shared" si="38"/>
        <v>7.722222222222222E-2</v>
      </c>
      <c r="M369">
        <v>422</v>
      </c>
      <c r="N369" s="4">
        <f t="shared" si="39"/>
        <v>0.11722222222222223</v>
      </c>
      <c r="O369">
        <v>843</v>
      </c>
      <c r="P369" s="4">
        <f t="shared" si="40"/>
        <v>0.23416666666666666</v>
      </c>
      <c r="Q369" s="6">
        <f t="shared" si="35"/>
        <v>2035</v>
      </c>
      <c r="R369" s="6">
        <f t="shared" si="41"/>
        <v>4</v>
      </c>
      <c r="S369">
        <v>156</v>
      </c>
      <c r="T369">
        <v>37</v>
      </c>
      <c r="U369">
        <v>-20</v>
      </c>
      <c r="V369">
        <v>-14</v>
      </c>
      <c r="W369">
        <v>-12</v>
      </c>
      <c r="X369">
        <v>62</v>
      </c>
      <c r="Y369" s="2" t="s">
        <v>623</v>
      </c>
      <c r="Z369">
        <v>45.787334195420001</v>
      </c>
      <c r="AA369">
        <v>8.9563561940144201</v>
      </c>
      <c r="AB369" t="s">
        <v>78</v>
      </c>
      <c r="AC369" t="s">
        <v>81</v>
      </c>
      <c r="AD369" t="s">
        <v>82</v>
      </c>
      <c r="AE369">
        <v>30697</v>
      </c>
      <c r="AF369">
        <v>0</v>
      </c>
      <c r="AG369">
        <v>10032</v>
      </c>
      <c r="AH369">
        <v>0</v>
      </c>
      <c r="AI369">
        <v>17462</v>
      </c>
      <c r="AJ369">
        <v>3203</v>
      </c>
      <c r="AK369">
        <v>0</v>
      </c>
      <c r="AL369">
        <v>4078</v>
      </c>
      <c r="AM369">
        <v>14068</v>
      </c>
      <c r="AN369">
        <v>64051</v>
      </c>
      <c r="AO369">
        <v>292516</v>
      </c>
      <c r="AP369">
        <v>2</v>
      </c>
      <c r="AQ369">
        <v>0</v>
      </c>
      <c r="AR369">
        <v>2</v>
      </c>
      <c r="AS369">
        <v>10</v>
      </c>
      <c r="AT369">
        <v>0</v>
      </c>
      <c r="AU369">
        <v>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</v>
      </c>
      <c r="BB369">
        <v>6</v>
      </c>
      <c r="BC369">
        <v>2</v>
      </c>
      <c r="BD369">
        <v>0</v>
      </c>
      <c r="BE369">
        <v>0</v>
      </c>
      <c r="BF369">
        <v>2</v>
      </c>
      <c r="BG369">
        <v>0</v>
      </c>
      <c r="BH369">
        <v>6</v>
      </c>
      <c r="BI369">
        <v>0</v>
      </c>
      <c r="BJ369">
        <v>45.7871776</v>
      </c>
      <c r="BK369">
        <v>8.9566085999999991</v>
      </c>
      <c r="BL369">
        <v>600</v>
      </c>
      <c r="BM369" t="s">
        <v>83</v>
      </c>
      <c r="BN369" t="s">
        <v>84</v>
      </c>
      <c r="BO369" t="s">
        <v>85</v>
      </c>
      <c r="BP369" t="s">
        <v>107</v>
      </c>
      <c r="BQ369" t="s">
        <v>108</v>
      </c>
      <c r="BR369" t="s">
        <v>281</v>
      </c>
      <c r="BS369">
        <v>613996</v>
      </c>
      <c r="BT369">
        <v>0</v>
      </c>
      <c r="BU369">
        <v>200652</v>
      </c>
      <c r="BV369">
        <v>0</v>
      </c>
      <c r="BW369">
        <v>349255</v>
      </c>
      <c r="BX369">
        <v>64089</v>
      </c>
      <c r="BY369">
        <v>0</v>
      </c>
      <c r="BZ369">
        <v>1</v>
      </c>
      <c r="CA369" t="s">
        <v>624</v>
      </c>
      <c r="CB369" t="s">
        <v>625</v>
      </c>
      <c r="CC369" s="3">
        <v>46092.557106481479</v>
      </c>
      <c r="CD369" t="s">
        <v>91</v>
      </c>
    </row>
    <row r="370" spans="1:82" ht="16" x14ac:dyDescent="0.2">
      <c r="A370" t="s">
        <v>1082</v>
      </c>
      <c r="B370" t="s">
        <v>466</v>
      </c>
      <c r="C370" t="s">
        <v>179</v>
      </c>
      <c r="D370" t="s">
        <v>78</v>
      </c>
      <c r="E370" t="s">
        <v>467</v>
      </c>
      <c r="F370">
        <v>2</v>
      </c>
      <c r="G370">
        <v>150</v>
      </c>
      <c r="H370" t="str">
        <f t="shared" si="36"/>
        <v>2x150</v>
      </c>
      <c r="I370">
        <v>184</v>
      </c>
      <c r="J370" s="4">
        <f t="shared" si="37"/>
        <v>5.897435897435898E-2</v>
      </c>
      <c r="K370">
        <v>278</v>
      </c>
      <c r="L370" s="4">
        <f t="shared" si="38"/>
        <v>8.9102564102564105E-2</v>
      </c>
      <c r="M370">
        <v>421</v>
      </c>
      <c r="N370" s="4">
        <f t="shared" si="39"/>
        <v>0.13493589743589743</v>
      </c>
      <c r="O370">
        <v>841</v>
      </c>
      <c r="P370" s="4">
        <f t="shared" si="40"/>
        <v>0.26955128205128204</v>
      </c>
      <c r="Q370" s="6">
        <f t="shared" si="35"/>
        <v>2035</v>
      </c>
      <c r="R370" s="6">
        <f t="shared" si="41"/>
        <v>4</v>
      </c>
      <c r="S370">
        <v>135</v>
      </c>
      <c r="T370">
        <v>42</v>
      </c>
      <c r="U370">
        <v>-20</v>
      </c>
      <c r="V370">
        <v>11</v>
      </c>
      <c r="W370">
        <v>-18</v>
      </c>
      <c r="X370">
        <v>57</v>
      </c>
      <c r="Y370" s="2" t="s">
        <v>468</v>
      </c>
      <c r="Z370">
        <v>45.558286191935501</v>
      </c>
      <c r="AA370">
        <v>10.2275211779121</v>
      </c>
      <c r="AB370" t="s">
        <v>78</v>
      </c>
      <c r="AC370" t="s">
        <v>81</v>
      </c>
      <c r="AD370" t="s">
        <v>82</v>
      </c>
      <c r="AE370">
        <v>131017</v>
      </c>
      <c r="AF370">
        <v>0</v>
      </c>
      <c r="AG370">
        <v>0</v>
      </c>
      <c r="AH370">
        <v>10595</v>
      </c>
      <c r="AI370">
        <v>59406</v>
      </c>
      <c r="AJ370">
        <v>53084</v>
      </c>
      <c r="AK370">
        <v>7932</v>
      </c>
      <c r="AL370">
        <v>14985</v>
      </c>
      <c r="AM370">
        <v>48242</v>
      </c>
      <c r="AN370">
        <v>185581</v>
      </c>
      <c r="AO370">
        <v>349290</v>
      </c>
      <c r="AP370">
        <v>5</v>
      </c>
      <c r="AQ370">
        <v>0</v>
      </c>
      <c r="AR370">
        <v>4</v>
      </c>
      <c r="AS370">
        <v>5</v>
      </c>
      <c r="AT370">
        <v>2</v>
      </c>
      <c r="AU370">
        <v>31</v>
      </c>
      <c r="AV370">
        <v>8</v>
      </c>
      <c r="AW370">
        <v>0</v>
      </c>
      <c r="AX370">
        <v>3</v>
      </c>
      <c r="AY370">
        <v>1</v>
      </c>
      <c r="AZ370">
        <v>1</v>
      </c>
      <c r="BA370">
        <v>55</v>
      </c>
      <c r="BB370">
        <v>105</v>
      </c>
      <c r="BC370">
        <v>12</v>
      </c>
      <c r="BD370">
        <v>6</v>
      </c>
      <c r="BE370">
        <v>0</v>
      </c>
      <c r="BF370">
        <v>20</v>
      </c>
      <c r="BG370">
        <v>0</v>
      </c>
      <c r="BH370">
        <v>34</v>
      </c>
      <c r="BI370">
        <v>1</v>
      </c>
      <c r="BJ370">
        <v>45.558267899999997</v>
      </c>
      <c r="BK370">
        <v>10.227610200000001</v>
      </c>
      <c r="BL370">
        <v>300</v>
      </c>
      <c r="BM370" t="s">
        <v>83</v>
      </c>
      <c r="BN370" t="s">
        <v>84</v>
      </c>
      <c r="BO370" t="s">
        <v>85</v>
      </c>
      <c r="BP370" t="s">
        <v>107</v>
      </c>
      <c r="BQ370" t="s">
        <v>108</v>
      </c>
      <c r="BR370" t="s">
        <v>179</v>
      </c>
      <c r="BS370">
        <v>2412912</v>
      </c>
      <c r="BT370">
        <v>0</v>
      </c>
      <c r="BU370">
        <v>0</v>
      </c>
      <c r="BV370">
        <v>211906</v>
      </c>
      <c r="BW370">
        <v>1198584</v>
      </c>
      <c r="BX370">
        <v>843753</v>
      </c>
      <c r="BY370">
        <v>158669</v>
      </c>
      <c r="BZ370">
        <v>1</v>
      </c>
      <c r="CA370" t="s">
        <v>469</v>
      </c>
      <c r="CB370" t="s">
        <v>470</v>
      </c>
      <c r="CC370" s="3">
        <v>46092.557106481479</v>
      </c>
      <c r="CD370" t="s">
        <v>91</v>
      </c>
    </row>
    <row r="371" spans="1:82" ht="16" x14ac:dyDescent="0.2">
      <c r="A371" t="s">
        <v>1089</v>
      </c>
      <c r="B371" t="s">
        <v>472</v>
      </c>
      <c r="C371" t="s">
        <v>473</v>
      </c>
      <c r="D371" t="s">
        <v>78</v>
      </c>
      <c r="E371" t="s">
        <v>474</v>
      </c>
      <c r="F371">
        <v>2</v>
      </c>
      <c r="G371">
        <v>150</v>
      </c>
      <c r="H371" t="str">
        <f t="shared" si="36"/>
        <v>2x150</v>
      </c>
      <c r="I371">
        <v>183</v>
      </c>
      <c r="J371" s="4">
        <f t="shared" si="37"/>
        <v>5.8653846153846161E-2</v>
      </c>
      <c r="K371">
        <v>276</v>
      </c>
      <c r="L371" s="4">
        <f t="shared" si="38"/>
        <v>8.8461538461538466E-2</v>
      </c>
      <c r="M371">
        <v>418</v>
      </c>
      <c r="N371" s="4">
        <f t="shared" si="39"/>
        <v>0.13397435897435897</v>
      </c>
      <c r="O371">
        <v>835</v>
      </c>
      <c r="P371" s="4">
        <f t="shared" si="40"/>
        <v>0.26762820512820512</v>
      </c>
      <c r="Q371" s="6">
        <f t="shared" si="35"/>
        <v>2035</v>
      </c>
      <c r="R371" s="6">
        <f t="shared" si="41"/>
        <v>4</v>
      </c>
      <c r="S371">
        <v>135</v>
      </c>
      <c r="T371">
        <v>5</v>
      </c>
      <c r="U371">
        <v>-16</v>
      </c>
      <c r="V371">
        <v>15</v>
      </c>
      <c r="W371">
        <v>9</v>
      </c>
      <c r="X371">
        <v>55</v>
      </c>
      <c r="Y371" s="2" t="s">
        <v>475</v>
      </c>
      <c r="Z371">
        <v>45.326529999999998</v>
      </c>
      <c r="AA371">
        <v>9.1355400000000007</v>
      </c>
      <c r="AB371" t="s">
        <v>78</v>
      </c>
      <c r="AC371" t="s">
        <v>81</v>
      </c>
      <c r="AD371" t="s">
        <v>82</v>
      </c>
      <c r="AE371">
        <v>58690</v>
      </c>
      <c r="AF371">
        <v>0</v>
      </c>
      <c r="AG371">
        <v>0</v>
      </c>
      <c r="AH371">
        <v>45539</v>
      </c>
      <c r="AI371">
        <v>0</v>
      </c>
      <c r="AJ371">
        <v>13151</v>
      </c>
      <c r="AK371">
        <v>0</v>
      </c>
      <c r="AL371">
        <v>5432</v>
      </c>
      <c r="AM371">
        <v>8434</v>
      </c>
      <c r="AN371">
        <v>43328</v>
      </c>
      <c r="AO371">
        <v>205129</v>
      </c>
      <c r="AP371">
        <v>0</v>
      </c>
      <c r="AQ371">
        <v>0</v>
      </c>
      <c r="AR371">
        <v>4</v>
      </c>
      <c r="AS371">
        <v>4</v>
      </c>
      <c r="AT371">
        <v>4</v>
      </c>
      <c r="AU371">
        <v>7</v>
      </c>
      <c r="AV371">
        <v>9</v>
      </c>
      <c r="AW371">
        <v>1</v>
      </c>
      <c r="AX371">
        <v>2</v>
      </c>
      <c r="AY371">
        <v>0</v>
      </c>
      <c r="AZ371">
        <v>1</v>
      </c>
      <c r="BA371">
        <v>3</v>
      </c>
      <c r="BB371">
        <v>3</v>
      </c>
      <c r="BC371">
        <v>0</v>
      </c>
      <c r="BD371">
        <v>2</v>
      </c>
      <c r="BE371">
        <v>0</v>
      </c>
      <c r="BF371">
        <v>2</v>
      </c>
      <c r="BG371">
        <v>0</v>
      </c>
      <c r="BH371">
        <v>2</v>
      </c>
      <c r="BI371">
        <v>0</v>
      </c>
      <c r="BJ371">
        <v>45.326535499999999</v>
      </c>
      <c r="BK371">
        <v>9.1357391999999997</v>
      </c>
      <c r="BL371">
        <v>300</v>
      </c>
      <c r="BM371" t="s">
        <v>83</v>
      </c>
      <c r="BN371" t="s">
        <v>84</v>
      </c>
      <c r="BO371" t="s">
        <v>85</v>
      </c>
      <c r="BP371" t="s">
        <v>107</v>
      </c>
      <c r="BQ371" t="s">
        <v>108</v>
      </c>
      <c r="BR371" t="s">
        <v>109</v>
      </c>
      <c r="BS371">
        <v>1173885</v>
      </c>
      <c r="BT371">
        <v>0</v>
      </c>
      <c r="BU371">
        <v>0</v>
      </c>
      <c r="BV371">
        <v>910822</v>
      </c>
      <c r="BW371">
        <v>0</v>
      </c>
      <c r="BX371">
        <v>263063</v>
      </c>
      <c r="BY371">
        <v>0</v>
      </c>
      <c r="BZ371">
        <v>1</v>
      </c>
      <c r="CA371" t="s">
        <v>476</v>
      </c>
      <c r="CB371" t="s">
        <v>477</v>
      </c>
      <c r="CC371" s="3">
        <v>46092.557106481479</v>
      </c>
      <c r="CD371" t="s">
        <v>91</v>
      </c>
    </row>
    <row r="372" spans="1:82" ht="16" x14ac:dyDescent="0.2">
      <c r="A372" t="s">
        <v>629</v>
      </c>
      <c r="B372" t="s">
        <v>630</v>
      </c>
      <c r="C372" t="s">
        <v>631</v>
      </c>
      <c r="D372" t="s">
        <v>78</v>
      </c>
      <c r="E372" t="s">
        <v>632</v>
      </c>
      <c r="F372">
        <v>2</v>
      </c>
      <c r="G372">
        <v>300</v>
      </c>
      <c r="H372" t="str">
        <f t="shared" si="36"/>
        <v>2x300</v>
      </c>
      <c r="I372">
        <v>182</v>
      </c>
      <c r="J372" s="4">
        <f t="shared" si="37"/>
        <v>5.0555555555555555E-2</v>
      </c>
      <c r="K372">
        <v>275</v>
      </c>
      <c r="L372" s="4">
        <f t="shared" si="38"/>
        <v>7.6388888888888881E-2</v>
      </c>
      <c r="M372">
        <v>417</v>
      </c>
      <c r="N372" s="4">
        <f t="shared" si="39"/>
        <v>0.11583333333333333</v>
      </c>
      <c r="O372">
        <v>833</v>
      </c>
      <c r="P372" s="4">
        <f t="shared" si="40"/>
        <v>0.23138888888888889</v>
      </c>
      <c r="Q372" s="6">
        <f t="shared" si="35"/>
        <v>2035</v>
      </c>
      <c r="R372" s="6">
        <f t="shared" si="41"/>
        <v>4</v>
      </c>
      <c r="S372">
        <v>156</v>
      </c>
      <c r="T372">
        <v>-41</v>
      </c>
      <c r="U372">
        <v>-17</v>
      </c>
      <c r="V372">
        <v>53</v>
      </c>
      <c r="W372">
        <v>1</v>
      </c>
      <c r="X372">
        <v>57</v>
      </c>
      <c r="Y372" s="2" t="s">
        <v>633</v>
      </c>
      <c r="Z372">
        <v>40.349670000000003</v>
      </c>
      <c r="AA372">
        <v>14.996090000000001</v>
      </c>
      <c r="AB372" t="s">
        <v>78</v>
      </c>
      <c r="AC372" t="s">
        <v>81</v>
      </c>
      <c r="AD372" t="s">
        <v>82</v>
      </c>
      <c r="AE372">
        <v>15371</v>
      </c>
      <c r="AF372">
        <v>0</v>
      </c>
      <c r="AG372">
        <v>0</v>
      </c>
      <c r="AH372">
        <v>0</v>
      </c>
      <c r="AI372">
        <v>7480</v>
      </c>
      <c r="AJ372">
        <v>7891</v>
      </c>
      <c r="AK372">
        <v>0</v>
      </c>
      <c r="AL372">
        <v>9926</v>
      </c>
      <c r="AM372">
        <v>16684</v>
      </c>
      <c r="AN372">
        <v>24610</v>
      </c>
      <c r="AO372">
        <v>45727</v>
      </c>
      <c r="AP372">
        <v>7</v>
      </c>
      <c r="AQ372">
        <v>0</v>
      </c>
      <c r="AR372">
        <v>6</v>
      </c>
      <c r="AS372">
        <v>11</v>
      </c>
      <c r="AT372">
        <v>2</v>
      </c>
      <c r="AU372">
        <v>19</v>
      </c>
      <c r="AV372">
        <v>5</v>
      </c>
      <c r="AW372">
        <v>0</v>
      </c>
      <c r="AX372">
        <v>5</v>
      </c>
      <c r="AY372">
        <v>1</v>
      </c>
      <c r="AZ372">
        <v>2</v>
      </c>
      <c r="BA372">
        <v>2</v>
      </c>
      <c r="BB372">
        <v>4</v>
      </c>
      <c r="BC372">
        <v>2</v>
      </c>
      <c r="BD372">
        <v>0</v>
      </c>
      <c r="BE372">
        <v>0</v>
      </c>
      <c r="BF372">
        <v>0</v>
      </c>
      <c r="BG372">
        <v>0</v>
      </c>
      <c r="BH372">
        <v>2</v>
      </c>
      <c r="BI372">
        <v>0</v>
      </c>
      <c r="BJ372">
        <v>40.349569199999998</v>
      </c>
      <c r="BK372">
        <v>14.9962529</v>
      </c>
      <c r="BL372">
        <v>600</v>
      </c>
      <c r="BM372" t="s">
        <v>83</v>
      </c>
      <c r="BN372" t="s">
        <v>84</v>
      </c>
      <c r="BO372" t="s">
        <v>85</v>
      </c>
      <c r="BP372" t="s">
        <v>97</v>
      </c>
      <c r="BQ372" t="s">
        <v>98</v>
      </c>
      <c r="BR372" t="s">
        <v>634</v>
      </c>
      <c r="BS372">
        <v>307467</v>
      </c>
      <c r="BT372">
        <v>0</v>
      </c>
      <c r="BU372">
        <v>0</v>
      </c>
      <c r="BV372">
        <v>0</v>
      </c>
      <c r="BW372">
        <v>149613</v>
      </c>
      <c r="BX372">
        <v>157854</v>
      </c>
      <c r="BY372">
        <v>0</v>
      </c>
      <c r="BZ372">
        <v>1</v>
      </c>
      <c r="CA372" t="s">
        <v>635</v>
      </c>
      <c r="CB372" t="s">
        <v>636</v>
      </c>
      <c r="CC372" s="3">
        <v>46092.557106481479</v>
      </c>
      <c r="CD372" t="s">
        <v>91</v>
      </c>
    </row>
    <row r="373" spans="1:82" ht="16" x14ac:dyDescent="0.2">
      <c r="A373" t="s">
        <v>637</v>
      </c>
      <c r="B373" t="s">
        <v>638</v>
      </c>
      <c r="C373" t="s">
        <v>639</v>
      </c>
      <c r="D373" t="s">
        <v>78</v>
      </c>
      <c r="E373" t="s">
        <v>640</v>
      </c>
      <c r="F373">
        <v>2</v>
      </c>
      <c r="G373">
        <v>300</v>
      </c>
      <c r="H373" t="str">
        <f t="shared" si="36"/>
        <v>2x300</v>
      </c>
      <c r="I373">
        <v>182</v>
      </c>
      <c r="J373" s="4">
        <f t="shared" si="37"/>
        <v>5.0555555555555555E-2</v>
      </c>
      <c r="K373">
        <v>275</v>
      </c>
      <c r="L373" s="4">
        <f t="shared" si="38"/>
        <v>7.6388888888888881E-2</v>
      </c>
      <c r="M373">
        <v>417</v>
      </c>
      <c r="N373" s="4">
        <f t="shared" si="39"/>
        <v>0.11583333333333333</v>
      </c>
      <c r="O373">
        <v>831</v>
      </c>
      <c r="P373" s="4">
        <f t="shared" si="40"/>
        <v>0.23083333333333333</v>
      </c>
      <c r="Q373" s="6">
        <f t="shared" si="35"/>
        <v>2035</v>
      </c>
      <c r="R373" s="6">
        <f t="shared" si="41"/>
        <v>4</v>
      </c>
      <c r="S373">
        <v>156</v>
      </c>
      <c r="T373">
        <v>-41</v>
      </c>
      <c r="U373">
        <v>18</v>
      </c>
      <c r="V373">
        <v>18</v>
      </c>
      <c r="W373">
        <v>-6</v>
      </c>
      <c r="X373">
        <v>64</v>
      </c>
      <c r="Y373" s="2" t="s">
        <v>641</v>
      </c>
      <c r="Z373">
        <v>41.446401199999997</v>
      </c>
      <c r="AA373">
        <v>15.538045</v>
      </c>
      <c r="AB373" t="s">
        <v>78</v>
      </c>
      <c r="AC373" t="s">
        <v>81</v>
      </c>
      <c r="AD373" t="s">
        <v>82</v>
      </c>
      <c r="AE373">
        <v>17376</v>
      </c>
      <c r="AF373">
        <v>0</v>
      </c>
      <c r="AG373">
        <v>0</v>
      </c>
      <c r="AH373">
        <v>0</v>
      </c>
      <c r="AI373">
        <v>6799</v>
      </c>
      <c r="AJ373">
        <v>10577</v>
      </c>
      <c r="AK373">
        <v>0</v>
      </c>
      <c r="AL373">
        <v>14311</v>
      </c>
      <c r="AM373">
        <v>75420</v>
      </c>
      <c r="AN373">
        <v>145776</v>
      </c>
      <c r="AO373">
        <v>149112</v>
      </c>
      <c r="AP373">
        <v>0</v>
      </c>
      <c r="AQ373">
        <v>0</v>
      </c>
      <c r="AR373">
        <v>6</v>
      </c>
      <c r="AS373">
        <v>0</v>
      </c>
      <c r="AT373">
        <v>0</v>
      </c>
      <c r="AU373">
        <v>3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4</v>
      </c>
      <c r="BC373">
        <v>0</v>
      </c>
      <c r="BD373">
        <v>2</v>
      </c>
      <c r="BE373">
        <v>0</v>
      </c>
      <c r="BF373">
        <v>4</v>
      </c>
      <c r="BG373">
        <v>0</v>
      </c>
      <c r="BH373">
        <v>12</v>
      </c>
      <c r="BI373">
        <v>0</v>
      </c>
      <c r="BJ373">
        <v>41.446402499999998</v>
      </c>
      <c r="BK373">
        <v>15.5380465</v>
      </c>
      <c r="BL373">
        <v>600</v>
      </c>
      <c r="BM373" t="s">
        <v>83</v>
      </c>
      <c r="BN373" t="s">
        <v>84</v>
      </c>
      <c r="BO373" t="s">
        <v>85</v>
      </c>
      <c r="BP373" t="s">
        <v>97</v>
      </c>
      <c r="BQ373" t="s">
        <v>187</v>
      </c>
      <c r="BR373" t="s">
        <v>639</v>
      </c>
      <c r="BS373">
        <v>221510</v>
      </c>
      <c r="BT373">
        <v>0</v>
      </c>
      <c r="BU373">
        <v>0</v>
      </c>
      <c r="BV373">
        <v>0</v>
      </c>
      <c r="BW373">
        <v>84144</v>
      </c>
      <c r="BX373">
        <v>137366</v>
      </c>
      <c r="BY373">
        <v>0</v>
      </c>
      <c r="BZ373">
        <v>1</v>
      </c>
      <c r="CA373" t="s">
        <v>642</v>
      </c>
      <c r="CB373" t="s">
        <v>643</v>
      </c>
      <c r="CC373" s="3">
        <v>46092.557106481479</v>
      </c>
      <c r="CD373" t="s">
        <v>91</v>
      </c>
    </row>
    <row r="374" spans="1:82" ht="16" x14ac:dyDescent="0.2">
      <c r="A374" t="s">
        <v>644</v>
      </c>
      <c r="B374" t="s">
        <v>645</v>
      </c>
      <c r="C374" t="s">
        <v>646</v>
      </c>
      <c r="D374" t="s">
        <v>78</v>
      </c>
      <c r="E374" t="s">
        <v>647</v>
      </c>
      <c r="F374">
        <v>2</v>
      </c>
      <c r="G374">
        <v>300</v>
      </c>
      <c r="H374" t="str">
        <f t="shared" si="36"/>
        <v>2x300</v>
      </c>
      <c r="I374">
        <v>182</v>
      </c>
      <c r="J374" s="4">
        <f t="shared" si="37"/>
        <v>5.0555555555555555E-2</v>
      </c>
      <c r="K374">
        <v>274</v>
      </c>
      <c r="L374" s="4">
        <f t="shared" si="38"/>
        <v>7.6111111111111115E-2</v>
      </c>
      <c r="M374">
        <v>416</v>
      </c>
      <c r="N374" s="4">
        <f t="shared" si="39"/>
        <v>0.11555555555555556</v>
      </c>
      <c r="O374">
        <v>831</v>
      </c>
      <c r="P374" s="4">
        <f t="shared" si="40"/>
        <v>0.23083333333333333</v>
      </c>
      <c r="Q374" s="6">
        <f t="shared" si="35"/>
        <v>2035</v>
      </c>
      <c r="R374" s="6">
        <f t="shared" si="41"/>
        <v>4</v>
      </c>
      <c r="S374">
        <v>156</v>
      </c>
      <c r="T374">
        <v>22</v>
      </c>
      <c r="U374">
        <v>-15</v>
      </c>
      <c r="V374">
        <v>-20</v>
      </c>
      <c r="W374">
        <v>0</v>
      </c>
      <c r="X374">
        <v>63</v>
      </c>
      <c r="Y374" s="2" t="s">
        <v>648</v>
      </c>
      <c r="Z374">
        <v>45.185358361245001</v>
      </c>
      <c r="AA374">
        <v>11.260499013665299</v>
      </c>
      <c r="AB374" t="s">
        <v>78</v>
      </c>
      <c r="AC374" t="s">
        <v>81</v>
      </c>
      <c r="AD374" t="s">
        <v>82</v>
      </c>
      <c r="AE374">
        <v>50531</v>
      </c>
      <c r="AF374">
        <v>0</v>
      </c>
      <c r="AG374">
        <v>11713</v>
      </c>
      <c r="AH374">
        <v>28623</v>
      </c>
      <c r="AI374">
        <v>3775</v>
      </c>
      <c r="AJ374">
        <v>6111</v>
      </c>
      <c r="AK374">
        <v>309</v>
      </c>
      <c r="AL374">
        <v>704</v>
      </c>
      <c r="AM374">
        <v>4088</v>
      </c>
      <c r="AN374">
        <v>36380</v>
      </c>
      <c r="AO374">
        <v>71073</v>
      </c>
      <c r="AP374">
        <v>0</v>
      </c>
      <c r="AQ374">
        <v>0</v>
      </c>
      <c r="AR374">
        <v>5</v>
      </c>
      <c r="AS374">
        <v>4</v>
      </c>
      <c r="AT374">
        <v>3</v>
      </c>
      <c r="AU374">
        <v>28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18</v>
      </c>
      <c r="BB374">
        <v>21</v>
      </c>
      <c r="BC374">
        <v>9</v>
      </c>
      <c r="BD374">
        <v>0</v>
      </c>
      <c r="BE374">
        <v>0</v>
      </c>
      <c r="BF374">
        <v>0</v>
      </c>
      <c r="BG374">
        <v>0</v>
      </c>
      <c r="BH374">
        <v>2</v>
      </c>
      <c r="BI374">
        <v>0</v>
      </c>
      <c r="BJ374">
        <v>45.1854899</v>
      </c>
      <c r="BK374">
        <v>11.260399899999999</v>
      </c>
      <c r="BL374">
        <v>600</v>
      </c>
      <c r="BM374" t="s">
        <v>83</v>
      </c>
      <c r="BN374" t="s">
        <v>84</v>
      </c>
      <c r="BO374" t="s">
        <v>85</v>
      </c>
      <c r="BP374" t="s">
        <v>160</v>
      </c>
      <c r="BQ374" t="s">
        <v>161</v>
      </c>
      <c r="BR374" t="s">
        <v>162</v>
      </c>
      <c r="BS374">
        <v>1010713</v>
      </c>
      <c r="BT374">
        <v>0</v>
      </c>
      <c r="BU374">
        <v>234273</v>
      </c>
      <c r="BV374">
        <v>572489</v>
      </c>
      <c r="BW374">
        <v>75500</v>
      </c>
      <c r="BX374">
        <v>122261</v>
      </c>
      <c r="BY374">
        <v>6190</v>
      </c>
      <c r="BZ374">
        <v>1</v>
      </c>
      <c r="CA374" t="s">
        <v>649</v>
      </c>
      <c r="CB374" t="s">
        <v>650</v>
      </c>
      <c r="CC374" s="3">
        <v>46092.557106481479</v>
      </c>
      <c r="CD374" t="s">
        <v>91</v>
      </c>
    </row>
    <row r="375" spans="1:82" ht="16" x14ac:dyDescent="0.2">
      <c r="A375" t="s">
        <v>1090</v>
      </c>
      <c r="B375" t="s">
        <v>479</v>
      </c>
      <c r="C375" t="s">
        <v>480</v>
      </c>
      <c r="D375" t="s">
        <v>78</v>
      </c>
      <c r="E375" t="s">
        <v>481</v>
      </c>
      <c r="F375">
        <v>2</v>
      </c>
      <c r="G375">
        <v>150</v>
      </c>
      <c r="H375" t="str">
        <f t="shared" si="36"/>
        <v>2x150</v>
      </c>
      <c r="I375">
        <v>180</v>
      </c>
      <c r="J375" s="4">
        <f t="shared" si="37"/>
        <v>5.7692307692307689E-2</v>
      </c>
      <c r="K375">
        <v>272</v>
      </c>
      <c r="L375" s="4">
        <f t="shared" si="38"/>
        <v>8.7179487179487189E-2</v>
      </c>
      <c r="M375">
        <v>413</v>
      </c>
      <c r="N375" s="4">
        <f t="shared" si="39"/>
        <v>0.13237179487179487</v>
      </c>
      <c r="O375">
        <v>824</v>
      </c>
      <c r="P375" s="4">
        <f t="shared" si="40"/>
        <v>0.26410256410256411</v>
      </c>
      <c r="Q375" s="6">
        <f t="shared" si="35"/>
        <v>2035</v>
      </c>
      <c r="R375" s="6">
        <f t="shared" si="41"/>
        <v>4</v>
      </c>
      <c r="S375">
        <v>135</v>
      </c>
      <c r="T375">
        <v>6</v>
      </c>
      <c r="U375">
        <v>2</v>
      </c>
      <c r="V375">
        <v>4</v>
      </c>
      <c r="W375">
        <v>1</v>
      </c>
      <c r="X375">
        <v>53</v>
      </c>
      <c r="Y375" s="2" t="s">
        <v>482</v>
      </c>
      <c r="Z375">
        <v>45.482546900000003</v>
      </c>
      <c r="AA375">
        <v>8.9633058000000005</v>
      </c>
      <c r="AB375" t="s">
        <v>78</v>
      </c>
      <c r="AC375" t="s">
        <v>81</v>
      </c>
      <c r="AD375" t="s">
        <v>82</v>
      </c>
      <c r="AE375">
        <v>60635</v>
      </c>
      <c r="AF375">
        <v>0</v>
      </c>
      <c r="AG375">
        <v>0</v>
      </c>
      <c r="AH375">
        <v>17172</v>
      </c>
      <c r="AI375">
        <v>10053</v>
      </c>
      <c r="AJ375">
        <v>22381</v>
      </c>
      <c r="AK375">
        <v>11029</v>
      </c>
      <c r="AL375">
        <v>8239</v>
      </c>
      <c r="AM375">
        <v>22409</v>
      </c>
      <c r="AN375">
        <v>94841</v>
      </c>
      <c r="AO375">
        <v>386818</v>
      </c>
      <c r="AP375">
        <v>0</v>
      </c>
      <c r="AQ375">
        <v>0</v>
      </c>
      <c r="AR375">
        <v>2</v>
      </c>
      <c r="AS375">
        <v>2</v>
      </c>
      <c r="AT375">
        <v>0</v>
      </c>
      <c r="AU375">
        <v>9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20</v>
      </c>
      <c r="BB375">
        <v>33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2</v>
      </c>
      <c r="BI375">
        <v>0</v>
      </c>
      <c r="BJ375">
        <v>45.482489899999997</v>
      </c>
      <c r="BK375">
        <v>8.9632699999999996</v>
      </c>
      <c r="BL375">
        <v>300</v>
      </c>
      <c r="BM375" t="s">
        <v>83</v>
      </c>
      <c r="BN375" t="s">
        <v>84</v>
      </c>
      <c r="BO375" t="s">
        <v>85</v>
      </c>
      <c r="BP375" t="s">
        <v>107</v>
      </c>
      <c r="BQ375" t="s">
        <v>108</v>
      </c>
      <c r="BR375" t="s">
        <v>109</v>
      </c>
      <c r="BS375">
        <v>1127254</v>
      </c>
      <c r="BT375">
        <v>0</v>
      </c>
      <c r="BU375">
        <v>0</v>
      </c>
      <c r="BV375">
        <v>343459</v>
      </c>
      <c r="BW375">
        <v>201064</v>
      </c>
      <c r="BX375">
        <v>362151</v>
      </c>
      <c r="BY375">
        <v>220580</v>
      </c>
      <c r="BZ375">
        <v>1</v>
      </c>
      <c r="CA375" t="s">
        <v>483</v>
      </c>
      <c r="CB375" t="s">
        <v>484</v>
      </c>
      <c r="CC375" s="3">
        <v>46092.557106481479</v>
      </c>
      <c r="CD375" t="s">
        <v>91</v>
      </c>
    </row>
    <row r="376" spans="1:82" ht="16" x14ac:dyDescent="0.2">
      <c r="A376" t="s">
        <v>652</v>
      </c>
      <c r="B376" t="s">
        <v>653</v>
      </c>
      <c r="C376" t="s">
        <v>654</v>
      </c>
      <c r="D376" t="s">
        <v>78</v>
      </c>
      <c r="E376" t="s">
        <v>655</v>
      </c>
      <c r="F376">
        <v>2</v>
      </c>
      <c r="G376">
        <v>300</v>
      </c>
      <c r="H376" t="str">
        <f t="shared" si="36"/>
        <v>2x300</v>
      </c>
      <c r="I376">
        <v>180</v>
      </c>
      <c r="J376" s="4">
        <f t="shared" si="37"/>
        <v>4.9999999999999996E-2</v>
      </c>
      <c r="K376">
        <v>272</v>
      </c>
      <c r="L376" s="4">
        <f t="shared" si="38"/>
        <v>7.5555555555555556E-2</v>
      </c>
      <c r="M376">
        <v>413</v>
      </c>
      <c r="N376" s="4">
        <f t="shared" si="39"/>
        <v>0.11472222222222223</v>
      </c>
      <c r="O376">
        <v>824</v>
      </c>
      <c r="P376" s="4">
        <f t="shared" si="40"/>
        <v>0.22888888888888889</v>
      </c>
      <c r="Q376" s="6">
        <f t="shared" si="35"/>
        <v>2035</v>
      </c>
      <c r="R376" s="6">
        <f t="shared" si="41"/>
        <v>4</v>
      </c>
      <c r="S376">
        <v>156</v>
      </c>
      <c r="T376">
        <v>14</v>
      </c>
      <c r="U376">
        <v>-6</v>
      </c>
      <c r="V376">
        <v>-19</v>
      </c>
      <c r="W376">
        <v>0</v>
      </c>
      <c r="X376">
        <v>59</v>
      </c>
      <c r="Y376" s="2" t="s">
        <v>656</v>
      </c>
      <c r="Z376">
        <v>41.763491989999999</v>
      </c>
      <c r="AA376">
        <v>12.36043188</v>
      </c>
      <c r="AB376" t="s">
        <v>78</v>
      </c>
      <c r="AC376" t="s">
        <v>81</v>
      </c>
      <c r="AD376" t="s">
        <v>82</v>
      </c>
      <c r="AE376">
        <v>41766</v>
      </c>
      <c r="AF376">
        <v>0</v>
      </c>
      <c r="AG376">
        <v>0</v>
      </c>
      <c r="AH376">
        <v>24025</v>
      </c>
      <c r="AI376">
        <v>0</v>
      </c>
      <c r="AJ376">
        <v>0</v>
      </c>
      <c r="AK376">
        <v>17741</v>
      </c>
      <c r="AL376">
        <v>12888</v>
      </c>
      <c r="AM376">
        <v>44286</v>
      </c>
      <c r="AN376">
        <v>144990</v>
      </c>
      <c r="AO376">
        <v>361766</v>
      </c>
      <c r="AP376">
        <v>1</v>
      </c>
      <c r="AQ376">
        <v>0</v>
      </c>
      <c r="AR376">
        <v>3</v>
      </c>
      <c r="AS376">
        <v>1</v>
      </c>
      <c r="AT376">
        <v>6</v>
      </c>
      <c r="AU376">
        <v>19</v>
      </c>
      <c r="AV376">
        <v>1</v>
      </c>
      <c r="AW376">
        <v>0</v>
      </c>
      <c r="AX376">
        <v>0</v>
      </c>
      <c r="AY376">
        <v>1</v>
      </c>
      <c r="AZ376">
        <v>0</v>
      </c>
      <c r="BA376">
        <v>8</v>
      </c>
      <c r="BB376">
        <v>20</v>
      </c>
      <c r="BC376">
        <v>2</v>
      </c>
      <c r="BD376">
        <v>0</v>
      </c>
      <c r="BE376">
        <v>0</v>
      </c>
      <c r="BF376">
        <v>0</v>
      </c>
      <c r="BG376">
        <v>0</v>
      </c>
      <c r="BH376">
        <v>2</v>
      </c>
      <c r="BI376">
        <v>0</v>
      </c>
      <c r="BJ376">
        <v>41.7635456</v>
      </c>
      <c r="BK376">
        <v>12.3602442</v>
      </c>
      <c r="BL376">
        <v>600</v>
      </c>
      <c r="BM376" t="s">
        <v>83</v>
      </c>
      <c r="BN376" t="s">
        <v>84</v>
      </c>
      <c r="BO376" t="s">
        <v>85</v>
      </c>
      <c r="BP376" t="s">
        <v>86</v>
      </c>
      <c r="BQ376" t="s">
        <v>87</v>
      </c>
      <c r="BR376" t="s">
        <v>88</v>
      </c>
      <c r="BS376">
        <v>835382</v>
      </c>
      <c r="BT376">
        <v>0</v>
      </c>
      <c r="BU376">
        <v>0</v>
      </c>
      <c r="BV376">
        <v>480514</v>
      </c>
      <c r="BW376">
        <v>0</v>
      </c>
      <c r="BX376">
        <v>0</v>
      </c>
      <c r="BY376">
        <v>354868</v>
      </c>
      <c r="BZ376">
        <v>1</v>
      </c>
      <c r="CA376" t="s">
        <v>657</v>
      </c>
      <c r="CB376" t="s">
        <v>658</v>
      </c>
      <c r="CC376" s="3">
        <v>46092.557106481479</v>
      </c>
      <c r="CD376" t="s">
        <v>91</v>
      </c>
    </row>
    <row r="377" spans="1:82" ht="16" x14ac:dyDescent="0.2">
      <c r="A377" t="s">
        <v>659</v>
      </c>
      <c r="B377" t="s">
        <v>660</v>
      </c>
      <c r="C377" t="s">
        <v>661</v>
      </c>
      <c r="D377" t="s">
        <v>78</v>
      </c>
      <c r="E377" t="s">
        <v>662</v>
      </c>
      <c r="F377">
        <v>2</v>
      </c>
      <c r="G377">
        <v>300</v>
      </c>
      <c r="H377" t="str">
        <f t="shared" si="36"/>
        <v>2x300</v>
      </c>
      <c r="I377">
        <v>179</v>
      </c>
      <c r="J377" s="4">
        <f t="shared" si="37"/>
        <v>4.9722222222222223E-2</v>
      </c>
      <c r="K377">
        <v>270</v>
      </c>
      <c r="L377" s="4">
        <f t="shared" si="38"/>
        <v>7.4999999999999997E-2</v>
      </c>
      <c r="M377">
        <v>410</v>
      </c>
      <c r="N377" s="4">
        <f t="shared" si="39"/>
        <v>0.11388888888888889</v>
      </c>
      <c r="O377">
        <v>818</v>
      </c>
      <c r="P377" s="4">
        <f t="shared" si="40"/>
        <v>0.22722222222222221</v>
      </c>
      <c r="Q377" s="6">
        <f t="shared" si="35"/>
        <v>2035</v>
      </c>
      <c r="R377" s="6">
        <f t="shared" si="41"/>
        <v>4</v>
      </c>
      <c r="S377">
        <v>156</v>
      </c>
      <c r="T377">
        <v>9</v>
      </c>
      <c r="U377">
        <v>-15</v>
      </c>
      <c r="V377">
        <v>-8</v>
      </c>
      <c r="W377">
        <v>-2</v>
      </c>
      <c r="X377">
        <v>63</v>
      </c>
      <c r="Y377" s="2" t="s">
        <v>663</v>
      </c>
      <c r="Z377">
        <v>41.975872699999996</v>
      </c>
      <c r="AA377">
        <v>12.079630999999999</v>
      </c>
      <c r="AB377" t="s">
        <v>78</v>
      </c>
      <c r="AC377" t="s">
        <v>81</v>
      </c>
      <c r="AD377" t="s">
        <v>82</v>
      </c>
      <c r="AE377">
        <v>64716</v>
      </c>
      <c r="AF377">
        <v>44963</v>
      </c>
      <c r="AG377">
        <v>0</v>
      </c>
      <c r="AH377">
        <v>5905</v>
      </c>
      <c r="AI377">
        <v>0</v>
      </c>
      <c r="AJ377">
        <v>10902</v>
      </c>
      <c r="AK377">
        <v>2946</v>
      </c>
      <c r="AL377">
        <v>1906</v>
      </c>
      <c r="AM377">
        <v>19929</v>
      </c>
      <c r="AN377">
        <v>68266</v>
      </c>
      <c r="AO377">
        <v>81436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9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3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2</v>
      </c>
      <c r="BI377">
        <v>0</v>
      </c>
      <c r="BJ377">
        <v>41.975678700000003</v>
      </c>
      <c r="BK377">
        <v>12.080140800000001</v>
      </c>
      <c r="BL377">
        <v>600</v>
      </c>
      <c r="BM377" t="s">
        <v>83</v>
      </c>
      <c r="BN377" t="s">
        <v>84</v>
      </c>
      <c r="BO377" t="s">
        <v>85</v>
      </c>
      <c r="BP377" t="s">
        <v>86</v>
      </c>
      <c r="BQ377" t="s">
        <v>87</v>
      </c>
      <c r="BR377" t="s">
        <v>88</v>
      </c>
      <c r="BS377">
        <v>1424058</v>
      </c>
      <c r="BT377">
        <v>1028893</v>
      </c>
      <c r="BU377">
        <v>0</v>
      </c>
      <c r="BV377">
        <v>118115</v>
      </c>
      <c r="BW377">
        <v>0</v>
      </c>
      <c r="BX377">
        <v>218105</v>
      </c>
      <c r="BY377">
        <v>58945</v>
      </c>
      <c r="BZ377">
        <v>1</v>
      </c>
      <c r="CA377" t="s">
        <v>664</v>
      </c>
      <c r="CB377" t="s">
        <v>665</v>
      </c>
      <c r="CC377" s="3">
        <v>46092.557106481479</v>
      </c>
      <c r="CD377" t="s">
        <v>91</v>
      </c>
    </row>
    <row r="378" spans="1:82" ht="16" x14ac:dyDescent="0.2">
      <c r="A378" t="s">
        <v>1098</v>
      </c>
      <c r="B378" t="s">
        <v>486</v>
      </c>
      <c r="C378" t="s">
        <v>487</v>
      </c>
      <c r="D378" t="s">
        <v>78</v>
      </c>
      <c r="E378" t="s">
        <v>488</v>
      </c>
      <c r="F378">
        <v>2</v>
      </c>
      <c r="G378">
        <v>150</v>
      </c>
      <c r="H378" t="str">
        <f t="shared" si="36"/>
        <v>2x150</v>
      </c>
      <c r="I378">
        <v>178</v>
      </c>
      <c r="J378" s="4">
        <f t="shared" si="37"/>
        <v>5.705128205128205E-2</v>
      </c>
      <c r="K378">
        <v>269</v>
      </c>
      <c r="L378" s="4">
        <f t="shared" si="38"/>
        <v>8.6217948717948731E-2</v>
      </c>
      <c r="M378">
        <v>408</v>
      </c>
      <c r="N378" s="4">
        <f t="shared" si="39"/>
        <v>0.13076923076923078</v>
      </c>
      <c r="O378">
        <v>814</v>
      </c>
      <c r="P378" s="4">
        <f t="shared" si="40"/>
        <v>0.26089743589743591</v>
      </c>
      <c r="Q378" s="6">
        <f t="shared" si="35"/>
        <v>2035</v>
      </c>
      <c r="R378" s="6">
        <f t="shared" si="41"/>
        <v>4</v>
      </c>
      <c r="S378">
        <v>135</v>
      </c>
      <c r="T378">
        <v>17</v>
      </c>
      <c r="U378">
        <v>0</v>
      </c>
      <c r="V378">
        <v>3</v>
      </c>
      <c r="W378">
        <v>-6</v>
      </c>
      <c r="X378">
        <v>49</v>
      </c>
      <c r="Y378" s="2" t="s">
        <v>489</v>
      </c>
      <c r="Z378">
        <v>45.633763480705198</v>
      </c>
      <c r="AA378">
        <v>8.8334207826973206</v>
      </c>
      <c r="AB378" t="s">
        <v>78</v>
      </c>
      <c r="AC378" t="s">
        <v>81</v>
      </c>
      <c r="AD378" t="s">
        <v>82</v>
      </c>
      <c r="AE378">
        <v>122532</v>
      </c>
      <c r="AF378">
        <v>0</v>
      </c>
      <c r="AG378">
        <v>0</v>
      </c>
      <c r="AH378">
        <v>54210</v>
      </c>
      <c r="AI378">
        <v>11128</v>
      </c>
      <c r="AJ378">
        <v>44571</v>
      </c>
      <c r="AK378">
        <v>12623</v>
      </c>
      <c r="AL378">
        <v>7819</v>
      </c>
      <c r="AM378">
        <v>22609</v>
      </c>
      <c r="AN378">
        <v>176153</v>
      </c>
      <c r="AO378">
        <v>469344</v>
      </c>
      <c r="AP378">
        <v>2</v>
      </c>
      <c r="AQ378">
        <v>0</v>
      </c>
      <c r="AR378">
        <v>4</v>
      </c>
      <c r="AS378">
        <v>13</v>
      </c>
      <c r="AT378">
        <v>1</v>
      </c>
      <c r="AU378">
        <v>18</v>
      </c>
      <c r="AV378">
        <v>1</v>
      </c>
      <c r="AW378">
        <v>1</v>
      </c>
      <c r="AX378">
        <v>0</v>
      </c>
      <c r="AY378">
        <v>0</v>
      </c>
      <c r="AZ378">
        <v>0</v>
      </c>
      <c r="BA378">
        <v>14</v>
      </c>
      <c r="BB378">
        <v>30</v>
      </c>
      <c r="BC378">
        <v>14</v>
      </c>
      <c r="BD378">
        <v>2</v>
      </c>
      <c r="BE378">
        <v>0</v>
      </c>
      <c r="BF378">
        <v>2</v>
      </c>
      <c r="BG378">
        <v>0</v>
      </c>
      <c r="BH378">
        <v>12</v>
      </c>
      <c r="BI378">
        <v>0</v>
      </c>
      <c r="BJ378">
        <v>45.633851999999997</v>
      </c>
      <c r="BK378">
        <v>8.8332733999999995</v>
      </c>
      <c r="BL378">
        <v>300</v>
      </c>
      <c r="BM378" t="s">
        <v>83</v>
      </c>
      <c r="BN378" t="s">
        <v>84</v>
      </c>
      <c r="BO378" t="s">
        <v>85</v>
      </c>
      <c r="BP378" t="s">
        <v>107</v>
      </c>
      <c r="BQ378" t="s">
        <v>108</v>
      </c>
      <c r="BR378" t="s">
        <v>305</v>
      </c>
      <c r="BS378">
        <v>2079723</v>
      </c>
      <c r="BT378">
        <v>0</v>
      </c>
      <c r="BU378">
        <v>0</v>
      </c>
      <c r="BV378">
        <v>881330</v>
      </c>
      <c r="BW378">
        <v>222565</v>
      </c>
      <c r="BX378">
        <v>723343</v>
      </c>
      <c r="BY378">
        <v>252485</v>
      </c>
      <c r="BZ378">
        <v>1</v>
      </c>
      <c r="CA378" t="s">
        <v>490</v>
      </c>
      <c r="CB378" t="s">
        <v>491</v>
      </c>
      <c r="CC378" s="3">
        <v>46092.557106481479</v>
      </c>
      <c r="CD378" t="s">
        <v>91</v>
      </c>
    </row>
    <row r="379" spans="1:82" ht="16" x14ac:dyDescent="0.2">
      <c r="A379" t="s">
        <v>666</v>
      </c>
      <c r="B379" t="s">
        <v>667</v>
      </c>
      <c r="C379" t="s">
        <v>668</v>
      </c>
      <c r="D379" t="s">
        <v>78</v>
      </c>
      <c r="E379" t="s">
        <v>669</v>
      </c>
      <c r="F379">
        <v>2</v>
      </c>
      <c r="G379">
        <v>300</v>
      </c>
      <c r="H379" t="str">
        <f t="shared" si="36"/>
        <v>2x300</v>
      </c>
      <c r="I379">
        <v>178</v>
      </c>
      <c r="J379" s="4">
        <f t="shared" si="37"/>
        <v>4.9444444444444451E-2</v>
      </c>
      <c r="K379">
        <v>269</v>
      </c>
      <c r="L379" s="4">
        <f t="shared" si="38"/>
        <v>7.4722222222222218E-2</v>
      </c>
      <c r="M379">
        <v>408</v>
      </c>
      <c r="N379" s="4">
        <f t="shared" si="39"/>
        <v>0.11333333333333334</v>
      </c>
      <c r="O379">
        <v>814</v>
      </c>
      <c r="P379" s="4">
        <f t="shared" si="40"/>
        <v>0.22611111111111112</v>
      </c>
      <c r="Q379" s="6">
        <f t="shared" si="35"/>
        <v>2035</v>
      </c>
      <c r="R379" s="6">
        <f t="shared" si="41"/>
        <v>4</v>
      </c>
      <c r="S379">
        <v>156</v>
      </c>
      <c r="T379">
        <v>-33</v>
      </c>
      <c r="U379">
        <v>5</v>
      </c>
      <c r="V379">
        <v>47</v>
      </c>
      <c r="W379">
        <v>-22</v>
      </c>
      <c r="X379">
        <v>43</v>
      </c>
      <c r="Y379" s="2" t="s">
        <v>670</v>
      </c>
      <c r="Z379">
        <v>44.736400895529897</v>
      </c>
      <c r="AA379">
        <v>8.8305127779121797</v>
      </c>
      <c r="AB379" t="s">
        <v>78</v>
      </c>
      <c r="AC379" t="s">
        <v>81</v>
      </c>
      <c r="AD379" t="s">
        <v>82</v>
      </c>
      <c r="AE379">
        <v>15570</v>
      </c>
      <c r="AF379">
        <v>0</v>
      </c>
      <c r="AG379">
        <v>0</v>
      </c>
      <c r="AH379">
        <v>0</v>
      </c>
      <c r="AI379">
        <v>0</v>
      </c>
      <c r="AJ379">
        <v>15570</v>
      </c>
      <c r="AK379">
        <v>0</v>
      </c>
      <c r="AL379">
        <v>211</v>
      </c>
      <c r="AM379">
        <v>2220</v>
      </c>
      <c r="AN379">
        <v>31482</v>
      </c>
      <c r="AO379">
        <v>64842</v>
      </c>
      <c r="AP379">
        <v>0</v>
      </c>
      <c r="AQ379">
        <v>0</v>
      </c>
      <c r="AR379">
        <v>7</v>
      </c>
      <c r="AS379">
        <v>12</v>
      </c>
      <c r="AT379">
        <v>2</v>
      </c>
      <c r="AU379">
        <v>7</v>
      </c>
      <c r="AV379">
        <v>1</v>
      </c>
      <c r="AW379">
        <v>0</v>
      </c>
      <c r="AX379">
        <v>2</v>
      </c>
      <c r="AY379">
        <v>0</v>
      </c>
      <c r="AZ379">
        <v>0</v>
      </c>
      <c r="BA379">
        <v>15</v>
      </c>
      <c r="BB379">
        <v>17</v>
      </c>
      <c r="BC379">
        <v>10</v>
      </c>
      <c r="BD379">
        <v>2</v>
      </c>
      <c r="BE379">
        <v>0</v>
      </c>
      <c r="BF379">
        <v>8</v>
      </c>
      <c r="BG379">
        <v>8</v>
      </c>
      <c r="BH379">
        <v>8</v>
      </c>
      <c r="BI379">
        <v>8</v>
      </c>
      <c r="BJ379">
        <v>44.736418800000003</v>
      </c>
      <c r="BK379">
        <v>8.8305284000000004</v>
      </c>
      <c r="BL379">
        <v>600</v>
      </c>
      <c r="BM379" t="s">
        <v>83</v>
      </c>
      <c r="BN379" t="s">
        <v>84</v>
      </c>
      <c r="BO379" t="s">
        <v>85</v>
      </c>
      <c r="BP379" t="s">
        <v>107</v>
      </c>
      <c r="BQ379" t="s">
        <v>203</v>
      </c>
      <c r="BR379" t="s">
        <v>671</v>
      </c>
      <c r="BS379">
        <v>311408</v>
      </c>
      <c r="BT379">
        <v>0</v>
      </c>
      <c r="BU379">
        <v>0</v>
      </c>
      <c r="BV379">
        <v>0</v>
      </c>
      <c r="BW379">
        <v>0</v>
      </c>
      <c r="BX379">
        <v>311408</v>
      </c>
      <c r="BY379">
        <v>0</v>
      </c>
      <c r="BZ379">
        <v>1</v>
      </c>
      <c r="CA379" t="s">
        <v>672</v>
      </c>
      <c r="CB379" t="s">
        <v>673</v>
      </c>
      <c r="CC379" s="3">
        <v>46092.557106481479</v>
      </c>
      <c r="CD379" t="s">
        <v>91</v>
      </c>
    </row>
    <row r="380" spans="1:82" ht="16" x14ac:dyDescent="0.2">
      <c r="A380" t="s">
        <v>674</v>
      </c>
      <c r="B380" t="s">
        <v>675</v>
      </c>
      <c r="C380" t="s">
        <v>676</v>
      </c>
      <c r="D380" t="s">
        <v>78</v>
      </c>
      <c r="E380" t="s">
        <v>677</v>
      </c>
      <c r="F380">
        <v>2</v>
      </c>
      <c r="G380">
        <v>300</v>
      </c>
      <c r="H380" t="str">
        <f t="shared" si="36"/>
        <v>2x300</v>
      </c>
      <c r="I380">
        <v>178</v>
      </c>
      <c r="J380" s="4">
        <f t="shared" si="37"/>
        <v>4.9444444444444451E-2</v>
      </c>
      <c r="K380">
        <v>268</v>
      </c>
      <c r="L380" s="4">
        <f t="shared" si="38"/>
        <v>7.4444444444444438E-2</v>
      </c>
      <c r="M380">
        <v>407</v>
      </c>
      <c r="N380" s="4">
        <f t="shared" si="39"/>
        <v>0.11305555555555556</v>
      </c>
      <c r="O380">
        <v>812</v>
      </c>
      <c r="P380" s="4">
        <f t="shared" si="40"/>
        <v>0.22555555555555554</v>
      </c>
      <c r="Q380" s="6">
        <f t="shared" si="35"/>
        <v>2035</v>
      </c>
      <c r="R380" s="6">
        <f t="shared" si="41"/>
        <v>4</v>
      </c>
      <c r="S380">
        <v>156</v>
      </c>
      <c r="T380">
        <v>5</v>
      </c>
      <c r="U380">
        <v>-15</v>
      </c>
      <c r="V380">
        <v>2</v>
      </c>
      <c r="W380">
        <v>-5</v>
      </c>
      <c r="X380">
        <v>57</v>
      </c>
      <c r="Y380" s="2" t="s">
        <v>678</v>
      </c>
      <c r="Z380">
        <v>41.754345049293299</v>
      </c>
      <c r="AA380">
        <v>12.618595604901399</v>
      </c>
      <c r="AB380" t="s">
        <v>78</v>
      </c>
      <c r="AC380" t="s">
        <v>81</v>
      </c>
      <c r="AD380" t="s">
        <v>82</v>
      </c>
      <c r="AE380">
        <v>79329</v>
      </c>
      <c r="AF380">
        <v>0</v>
      </c>
      <c r="AG380">
        <v>0</v>
      </c>
      <c r="AH380">
        <v>67704</v>
      </c>
      <c r="AI380">
        <v>2749</v>
      </c>
      <c r="AJ380">
        <v>7060</v>
      </c>
      <c r="AK380">
        <v>1816</v>
      </c>
      <c r="AL380">
        <v>3453</v>
      </c>
      <c r="AM380">
        <v>14937</v>
      </c>
      <c r="AN380">
        <v>99574</v>
      </c>
      <c r="AO380">
        <v>322758</v>
      </c>
      <c r="AP380">
        <v>0</v>
      </c>
      <c r="AQ380">
        <v>0</v>
      </c>
      <c r="AR380">
        <v>5</v>
      </c>
      <c r="AS380">
        <v>1</v>
      </c>
      <c r="AT380">
        <v>1</v>
      </c>
      <c r="AU380">
        <v>12</v>
      </c>
      <c r="AV380">
        <v>2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2</v>
      </c>
      <c r="BG380">
        <v>0</v>
      </c>
      <c r="BH380">
        <v>4</v>
      </c>
      <c r="BI380">
        <v>0</v>
      </c>
      <c r="BJ380">
        <v>41.754139899999998</v>
      </c>
      <c r="BK380">
        <v>12.618279899999999</v>
      </c>
      <c r="BL380">
        <v>600</v>
      </c>
      <c r="BM380" t="s">
        <v>83</v>
      </c>
      <c r="BN380" t="s">
        <v>84</v>
      </c>
      <c r="BO380" t="s">
        <v>85</v>
      </c>
      <c r="BP380" t="s">
        <v>86</v>
      </c>
      <c r="BQ380" t="s">
        <v>87</v>
      </c>
      <c r="BR380" t="s">
        <v>88</v>
      </c>
      <c r="BS380">
        <v>1043729</v>
      </c>
      <c r="BT380">
        <v>0</v>
      </c>
      <c r="BU380">
        <v>0</v>
      </c>
      <c r="BV380">
        <v>811180</v>
      </c>
      <c r="BW380">
        <v>54993</v>
      </c>
      <c r="BX380">
        <v>141219</v>
      </c>
      <c r="BY380">
        <v>36337</v>
      </c>
      <c r="BZ380">
        <v>1</v>
      </c>
      <c r="CA380" t="s">
        <v>679</v>
      </c>
      <c r="CB380" t="s">
        <v>680</v>
      </c>
      <c r="CC380" s="3">
        <v>46092.557106481479</v>
      </c>
      <c r="CD380" t="s">
        <v>91</v>
      </c>
    </row>
    <row r="381" spans="1:82" ht="16" x14ac:dyDescent="0.2">
      <c r="A381" t="s">
        <v>1099</v>
      </c>
      <c r="B381" t="s">
        <v>493</v>
      </c>
      <c r="C381" t="s">
        <v>494</v>
      </c>
      <c r="D381" t="s">
        <v>78</v>
      </c>
      <c r="E381" t="s">
        <v>495</v>
      </c>
      <c r="F381">
        <v>2</v>
      </c>
      <c r="G381">
        <v>150</v>
      </c>
      <c r="H381" t="str">
        <f t="shared" si="36"/>
        <v>2x150</v>
      </c>
      <c r="I381">
        <v>177</v>
      </c>
      <c r="J381" s="4">
        <f t="shared" si="37"/>
        <v>5.673076923076923E-2</v>
      </c>
      <c r="K381">
        <v>267</v>
      </c>
      <c r="L381" s="4">
        <f t="shared" si="38"/>
        <v>8.5576923076923064E-2</v>
      </c>
      <c r="M381">
        <v>405</v>
      </c>
      <c r="N381" s="4">
        <f t="shared" si="39"/>
        <v>0.12980769230769232</v>
      </c>
      <c r="O381">
        <v>807</v>
      </c>
      <c r="P381" s="4">
        <f t="shared" si="40"/>
        <v>0.25865384615384618</v>
      </c>
      <c r="Q381" s="6">
        <f t="shared" si="35"/>
        <v>2035</v>
      </c>
      <c r="R381" s="6">
        <f t="shared" si="41"/>
        <v>4</v>
      </c>
      <c r="S381">
        <v>135</v>
      </c>
      <c r="T381">
        <v>32</v>
      </c>
      <c r="U381">
        <v>-21</v>
      </c>
      <c r="V381">
        <v>13</v>
      </c>
      <c r="W381">
        <v>-13</v>
      </c>
      <c r="X381">
        <v>50</v>
      </c>
      <c r="Y381" s="2" t="s">
        <v>496</v>
      </c>
      <c r="Z381">
        <v>45.149234633140402</v>
      </c>
      <c r="AA381">
        <v>9.9948157797580706</v>
      </c>
      <c r="AB381" t="s">
        <v>78</v>
      </c>
      <c r="AC381" t="s">
        <v>81</v>
      </c>
      <c r="AD381" t="s">
        <v>82</v>
      </c>
      <c r="AE381">
        <v>58738</v>
      </c>
      <c r="AF381">
        <v>0</v>
      </c>
      <c r="AG381">
        <v>0</v>
      </c>
      <c r="AH381">
        <v>26191</v>
      </c>
      <c r="AI381">
        <v>29765</v>
      </c>
      <c r="AJ381">
        <v>2335</v>
      </c>
      <c r="AK381">
        <v>447</v>
      </c>
      <c r="AL381">
        <v>3613</v>
      </c>
      <c r="AM381">
        <v>15098</v>
      </c>
      <c r="AN381">
        <v>73867</v>
      </c>
      <c r="AO381">
        <v>104579</v>
      </c>
      <c r="AP381">
        <v>0</v>
      </c>
      <c r="AQ381">
        <v>0</v>
      </c>
      <c r="AR381">
        <v>5</v>
      </c>
      <c r="AS381">
        <v>29</v>
      </c>
      <c r="AT381">
        <v>3</v>
      </c>
      <c r="AU381">
        <v>16</v>
      </c>
      <c r="AV381">
        <v>1</v>
      </c>
      <c r="AW381">
        <v>2</v>
      </c>
      <c r="AX381">
        <v>0</v>
      </c>
      <c r="AY381">
        <v>0</v>
      </c>
      <c r="AZ381">
        <v>0</v>
      </c>
      <c r="BA381">
        <v>22</v>
      </c>
      <c r="BB381">
        <v>43</v>
      </c>
      <c r="BC381">
        <v>17</v>
      </c>
      <c r="BD381">
        <v>4</v>
      </c>
      <c r="BE381">
        <v>0</v>
      </c>
      <c r="BF381">
        <v>10</v>
      </c>
      <c r="BG381">
        <v>0</v>
      </c>
      <c r="BH381">
        <v>14</v>
      </c>
      <c r="BI381">
        <v>0</v>
      </c>
      <c r="BJ381">
        <v>45.1492</v>
      </c>
      <c r="BK381">
        <v>9.9948399000000006</v>
      </c>
      <c r="BL381">
        <v>300</v>
      </c>
      <c r="BM381" t="s">
        <v>83</v>
      </c>
      <c r="BN381" t="s">
        <v>84</v>
      </c>
      <c r="BO381" t="s">
        <v>85</v>
      </c>
      <c r="BP381" t="s">
        <v>107</v>
      </c>
      <c r="BQ381" t="s">
        <v>108</v>
      </c>
      <c r="BR381" t="s">
        <v>435</v>
      </c>
      <c r="BS381">
        <v>1169738</v>
      </c>
      <c r="BT381">
        <v>0</v>
      </c>
      <c r="BU381">
        <v>0</v>
      </c>
      <c r="BV381">
        <v>523837</v>
      </c>
      <c r="BW381">
        <v>590215</v>
      </c>
      <c r="BX381">
        <v>46712</v>
      </c>
      <c r="BY381">
        <v>8974</v>
      </c>
      <c r="BZ381">
        <v>1</v>
      </c>
      <c r="CA381" t="s">
        <v>497</v>
      </c>
      <c r="CB381" t="s">
        <v>498</v>
      </c>
      <c r="CC381" s="3">
        <v>46092.557106481479</v>
      </c>
      <c r="CD381" t="s">
        <v>91</v>
      </c>
    </row>
    <row r="382" spans="1:82" ht="16" x14ac:dyDescent="0.2">
      <c r="A382" t="s">
        <v>681</v>
      </c>
      <c r="B382" t="s">
        <v>682</v>
      </c>
      <c r="C382" t="s">
        <v>683</v>
      </c>
      <c r="D382" t="s">
        <v>78</v>
      </c>
      <c r="E382" t="s">
        <v>684</v>
      </c>
      <c r="F382">
        <v>2</v>
      </c>
      <c r="G382">
        <v>300</v>
      </c>
      <c r="H382" t="str">
        <f t="shared" si="36"/>
        <v>2x300</v>
      </c>
      <c r="I382">
        <v>176</v>
      </c>
      <c r="J382" s="4">
        <f t="shared" si="37"/>
        <v>4.8888888888888891E-2</v>
      </c>
      <c r="K382">
        <v>266</v>
      </c>
      <c r="L382" s="4">
        <f t="shared" si="38"/>
        <v>7.3888888888888893E-2</v>
      </c>
      <c r="M382">
        <v>403</v>
      </c>
      <c r="N382" s="4">
        <f t="shared" si="39"/>
        <v>0.11194444444444444</v>
      </c>
      <c r="O382">
        <v>805</v>
      </c>
      <c r="P382" s="4">
        <f t="shared" si="40"/>
        <v>0.22361111111111109</v>
      </c>
      <c r="Q382" s="6">
        <f t="shared" si="35"/>
        <v>2035</v>
      </c>
      <c r="R382" s="6">
        <f t="shared" si="41"/>
        <v>4</v>
      </c>
      <c r="S382">
        <v>156</v>
      </c>
      <c r="T382">
        <v>42</v>
      </c>
      <c r="U382">
        <v>-32</v>
      </c>
      <c r="V382">
        <v>-20</v>
      </c>
      <c r="W382">
        <v>-11</v>
      </c>
      <c r="X382">
        <v>69</v>
      </c>
      <c r="Y382" s="2" t="s">
        <v>685</v>
      </c>
      <c r="Z382">
        <v>45.506599999999999</v>
      </c>
      <c r="AA382">
        <v>12.63334</v>
      </c>
      <c r="AB382" t="s">
        <v>78</v>
      </c>
      <c r="AC382" t="s">
        <v>81</v>
      </c>
      <c r="AD382" t="s">
        <v>82</v>
      </c>
      <c r="AE382">
        <v>54684</v>
      </c>
      <c r="AF382">
        <v>0</v>
      </c>
      <c r="AG382">
        <v>0</v>
      </c>
      <c r="AH382">
        <v>0</v>
      </c>
      <c r="AI382">
        <v>22591</v>
      </c>
      <c r="AJ382">
        <v>10663</v>
      </c>
      <c r="AK382">
        <v>21430</v>
      </c>
      <c r="AL382">
        <v>2652</v>
      </c>
      <c r="AM382">
        <v>6011</v>
      </c>
      <c r="AN382">
        <v>21319</v>
      </c>
      <c r="AO382">
        <v>36316</v>
      </c>
      <c r="AP382">
        <v>5</v>
      </c>
      <c r="AQ382">
        <v>5</v>
      </c>
      <c r="AR382">
        <v>4</v>
      </c>
      <c r="AS382">
        <v>9</v>
      </c>
      <c r="AT382">
        <v>0</v>
      </c>
      <c r="AU382">
        <v>28</v>
      </c>
      <c r="AV382">
        <v>0</v>
      </c>
      <c r="AW382">
        <v>2</v>
      </c>
      <c r="AX382">
        <v>1</v>
      </c>
      <c r="AY382">
        <v>0</v>
      </c>
      <c r="AZ382">
        <v>2</v>
      </c>
      <c r="BA382">
        <v>17</v>
      </c>
      <c r="BB382">
        <v>28</v>
      </c>
      <c r="BC382">
        <v>14</v>
      </c>
      <c r="BD382">
        <v>0</v>
      </c>
      <c r="BE382">
        <v>0</v>
      </c>
      <c r="BF382">
        <v>0</v>
      </c>
      <c r="BG382">
        <v>2</v>
      </c>
      <c r="BH382">
        <v>0</v>
      </c>
      <c r="BI382">
        <v>2</v>
      </c>
      <c r="BJ382">
        <v>45.506634599999998</v>
      </c>
      <c r="BK382">
        <v>12.6333669</v>
      </c>
      <c r="BL382">
        <v>600</v>
      </c>
      <c r="BM382" t="s">
        <v>83</v>
      </c>
      <c r="BN382" t="s">
        <v>84</v>
      </c>
      <c r="BO382" t="s">
        <v>85</v>
      </c>
      <c r="BP382" t="s">
        <v>160</v>
      </c>
      <c r="BQ382" t="s">
        <v>161</v>
      </c>
      <c r="BR382" t="s">
        <v>343</v>
      </c>
      <c r="BS382">
        <v>1035423</v>
      </c>
      <c r="BT382">
        <v>0</v>
      </c>
      <c r="BU382">
        <v>0</v>
      </c>
      <c r="BV382">
        <v>0</v>
      </c>
      <c r="BW382">
        <v>451844</v>
      </c>
      <c r="BX382">
        <v>213278</v>
      </c>
      <c r="BY382">
        <v>370301</v>
      </c>
      <c r="BZ382">
        <v>1</v>
      </c>
      <c r="CA382" t="s">
        <v>686</v>
      </c>
      <c r="CB382" t="s">
        <v>687</v>
      </c>
      <c r="CC382" s="3">
        <v>46092.557106481479</v>
      </c>
      <c r="CD382" t="s">
        <v>91</v>
      </c>
    </row>
    <row r="383" spans="1:82" ht="16" x14ac:dyDescent="0.2">
      <c r="A383" t="s">
        <v>1100</v>
      </c>
      <c r="B383" t="s">
        <v>500</v>
      </c>
      <c r="C383" t="s">
        <v>501</v>
      </c>
      <c r="D383" t="s">
        <v>78</v>
      </c>
      <c r="E383" t="s">
        <v>502</v>
      </c>
      <c r="F383">
        <v>2</v>
      </c>
      <c r="G383">
        <v>150</v>
      </c>
      <c r="H383" t="str">
        <f t="shared" si="36"/>
        <v>2x150</v>
      </c>
      <c r="I383">
        <v>176</v>
      </c>
      <c r="J383" s="4">
        <f t="shared" si="37"/>
        <v>5.6410256410256411E-2</v>
      </c>
      <c r="K383">
        <v>265</v>
      </c>
      <c r="L383" s="4">
        <f t="shared" si="38"/>
        <v>8.4935897435897426E-2</v>
      </c>
      <c r="M383">
        <v>402</v>
      </c>
      <c r="N383" s="4">
        <f t="shared" si="39"/>
        <v>0.12884615384615386</v>
      </c>
      <c r="O383">
        <v>803</v>
      </c>
      <c r="P383" s="4">
        <f t="shared" si="40"/>
        <v>0.2573717948717949</v>
      </c>
      <c r="Q383" s="6">
        <f t="shared" si="35"/>
        <v>2035</v>
      </c>
      <c r="R383" s="6">
        <f t="shared" si="41"/>
        <v>4</v>
      </c>
      <c r="S383">
        <v>135</v>
      </c>
      <c r="T383">
        <v>2</v>
      </c>
      <c r="U383">
        <v>-18</v>
      </c>
      <c r="V383">
        <v>25</v>
      </c>
      <c r="W383">
        <v>-3</v>
      </c>
      <c r="X383">
        <v>59</v>
      </c>
      <c r="Y383" s="2" t="s">
        <v>503</v>
      </c>
      <c r="Z383">
        <v>45.161174593903397</v>
      </c>
      <c r="AA383">
        <v>9.1316349018458904</v>
      </c>
      <c r="AB383" t="s">
        <v>78</v>
      </c>
      <c r="AC383" t="s">
        <v>81</v>
      </c>
      <c r="AD383" t="s">
        <v>82</v>
      </c>
      <c r="AE383">
        <v>50624</v>
      </c>
      <c r="AF383">
        <v>17953</v>
      </c>
      <c r="AG383">
        <v>0</v>
      </c>
      <c r="AH383">
        <v>16223</v>
      </c>
      <c r="AI383">
        <v>6121</v>
      </c>
      <c r="AJ383">
        <v>10327</v>
      </c>
      <c r="AK383">
        <v>0</v>
      </c>
      <c r="AL383">
        <v>3621</v>
      </c>
      <c r="AM383">
        <v>8949</v>
      </c>
      <c r="AN383">
        <v>68261</v>
      </c>
      <c r="AO383">
        <v>118625</v>
      </c>
      <c r="AP383">
        <v>0</v>
      </c>
      <c r="AQ383">
        <v>0</v>
      </c>
      <c r="AR383">
        <v>6</v>
      </c>
      <c r="AS383">
        <v>7</v>
      </c>
      <c r="AT383">
        <v>2</v>
      </c>
      <c r="AU383">
        <v>34</v>
      </c>
      <c r="AV383">
        <v>2</v>
      </c>
      <c r="AW383">
        <v>0</v>
      </c>
      <c r="AX383">
        <v>3</v>
      </c>
      <c r="AY383">
        <v>0</v>
      </c>
      <c r="AZ383">
        <v>1</v>
      </c>
      <c r="BA383">
        <v>14</v>
      </c>
      <c r="BB383">
        <v>24</v>
      </c>
      <c r="BC383">
        <v>9</v>
      </c>
      <c r="BD383">
        <v>2</v>
      </c>
      <c r="BE383">
        <v>0</v>
      </c>
      <c r="BF383">
        <v>4</v>
      </c>
      <c r="BG383">
        <v>0</v>
      </c>
      <c r="BH383">
        <v>6</v>
      </c>
      <c r="BI383">
        <v>0</v>
      </c>
      <c r="BJ383">
        <v>45.160783199999997</v>
      </c>
      <c r="BK383">
        <v>9.1322530999999998</v>
      </c>
      <c r="BL383">
        <v>300</v>
      </c>
      <c r="BM383" t="s">
        <v>83</v>
      </c>
      <c r="BN383" t="s">
        <v>84</v>
      </c>
      <c r="BO383" t="s">
        <v>85</v>
      </c>
      <c r="BP383" t="s">
        <v>107</v>
      </c>
      <c r="BQ383" t="s">
        <v>108</v>
      </c>
      <c r="BR383" t="s">
        <v>501</v>
      </c>
      <c r="BS383">
        <v>1012573</v>
      </c>
      <c r="BT383">
        <v>359065</v>
      </c>
      <c r="BU383">
        <v>0</v>
      </c>
      <c r="BV383">
        <v>324488</v>
      </c>
      <c r="BW383">
        <v>122439</v>
      </c>
      <c r="BX383">
        <v>206581</v>
      </c>
      <c r="BY383">
        <v>0</v>
      </c>
      <c r="BZ383">
        <v>1</v>
      </c>
      <c r="CA383" t="s">
        <v>504</v>
      </c>
      <c r="CB383" t="s">
        <v>505</v>
      </c>
      <c r="CC383" s="3">
        <v>46092.557106481479</v>
      </c>
      <c r="CD383" t="s">
        <v>91</v>
      </c>
    </row>
    <row r="384" spans="1:82" ht="16" x14ac:dyDescent="0.2">
      <c r="A384" t="s">
        <v>1101</v>
      </c>
      <c r="B384" t="s">
        <v>508</v>
      </c>
      <c r="C384" t="s">
        <v>509</v>
      </c>
      <c r="D384" t="s">
        <v>78</v>
      </c>
      <c r="E384" t="s">
        <v>510</v>
      </c>
      <c r="F384">
        <v>2</v>
      </c>
      <c r="G384">
        <v>150</v>
      </c>
      <c r="H384" t="str">
        <f t="shared" si="36"/>
        <v>2x150</v>
      </c>
      <c r="I384">
        <v>174</v>
      </c>
      <c r="J384" s="4">
        <f t="shared" si="37"/>
        <v>5.5769230769230765E-2</v>
      </c>
      <c r="K384">
        <v>263</v>
      </c>
      <c r="L384" s="4">
        <f t="shared" si="38"/>
        <v>8.4294871794871787E-2</v>
      </c>
      <c r="M384">
        <v>399</v>
      </c>
      <c r="N384" s="4">
        <f t="shared" si="39"/>
        <v>0.1278846153846154</v>
      </c>
      <c r="O384">
        <v>797</v>
      </c>
      <c r="P384" s="4">
        <f t="shared" si="40"/>
        <v>0.25544871794871798</v>
      </c>
      <c r="Q384" s="6">
        <f t="shared" si="35"/>
        <v>2035</v>
      </c>
      <c r="R384" s="6">
        <f t="shared" si="41"/>
        <v>4</v>
      </c>
      <c r="S384">
        <v>135</v>
      </c>
      <c r="T384">
        <v>50</v>
      </c>
      <c r="U384">
        <v>-21</v>
      </c>
      <c r="V384">
        <v>-14</v>
      </c>
      <c r="W384">
        <v>-10</v>
      </c>
      <c r="X384">
        <v>59</v>
      </c>
      <c r="Y384" s="2" t="s">
        <v>511</v>
      </c>
      <c r="Z384">
        <v>44.653759999999998</v>
      </c>
      <c r="AA384">
        <v>10.909890000000001</v>
      </c>
      <c r="AB384" t="s">
        <v>78</v>
      </c>
      <c r="AC384" t="s">
        <v>81</v>
      </c>
      <c r="AD384" t="s">
        <v>82</v>
      </c>
      <c r="AE384">
        <v>100189</v>
      </c>
      <c r="AF384">
        <v>0</v>
      </c>
      <c r="AG384">
        <v>0</v>
      </c>
      <c r="AH384">
        <v>0</v>
      </c>
      <c r="AI384">
        <v>21684</v>
      </c>
      <c r="AJ384">
        <v>64945</v>
      </c>
      <c r="AK384">
        <v>13560</v>
      </c>
      <c r="AL384">
        <v>13026</v>
      </c>
      <c r="AM384">
        <v>55648</v>
      </c>
      <c r="AN384">
        <v>162561</v>
      </c>
      <c r="AO384">
        <v>232464</v>
      </c>
      <c r="AP384">
        <v>0</v>
      </c>
      <c r="AQ384">
        <v>1</v>
      </c>
      <c r="AR384">
        <v>4</v>
      </c>
      <c r="AS384">
        <v>10</v>
      </c>
      <c r="AT384">
        <v>5</v>
      </c>
      <c r="AU384">
        <v>30</v>
      </c>
      <c r="AV384">
        <v>1</v>
      </c>
      <c r="AW384">
        <v>0</v>
      </c>
      <c r="AX384">
        <v>1</v>
      </c>
      <c r="AY384">
        <v>0</v>
      </c>
      <c r="AZ384">
        <v>4</v>
      </c>
      <c r="BA384">
        <v>10</v>
      </c>
      <c r="BB384">
        <v>63</v>
      </c>
      <c r="BC384">
        <v>2</v>
      </c>
      <c r="BD384">
        <v>1</v>
      </c>
      <c r="BE384">
        <v>0</v>
      </c>
      <c r="BF384">
        <v>3</v>
      </c>
      <c r="BG384">
        <v>0</v>
      </c>
      <c r="BH384">
        <v>15</v>
      </c>
      <c r="BI384">
        <v>0</v>
      </c>
      <c r="BJ384">
        <v>44.653704300000001</v>
      </c>
      <c r="BK384">
        <v>10.910024399999999</v>
      </c>
      <c r="BL384">
        <v>300</v>
      </c>
      <c r="BM384" t="s">
        <v>83</v>
      </c>
      <c r="BN384" t="s">
        <v>84</v>
      </c>
      <c r="BO384" t="s">
        <v>85</v>
      </c>
      <c r="BP384" t="s">
        <v>160</v>
      </c>
      <c r="BQ384" t="s">
        <v>170</v>
      </c>
      <c r="BR384" t="s">
        <v>462</v>
      </c>
      <c r="BS384">
        <v>1839620</v>
      </c>
      <c r="BT384">
        <v>0</v>
      </c>
      <c r="BU384">
        <v>0</v>
      </c>
      <c r="BV384">
        <v>0</v>
      </c>
      <c r="BW384">
        <v>433699</v>
      </c>
      <c r="BX384">
        <v>1134683</v>
      </c>
      <c r="BY384">
        <v>271238</v>
      </c>
      <c r="BZ384">
        <v>1</v>
      </c>
      <c r="CA384" t="s">
        <v>512</v>
      </c>
      <c r="CB384" t="s">
        <v>513</v>
      </c>
      <c r="CC384" s="3">
        <v>46092.557106481479</v>
      </c>
      <c r="CD384" t="s">
        <v>91</v>
      </c>
    </row>
    <row r="385" spans="1:82" ht="16" x14ac:dyDescent="0.2">
      <c r="A385" t="s">
        <v>688</v>
      </c>
      <c r="B385" t="s">
        <v>689</v>
      </c>
      <c r="C385" t="s">
        <v>690</v>
      </c>
      <c r="D385" t="s">
        <v>78</v>
      </c>
      <c r="E385" t="s">
        <v>691</v>
      </c>
      <c r="F385">
        <v>2</v>
      </c>
      <c r="G385">
        <v>300</v>
      </c>
      <c r="H385" t="str">
        <f t="shared" si="36"/>
        <v>2x300</v>
      </c>
      <c r="I385">
        <v>174</v>
      </c>
      <c r="J385" s="4">
        <f t="shared" si="37"/>
        <v>4.8333333333333332E-2</v>
      </c>
      <c r="K385">
        <v>262</v>
      </c>
      <c r="L385" s="4">
        <f t="shared" si="38"/>
        <v>7.2777777777777775E-2</v>
      </c>
      <c r="M385">
        <v>398</v>
      </c>
      <c r="N385" s="4">
        <f t="shared" si="39"/>
        <v>0.11055555555555556</v>
      </c>
      <c r="O385">
        <v>794</v>
      </c>
      <c r="P385" s="4">
        <f t="shared" si="40"/>
        <v>0.22055555555555553</v>
      </c>
      <c r="Q385" s="6">
        <f t="shared" si="35"/>
        <v>2035</v>
      </c>
      <c r="R385" s="6">
        <f t="shared" si="41"/>
        <v>4</v>
      </c>
      <c r="S385">
        <v>156</v>
      </c>
      <c r="T385">
        <v>-25</v>
      </c>
      <c r="U385">
        <v>6</v>
      </c>
      <c r="V385">
        <v>4</v>
      </c>
      <c r="W385">
        <v>-3</v>
      </c>
      <c r="X385">
        <v>61</v>
      </c>
      <c r="Y385" s="2" t="s">
        <v>692</v>
      </c>
      <c r="Z385">
        <v>45.656489999999998</v>
      </c>
      <c r="AA385">
        <v>8.9792100000000001</v>
      </c>
      <c r="AB385" t="s">
        <v>78</v>
      </c>
      <c r="AC385" t="s">
        <v>81</v>
      </c>
      <c r="AD385" t="s">
        <v>82</v>
      </c>
      <c r="AE385">
        <v>30923</v>
      </c>
      <c r="AF385">
        <v>0</v>
      </c>
      <c r="AG385">
        <v>0</v>
      </c>
      <c r="AH385">
        <v>15919</v>
      </c>
      <c r="AI385">
        <v>0</v>
      </c>
      <c r="AJ385">
        <v>12249</v>
      </c>
      <c r="AK385">
        <v>2755</v>
      </c>
      <c r="AL385">
        <v>5823</v>
      </c>
      <c r="AM385">
        <v>17463</v>
      </c>
      <c r="AN385">
        <v>78680</v>
      </c>
      <c r="AO385">
        <v>437875</v>
      </c>
      <c r="AP385">
        <v>3</v>
      </c>
      <c r="AQ385">
        <v>0</v>
      </c>
      <c r="AR385">
        <v>3</v>
      </c>
      <c r="AS385">
        <v>5</v>
      </c>
      <c r="AT385">
        <v>0</v>
      </c>
      <c r="AU385">
        <v>20</v>
      </c>
      <c r="AV385">
        <v>17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8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45.656741199999999</v>
      </c>
      <c r="BK385">
        <v>8.9791789000000009</v>
      </c>
      <c r="BL385">
        <v>600</v>
      </c>
      <c r="BM385" t="s">
        <v>83</v>
      </c>
      <c r="BN385" t="s">
        <v>84</v>
      </c>
      <c r="BO385" t="s">
        <v>85</v>
      </c>
      <c r="BP385" t="s">
        <v>107</v>
      </c>
      <c r="BQ385" t="s">
        <v>108</v>
      </c>
      <c r="BR385" t="s">
        <v>305</v>
      </c>
      <c r="BS385">
        <v>618624</v>
      </c>
      <c r="BT385">
        <v>0</v>
      </c>
      <c r="BU385">
        <v>0</v>
      </c>
      <c r="BV385">
        <v>318384</v>
      </c>
      <c r="BW385">
        <v>0</v>
      </c>
      <c r="BX385">
        <v>245107</v>
      </c>
      <c r="BY385">
        <v>55133</v>
      </c>
      <c r="BZ385">
        <v>1</v>
      </c>
      <c r="CA385" t="s">
        <v>693</v>
      </c>
      <c r="CB385" t="s">
        <v>694</v>
      </c>
      <c r="CC385" s="3">
        <v>46092.557106481479</v>
      </c>
      <c r="CD385" t="s">
        <v>91</v>
      </c>
    </row>
    <row r="386" spans="1:82" ht="16" x14ac:dyDescent="0.2">
      <c r="A386" t="s">
        <v>695</v>
      </c>
      <c r="B386" t="s">
        <v>696</v>
      </c>
      <c r="C386" t="s">
        <v>697</v>
      </c>
      <c r="D386" t="s">
        <v>78</v>
      </c>
      <c r="E386" t="s">
        <v>698</v>
      </c>
      <c r="F386">
        <v>2</v>
      </c>
      <c r="G386">
        <v>300</v>
      </c>
      <c r="H386" t="str">
        <f t="shared" si="36"/>
        <v>2x300</v>
      </c>
      <c r="I386">
        <v>174</v>
      </c>
      <c r="J386" s="4">
        <f t="shared" si="37"/>
        <v>4.8333333333333332E-2</v>
      </c>
      <c r="K386">
        <v>262</v>
      </c>
      <c r="L386" s="4">
        <f t="shared" si="38"/>
        <v>7.2777777777777775E-2</v>
      </c>
      <c r="M386">
        <v>398</v>
      </c>
      <c r="N386" s="4">
        <f t="shared" si="39"/>
        <v>0.11055555555555556</v>
      </c>
      <c r="O386">
        <v>793</v>
      </c>
      <c r="P386" s="4">
        <f t="shared" si="40"/>
        <v>0.22027777777777779</v>
      </c>
      <c r="Q386" s="6">
        <f t="shared" ref="Q386:Q449" si="42">IF(J386&gt;=0.13,2026,IF(L386&gt;=0.14,2027,IF(N386&gt;=0.14,2030,IF(P386&gt;=0.14,2035,"later"))))</f>
        <v>2035</v>
      </c>
      <c r="R386" s="6">
        <f t="shared" si="41"/>
        <v>4</v>
      </c>
      <c r="S386">
        <v>156</v>
      </c>
      <c r="T386">
        <v>2</v>
      </c>
      <c r="U386">
        <v>-2</v>
      </c>
      <c r="V386">
        <v>-10</v>
      </c>
      <c r="W386">
        <v>-11</v>
      </c>
      <c r="X386">
        <v>66</v>
      </c>
      <c r="Y386" s="2" t="s">
        <v>699</v>
      </c>
      <c r="Z386">
        <v>45.080591811177499</v>
      </c>
      <c r="AA386">
        <v>7.5080043720537404</v>
      </c>
      <c r="AB386" t="s">
        <v>78</v>
      </c>
      <c r="AC386" t="s">
        <v>81</v>
      </c>
      <c r="AD386" t="s">
        <v>82</v>
      </c>
      <c r="AE386">
        <v>58901</v>
      </c>
      <c r="AF386">
        <v>41622</v>
      </c>
      <c r="AG386">
        <v>0</v>
      </c>
      <c r="AH386">
        <v>7958</v>
      </c>
      <c r="AI386">
        <v>0</v>
      </c>
      <c r="AJ386">
        <v>4080</v>
      </c>
      <c r="AK386">
        <v>5241</v>
      </c>
      <c r="AL386">
        <v>7518</v>
      </c>
      <c r="AM386">
        <v>28395</v>
      </c>
      <c r="AN386">
        <v>114506</v>
      </c>
      <c r="AO386">
        <v>389225</v>
      </c>
      <c r="AP386">
        <v>8</v>
      </c>
      <c r="AQ386">
        <v>0</v>
      </c>
      <c r="AR386">
        <v>2</v>
      </c>
      <c r="AS386">
        <v>3</v>
      </c>
      <c r="AT386">
        <v>0</v>
      </c>
      <c r="AU386">
        <v>31</v>
      </c>
      <c r="AV386">
        <v>10</v>
      </c>
      <c r="AW386">
        <v>2</v>
      </c>
      <c r="AX386">
        <v>1</v>
      </c>
      <c r="AY386">
        <v>1</v>
      </c>
      <c r="AZ386">
        <v>2</v>
      </c>
      <c r="BA386">
        <v>5</v>
      </c>
      <c r="BB386">
        <v>9</v>
      </c>
      <c r="BC386">
        <v>0</v>
      </c>
      <c r="BD386">
        <v>0</v>
      </c>
      <c r="BE386">
        <v>6</v>
      </c>
      <c r="BF386">
        <v>2</v>
      </c>
      <c r="BG386">
        <v>6</v>
      </c>
      <c r="BH386">
        <v>2</v>
      </c>
      <c r="BI386">
        <v>6</v>
      </c>
      <c r="BJ386">
        <v>45.080570000000002</v>
      </c>
      <c r="BK386">
        <v>7.508</v>
      </c>
      <c r="BL386">
        <v>600</v>
      </c>
      <c r="BM386" t="s">
        <v>83</v>
      </c>
      <c r="BN386" t="s">
        <v>84</v>
      </c>
      <c r="BO386" t="s">
        <v>85</v>
      </c>
      <c r="BP386" t="s">
        <v>107</v>
      </c>
      <c r="BQ386" t="s">
        <v>203</v>
      </c>
      <c r="BR386" t="s">
        <v>204</v>
      </c>
      <c r="BS386">
        <v>1296532</v>
      </c>
      <c r="BT386">
        <v>950898</v>
      </c>
      <c r="BU386">
        <v>0</v>
      </c>
      <c r="BV386">
        <v>159193</v>
      </c>
      <c r="BW386">
        <v>0</v>
      </c>
      <c r="BX386">
        <v>81619</v>
      </c>
      <c r="BY386">
        <v>104822</v>
      </c>
      <c r="BZ386">
        <v>1</v>
      </c>
      <c r="CA386" t="s">
        <v>700</v>
      </c>
      <c r="CB386" t="s">
        <v>701</v>
      </c>
      <c r="CC386" s="3">
        <v>46092.557106481479</v>
      </c>
      <c r="CD386" t="s">
        <v>91</v>
      </c>
    </row>
    <row r="387" spans="1:82" ht="16" x14ac:dyDescent="0.2">
      <c r="A387" t="s">
        <v>1102</v>
      </c>
      <c r="B387" t="s">
        <v>515</v>
      </c>
      <c r="C387" t="s">
        <v>516</v>
      </c>
      <c r="D387" t="s">
        <v>78</v>
      </c>
      <c r="E387" t="s">
        <v>517</v>
      </c>
      <c r="F387">
        <v>2</v>
      </c>
      <c r="G387">
        <v>150</v>
      </c>
      <c r="H387" t="str">
        <f t="shared" ref="H387:H450" si="43">F387&amp;"x"&amp;G387</f>
        <v>2x150</v>
      </c>
      <c r="I387">
        <v>171</v>
      </c>
      <c r="J387" s="4">
        <f t="shared" ref="J387:J450" si="44">IF($G387=300,I387/75/$F387/24,IF($G387=150,I387/65/$F387/24,I387/40/$F387/24))</f>
        <v>5.4807692307692307E-2</v>
      </c>
      <c r="K387">
        <v>259</v>
      </c>
      <c r="L387" s="4">
        <f t="shared" ref="L387:L450" si="45">IF($G387=300,K387/75/$F387/24,IF($G387=150,K387/65/$F387/24,K387/40/$F387/24))</f>
        <v>8.3012820512820509E-2</v>
      </c>
      <c r="M387">
        <v>392</v>
      </c>
      <c r="N387" s="4">
        <f t="shared" ref="N387:N450" si="46">IF($G387=300,M387/75/$F387/24,IF($G387=150,M387/65/$F387/24,M387/40/$F387/24))</f>
        <v>0.12564102564102564</v>
      </c>
      <c r="O387">
        <v>783</v>
      </c>
      <c r="P387" s="4">
        <f t="shared" ref="P387:P450" si="47">IF($G387=300,O387/75/$F387/24,IF($G387=150,O387/65/$F387/24,O387/40/$F387/24))</f>
        <v>0.25096153846153846</v>
      </c>
      <c r="Q387" s="6">
        <f t="shared" si="42"/>
        <v>2035</v>
      </c>
      <c r="R387" s="6">
        <f t="shared" ref="R387:R450" si="48">IF(Q387=2026,1,IF(Q387=2027,2,IF(Q387=2030,3,IF(Q387=2035,4,666))))</f>
        <v>4</v>
      </c>
      <c r="S387">
        <v>135</v>
      </c>
      <c r="T387">
        <v>19</v>
      </c>
      <c r="U387">
        <v>-16</v>
      </c>
      <c r="V387">
        <v>2</v>
      </c>
      <c r="W387">
        <v>1</v>
      </c>
      <c r="X387">
        <v>52</v>
      </c>
      <c r="Y387" s="2" t="s">
        <v>518</v>
      </c>
      <c r="Z387">
        <v>45.64284</v>
      </c>
      <c r="AA387">
        <v>11.77336</v>
      </c>
      <c r="AB387" t="s">
        <v>78</v>
      </c>
      <c r="AC387" t="s">
        <v>81</v>
      </c>
      <c r="AD387" t="s">
        <v>82</v>
      </c>
      <c r="AE387">
        <v>67358</v>
      </c>
      <c r="AF387">
        <v>0</v>
      </c>
      <c r="AG387">
        <v>20549</v>
      </c>
      <c r="AH387">
        <v>26964</v>
      </c>
      <c r="AI387">
        <v>0</v>
      </c>
      <c r="AJ387">
        <v>19845</v>
      </c>
      <c r="AK387">
        <v>0</v>
      </c>
      <c r="AL387">
        <v>3841</v>
      </c>
      <c r="AM387">
        <v>11982</v>
      </c>
      <c r="AN387">
        <v>44200</v>
      </c>
      <c r="AO387">
        <v>139715</v>
      </c>
      <c r="AP387">
        <v>0</v>
      </c>
      <c r="AQ387">
        <v>1</v>
      </c>
      <c r="AR387">
        <v>4</v>
      </c>
      <c r="AS387">
        <v>6</v>
      </c>
      <c r="AT387">
        <v>1</v>
      </c>
      <c r="AU387">
        <v>10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4</v>
      </c>
      <c r="BB387">
        <v>16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45.642820700000001</v>
      </c>
      <c r="BK387">
        <v>11.773377200000001</v>
      </c>
      <c r="BL387">
        <v>300</v>
      </c>
      <c r="BM387" t="s">
        <v>83</v>
      </c>
      <c r="BN387" t="s">
        <v>84</v>
      </c>
      <c r="BO387" t="s">
        <v>85</v>
      </c>
      <c r="BP387" t="s">
        <v>160</v>
      </c>
      <c r="BQ387" t="s">
        <v>161</v>
      </c>
      <c r="BR387" t="s">
        <v>519</v>
      </c>
      <c r="BS387">
        <v>1347317</v>
      </c>
      <c r="BT387">
        <v>0</v>
      </c>
      <c r="BU387">
        <v>410998</v>
      </c>
      <c r="BV387">
        <v>539321</v>
      </c>
      <c r="BW387">
        <v>0</v>
      </c>
      <c r="BX387">
        <v>396998</v>
      </c>
      <c r="BY387">
        <v>0</v>
      </c>
      <c r="BZ387">
        <v>1</v>
      </c>
      <c r="CA387" t="s">
        <v>520</v>
      </c>
      <c r="CB387" t="s">
        <v>521</v>
      </c>
      <c r="CC387" s="3">
        <v>46092.557106481479</v>
      </c>
      <c r="CD387" t="s">
        <v>91</v>
      </c>
    </row>
    <row r="388" spans="1:82" ht="16" x14ac:dyDescent="0.2">
      <c r="A388" t="s">
        <v>702</v>
      </c>
      <c r="B388" t="s">
        <v>703</v>
      </c>
      <c r="C388" t="s">
        <v>704</v>
      </c>
      <c r="D388" t="s">
        <v>78</v>
      </c>
      <c r="E388" t="s">
        <v>705</v>
      </c>
      <c r="F388">
        <v>2</v>
      </c>
      <c r="G388">
        <v>300</v>
      </c>
      <c r="H388" t="str">
        <f t="shared" si="43"/>
        <v>2x300</v>
      </c>
      <c r="I388">
        <v>171</v>
      </c>
      <c r="J388" s="4">
        <f t="shared" si="44"/>
        <v>4.7499999999999994E-2</v>
      </c>
      <c r="K388">
        <v>258</v>
      </c>
      <c r="L388" s="4">
        <f t="shared" si="45"/>
        <v>7.166666666666667E-2</v>
      </c>
      <c r="M388">
        <v>391</v>
      </c>
      <c r="N388" s="4">
        <f t="shared" si="46"/>
        <v>0.1086111111111111</v>
      </c>
      <c r="O388">
        <v>780</v>
      </c>
      <c r="P388" s="4">
        <f t="shared" si="47"/>
        <v>0.21666666666666667</v>
      </c>
      <c r="Q388" s="6">
        <f t="shared" si="42"/>
        <v>2035</v>
      </c>
      <c r="R388" s="6">
        <f t="shared" si="48"/>
        <v>4</v>
      </c>
      <c r="S388">
        <v>156</v>
      </c>
      <c r="T388">
        <v>-18</v>
      </c>
      <c r="U388">
        <v>-15</v>
      </c>
      <c r="V388">
        <v>8</v>
      </c>
      <c r="W388">
        <v>1</v>
      </c>
      <c r="X388">
        <v>63</v>
      </c>
      <c r="Y388" s="2" t="s">
        <v>706</v>
      </c>
      <c r="Z388">
        <v>42.051982428722503</v>
      </c>
      <c r="AA388">
        <v>11.820677321688899</v>
      </c>
      <c r="AB388" t="s">
        <v>78</v>
      </c>
      <c r="AC388" t="s">
        <v>81</v>
      </c>
      <c r="AD388" t="s">
        <v>82</v>
      </c>
      <c r="AE388">
        <v>38062</v>
      </c>
      <c r="AF388">
        <v>15356</v>
      </c>
      <c r="AG388">
        <v>0</v>
      </c>
      <c r="AH388">
        <v>22706</v>
      </c>
      <c r="AI388">
        <v>0</v>
      </c>
      <c r="AJ388">
        <v>0</v>
      </c>
      <c r="AK388">
        <v>0</v>
      </c>
      <c r="AL388">
        <v>770</v>
      </c>
      <c r="AM388">
        <v>3811</v>
      </c>
      <c r="AN388">
        <v>44080</v>
      </c>
      <c r="AO388">
        <v>69105</v>
      </c>
      <c r="AP388">
        <v>0</v>
      </c>
      <c r="AQ388">
        <v>1</v>
      </c>
      <c r="AR388">
        <v>3</v>
      </c>
      <c r="AS388">
        <v>8</v>
      </c>
      <c r="AT388">
        <v>2</v>
      </c>
      <c r="AU388">
        <v>5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42.0520122</v>
      </c>
      <c r="BK388">
        <v>11.820933800000001</v>
      </c>
      <c r="BL388">
        <v>600</v>
      </c>
      <c r="BM388" t="s">
        <v>83</v>
      </c>
      <c r="BN388" t="s">
        <v>84</v>
      </c>
      <c r="BO388" t="s">
        <v>85</v>
      </c>
      <c r="BP388" t="s">
        <v>86</v>
      </c>
      <c r="BQ388" t="s">
        <v>87</v>
      </c>
      <c r="BR388" t="s">
        <v>88</v>
      </c>
      <c r="BS388">
        <v>761249</v>
      </c>
      <c r="BT388">
        <v>307120</v>
      </c>
      <c r="BU388">
        <v>0</v>
      </c>
      <c r="BV388">
        <v>454129</v>
      </c>
      <c r="BW388">
        <v>0</v>
      </c>
      <c r="BX388">
        <v>0</v>
      </c>
      <c r="BY388">
        <v>0</v>
      </c>
      <c r="BZ388">
        <v>1</v>
      </c>
      <c r="CA388" t="s">
        <v>707</v>
      </c>
      <c r="CB388" t="s">
        <v>708</v>
      </c>
      <c r="CC388" s="3">
        <v>46092.557106481479</v>
      </c>
      <c r="CD388" t="s">
        <v>91</v>
      </c>
    </row>
    <row r="389" spans="1:82" ht="16" x14ac:dyDescent="0.2">
      <c r="A389" t="s">
        <v>709</v>
      </c>
      <c r="B389" t="s">
        <v>710</v>
      </c>
      <c r="C389" t="s">
        <v>711</v>
      </c>
      <c r="D389" t="s">
        <v>78</v>
      </c>
      <c r="E389" t="s">
        <v>712</v>
      </c>
      <c r="F389">
        <v>2</v>
      </c>
      <c r="G389">
        <v>300</v>
      </c>
      <c r="H389" t="str">
        <f t="shared" si="43"/>
        <v>2x300</v>
      </c>
      <c r="I389">
        <v>171</v>
      </c>
      <c r="J389" s="4">
        <f t="shared" si="44"/>
        <v>4.7499999999999994E-2</v>
      </c>
      <c r="K389">
        <v>258</v>
      </c>
      <c r="L389" s="4">
        <f t="shared" si="45"/>
        <v>7.166666666666667E-2</v>
      </c>
      <c r="M389">
        <v>391</v>
      </c>
      <c r="N389" s="4">
        <f t="shared" si="46"/>
        <v>0.1086111111111111</v>
      </c>
      <c r="O389">
        <v>780</v>
      </c>
      <c r="P389" s="4">
        <f t="shared" si="47"/>
        <v>0.21666666666666667</v>
      </c>
      <c r="Q389" s="6">
        <f t="shared" si="42"/>
        <v>2035</v>
      </c>
      <c r="R389" s="6">
        <f t="shared" si="48"/>
        <v>4</v>
      </c>
      <c r="S389">
        <v>156</v>
      </c>
      <c r="T389">
        <v>34</v>
      </c>
      <c r="U389">
        <v>-25</v>
      </c>
      <c r="V389">
        <v>-10</v>
      </c>
      <c r="W389">
        <v>-25</v>
      </c>
      <c r="X389">
        <v>69</v>
      </c>
      <c r="Y389" s="2" t="s">
        <v>713</v>
      </c>
      <c r="Z389">
        <v>44.8507800324629</v>
      </c>
      <c r="AA389">
        <v>11.5884411336803</v>
      </c>
      <c r="AB389" t="s">
        <v>78</v>
      </c>
      <c r="AC389" t="s">
        <v>81</v>
      </c>
      <c r="AD389" t="s">
        <v>82</v>
      </c>
      <c r="AE389">
        <v>60912</v>
      </c>
      <c r="AF389">
        <v>0</v>
      </c>
      <c r="AG389">
        <v>0</v>
      </c>
      <c r="AH389">
        <v>36566</v>
      </c>
      <c r="AI389">
        <v>17769</v>
      </c>
      <c r="AJ389">
        <v>6049</v>
      </c>
      <c r="AK389">
        <v>528</v>
      </c>
      <c r="AL389">
        <v>3028</v>
      </c>
      <c r="AM389">
        <v>14887</v>
      </c>
      <c r="AN389">
        <v>91778</v>
      </c>
      <c r="AO389">
        <v>137478</v>
      </c>
      <c r="AP389">
        <v>1</v>
      </c>
      <c r="AQ389">
        <v>0</v>
      </c>
      <c r="AR389">
        <v>3</v>
      </c>
      <c r="AS389">
        <v>9</v>
      </c>
      <c r="AT389">
        <v>2</v>
      </c>
      <c r="AU389">
        <v>30</v>
      </c>
      <c r="AV389">
        <v>1</v>
      </c>
      <c r="AW389">
        <v>0</v>
      </c>
      <c r="AX389">
        <v>0</v>
      </c>
      <c r="AY389">
        <v>0</v>
      </c>
      <c r="AZ389">
        <v>1</v>
      </c>
      <c r="BA389">
        <v>9</v>
      </c>
      <c r="BB389">
        <v>35</v>
      </c>
      <c r="BC389">
        <v>5</v>
      </c>
      <c r="BD389">
        <v>0</v>
      </c>
      <c r="BE389">
        <v>2</v>
      </c>
      <c r="BF389">
        <v>2</v>
      </c>
      <c r="BG389">
        <v>2</v>
      </c>
      <c r="BH389">
        <v>16</v>
      </c>
      <c r="BI389">
        <v>2</v>
      </c>
      <c r="BJ389">
        <v>44.850640200000001</v>
      </c>
      <c r="BK389">
        <v>11.5881738</v>
      </c>
      <c r="BL389">
        <v>600</v>
      </c>
      <c r="BM389" t="s">
        <v>83</v>
      </c>
      <c r="BN389" t="s">
        <v>84</v>
      </c>
      <c r="BO389" t="s">
        <v>85</v>
      </c>
      <c r="BP389" t="s">
        <v>160</v>
      </c>
      <c r="BQ389" t="s">
        <v>170</v>
      </c>
      <c r="BR389" t="s">
        <v>615</v>
      </c>
      <c r="BS389">
        <v>1165015</v>
      </c>
      <c r="BT389">
        <v>0</v>
      </c>
      <c r="BU389">
        <v>0</v>
      </c>
      <c r="BV389">
        <v>678017</v>
      </c>
      <c r="BW389">
        <v>355418</v>
      </c>
      <c r="BX389">
        <v>121013</v>
      </c>
      <c r="BY389">
        <v>10567</v>
      </c>
      <c r="BZ389">
        <v>1</v>
      </c>
      <c r="CA389" t="s">
        <v>714</v>
      </c>
      <c r="CB389" t="s">
        <v>715</v>
      </c>
      <c r="CC389" s="3">
        <v>46092.557106481479</v>
      </c>
      <c r="CD389" t="s">
        <v>91</v>
      </c>
    </row>
    <row r="390" spans="1:82" ht="16" x14ac:dyDescent="0.2">
      <c r="A390" t="s">
        <v>1103</v>
      </c>
      <c r="B390" t="s">
        <v>523</v>
      </c>
      <c r="C390" t="s">
        <v>524</v>
      </c>
      <c r="D390" t="s">
        <v>78</v>
      </c>
      <c r="E390" t="s">
        <v>525</v>
      </c>
      <c r="F390">
        <v>2</v>
      </c>
      <c r="G390">
        <v>150</v>
      </c>
      <c r="H390" t="str">
        <f t="shared" si="43"/>
        <v>2x150</v>
      </c>
      <c r="I390">
        <v>170</v>
      </c>
      <c r="J390" s="4">
        <f t="shared" si="44"/>
        <v>5.4487179487179488E-2</v>
      </c>
      <c r="K390">
        <v>257</v>
      </c>
      <c r="L390" s="4">
        <f t="shared" si="45"/>
        <v>8.2371794871794871E-2</v>
      </c>
      <c r="M390">
        <v>390</v>
      </c>
      <c r="N390" s="4">
        <f t="shared" si="46"/>
        <v>0.125</v>
      </c>
      <c r="O390">
        <v>778</v>
      </c>
      <c r="P390" s="4">
        <f t="shared" si="47"/>
        <v>0.24935897435897436</v>
      </c>
      <c r="Q390" s="6">
        <f t="shared" si="42"/>
        <v>2035</v>
      </c>
      <c r="R390" s="6">
        <f t="shared" si="48"/>
        <v>4</v>
      </c>
      <c r="S390">
        <v>135</v>
      </c>
      <c r="T390">
        <v>33</v>
      </c>
      <c r="U390">
        <v>-17</v>
      </c>
      <c r="V390">
        <v>-9</v>
      </c>
      <c r="W390">
        <v>-3</v>
      </c>
      <c r="X390">
        <v>53</v>
      </c>
      <c r="Y390" s="2" t="s">
        <v>526</v>
      </c>
      <c r="Z390">
        <v>45.689129007680002</v>
      </c>
      <c r="AA390">
        <v>11.4842185865053</v>
      </c>
      <c r="AB390" t="s">
        <v>78</v>
      </c>
      <c r="AC390" t="s">
        <v>81</v>
      </c>
      <c r="AD390" t="s">
        <v>82</v>
      </c>
      <c r="AE390">
        <v>39893</v>
      </c>
      <c r="AF390">
        <v>0</v>
      </c>
      <c r="AG390">
        <v>0</v>
      </c>
      <c r="AH390">
        <v>0</v>
      </c>
      <c r="AI390">
        <v>32595</v>
      </c>
      <c r="AJ390">
        <v>7298</v>
      </c>
      <c r="AK390">
        <v>0</v>
      </c>
      <c r="AL390">
        <v>2790</v>
      </c>
      <c r="AM390">
        <v>12185</v>
      </c>
      <c r="AN390">
        <v>54584</v>
      </c>
      <c r="AO390">
        <v>172006</v>
      </c>
      <c r="AP390">
        <v>3</v>
      </c>
      <c r="AQ390">
        <v>0</v>
      </c>
      <c r="AR390">
        <v>6</v>
      </c>
      <c r="AS390">
        <v>16</v>
      </c>
      <c r="AT390">
        <v>1</v>
      </c>
      <c r="AU390">
        <v>29</v>
      </c>
      <c r="AV390">
        <v>2</v>
      </c>
      <c r="AW390">
        <v>1</v>
      </c>
      <c r="AX390">
        <v>0</v>
      </c>
      <c r="AY390">
        <v>0</v>
      </c>
      <c r="AZ390">
        <v>0</v>
      </c>
      <c r="BA390">
        <v>8</v>
      </c>
      <c r="BB390">
        <v>16</v>
      </c>
      <c r="BC390">
        <v>2</v>
      </c>
      <c r="BD390">
        <v>0</v>
      </c>
      <c r="BE390">
        <v>0</v>
      </c>
      <c r="BF390">
        <v>4</v>
      </c>
      <c r="BG390">
        <v>0</v>
      </c>
      <c r="BH390">
        <v>4</v>
      </c>
      <c r="BI390">
        <v>0</v>
      </c>
      <c r="BJ390">
        <v>45.689099599999999</v>
      </c>
      <c r="BK390">
        <v>11.4842213</v>
      </c>
      <c r="BL390">
        <v>300</v>
      </c>
      <c r="BM390" t="s">
        <v>83</v>
      </c>
      <c r="BN390" t="s">
        <v>84</v>
      </c>
      <c r="BO390" t="s">
        <v>85</v>
      </c>
      <c r="BP390" t="s">
        <v>160</v>
      </c>
      <c r="BQ390" t="s">
        <v>161</v>
      </c>
      <c r="BR390" t="s">
        <v>527</v>
      </c>
      <c r="BS390">
        <v>797949</v>
      </c>
      <c r="BT390">
        <v>0</v>
      </c>
      <c r="BU390">
        <v>0</v>
      </c>
      <c r="BV390">
        <v>0</v>
      </c>
      <c r="BW390">
        <v>651960</v>
      </c>
      <c r="BX390">
        <v>145989</v>
      </c>
      <c r="BY390">
        <v>0</v>
      </c>
      <c r="BZ390">
        <v>1</v>
      </c>
      <c r="CA390" t="s">
        <v>528</v>
      </c>
      <c r="CB390" t="s">
        <v>529</v>
      </c>
      <c r="CC390" s="3">
        <v>46092.557106481479</v>
      </c>
      <c r="CD390" t="s">
        <v>91</v>
      </c>
    </row>
    <row r="391" spans="1:82" ht="16" x14ac:dyDescent="0.2">
      <c r="A391" t="s">
        <v>1104</v>
      </c>
      <c r="B391" t="s">
        <v>531</v>
      </c>
      <c r="C391" t="s">
        <v>532</v>
      </c>
      <c r="D391" t="s">
        <v>78</v>
      </c>
      <c r="E391" t="s">
        <v>533</v>
      </c>
      <c r="F391">
        <v>2</v>
      </c>
      <c r="G391">
        <v>150</v>
      </c>
      <c r="H391" t="str">
        <f t="shared" si="43"/>
        <v>2x150</v>
      </c>
      <c r="I391">
        <v>170</v>
      </c>
      <c r="J391" s="4">
        <f t="shared" si="44"/>
        <v>5.4487179487179488E-2</v>
      </c>
      <c r="K391">
        <v>256</v>
      </c>
      <c r="L391" s="4">
        <f t="shared" si="45"/>
        <v>8.2051282051282051E-2</v>
      </c>
      <c r="M391">
        <v>388</v>
      </c>
      <c r="N391" s="4">
        <f t="shared" si="46"/>
        <v>0.12435897435897436</v>
      </c>
      <c r="O391">
        <v>775</v>
      </c>
      <c r="P391" s="4">
        <f t="shared" si="47"/>
        <v>0.2483974358974359</v>
      </c>
      <c r="Q391" s="6">
        <f t="shared" si="42"/>
        <v>2035</v>
      </c>
      <c r="R391" s="6">
        <f t="shared" si="48"/>
        <v>4</v>
      </c>
      <c r="S391">
        <v>135</v>
      </c>
      <c r="T391">
        <v>9</v>
      </c>
      <c r="U391">
        <v>-1</v>
      </c>
      <c r="V391">
        <v>3</v>
      </c>
      <c r="W391">
        <v>-7</v>
      </c>
      <c r="X391">
        <v>49</v>
      </c>
      <c r="Y391" s="2" t="s">
        <v>534</v>
      </c>
      <c r="Z391">
        <v>45.590515099999998</v>
      </c>
      <c r="AA391">
        <v>9.0504111999999992</v>
      </c>
      <c r="AB391" t="s">
        <v>78</v>
      </c>
      <c r="AC391" t="s">
        <v>81</v>
      </c>
      <c r="AD391" t="s">
        <v>82</v>
      </c>
      <c r="AE391">
        <v>44775</v>
      </c>
      <c r="AF391">
        <v>0</v>
      </c>
      <c r="AG391">
        <v>0</v>
      </c>
      <c r="AH391">
        <v>16158</v>
      </c>
      <c r="AI391">
        <v>0</v>
      </c>
      <c r="AJ391">
        <v>21245</v>
      </c>
      <c r="AK391">
        <v>7372</v>
      </c>
      <c r="AL391">
        <v>9548</v>
      </c>
      <c r="AM391">
        <v>31791</v>
      </c>
      <c r="AN391">
        <v>157161</v>
      </c>
      <c r="AO391">
        <v>675690</v>
      </c>
      <c r="AP391">
        <v>0</v>
      </c>
      <c r="AQ391">
        <v>1</v>
      </c>
      <c r="AR391">
        <v>4</v>
      </c>
      <c r="AS391">
        <v>11</v>
      </c>
      <c r="AT391">
        <v>0</v>
      </c>
      <c r="AU391">
        <v>19</v>
      </c>
      <c r="AV391">
        <v>3</v>
      </c>
      <c r="AW391">
        <v>0</v>
      </c>
      <c r="AX391">
        <v>0</v>
      </c>
      <c r="AY391">
        <v>0</v>
      </c>
      <c r="AZ391">
        <v>0</v>
      </c>
      <c r="BA391">
        <v>7</v>
      </c>
      <c r="BB391">
        <v>18</v>
      </c>
      <c r="BC391">
        <v>4</v>
      </c>
      <c r="BD391">
        <v>2</v>
      </c>
      <c r="BE391">
        <v>0</v>
      </c>
      <c r="BF391">
        <v>4</v>
      </c>
      <c r="BG391">
        <v>0</v>
      </c>
      <c r="BH391">
        <v>10</v>
      </c>
      <c r="BI391">
        <v>0</v>
      </c>
      <c r="BJ391">
        <v>45.590637800000003</v>
      </c>
      <c r="BK391">
        <v>9.0503678999999995</v>
      </c>
      <c r="BL391">
        <v>300</v>
      </c>
      <c r="BM391" t="s">
        <v>83</v>
      </c>
      <c r="BN391" t="s">
        <v>84</v>
      </c>
      <c r="BO391" t="s">
        <v>85</v>
      </c>
      <c r="BP391" t="s">
        <v>107</v>
      </c>
      <c r="BQ391" t="s">
        <v>108</v>
      </c>
      <c r="BR391" t="s">
        <v>305</v>
      </c>
      <c r="BS391">
        <v>895644</v>
      </c>
      <c r="BT391">
        <v>0</v>
      </c>
      <c r="BU391">
        <v>0</v>
      </c>
      <c r="BV391">
        <v>323192</v>
      </c>
      <c r="BW391">
        <v>0</v>
      </c>
      <c r="BX391">
        <v>424962</v>
      </c>
      <c r="BY391">
        <v>147490</v>
      </c>
      <c r="BZ391">
        <v>1</v>
      </c>
      <c r="CA391" t="s">
        <v>535</v>
      </c>
      <c r="CB391" t="s">
        <v>536</v>
      </c>
      <c r="CC391" s="3">
        <v>46092.557106481479</v>
      </c>
      <c r="CD391" t="s">
        <v>91</v>
      </c>
    </row>
    <row r="392" spans="1:82" ht="16" x14ac:dyDescent="0.2">
      <c r="A392" t="s">
        <v>1105</v>
      </c>
      <c r="B392" t="s">
        <v>538</v>
      </c>
      <c r="C392" t="s">
        <v>539</v>
      </c>
      <c r="D392" t="s">
        <v>78</v>
      </c>
      <c r="E392" t="s">
        <v>540</v>
      </c>
      <c r="F392">
        <v>2</v>
      </c>
      <c r="G392">
        <v>150</v>
      </c>
      <c r="H392" t="str">
        <f t="shared" si="43"/>
        <v>2x150</v>
      </c>
      <c r="I392">
        <v>169</v>
      </c>
      <c r="J392" s="4">
        <f t="shared" si="44"/>
        <v>5.4166666666666669E-2</v>
      </c>
      <c r="K392">
        <v>255</v>
      </c>
      <c r="L392" s="4">
        <f t="shared" si="45"/>
        <v>8.1730769230769232E-2</v>
      </c>
      <c r="M392">
        <v>387</v>
      </c>
      <c r="N392" s="4">
        <f t="shared" si="46"/>
        <v>0.12403846153846154</v>
      </c>
      <c r="O392">
        <v>772</v>
      </c>
      <c r="P392" s="4">
        <f t="shared" si="47"/>
        <v>0.24743589743589745</v>
      </c>
      <c r="Q392" s="6">
        <f t="shared" si="42"/>
        <v>2035</v>
      </c>
      <c r="R392" s="6">
        <f t="shared" si="48"/>
        <v>4</v>
      </c>
      <c r="S392">
        <v>135</v>
      </c>
      <c r="T392">
        <v>29</v>
      </c>
      <c r="U392">
        <v>-17</v>
      </c>
      <c r="V392">
        <v>-2</v>
      </c>
      <c r="W392">
        <v>-8</v>
      </c>
      <c r="X392">
        <v>51</v>
      </c>
      <c r="Y392" s="2" t="s">
        <v>541</v>
      </c>
      <c r="Z392">
        <v>45.302909378343401</v>
      </c>
      <c r="AA392">
        <v>9.4870821374283292</v>
      </c>
      <c r="AB392" t="s">
        <v>78</v>
      </c>
      <c r="AC392" t="s">
        <v>81</v>
      </c>
      <c r="AD392" t="s">
        <v>82</v>
      </c>
      <c r="AE392">
        <v>74116</v>
      </c>
      <c r="AF392">
        <v>0</v>
      </c>
      <c r="AG392">
        <v>0</v>
      </c>
      <c r="AH392">
        <v>24689</v>
      </c>
      <c r="AI392">
        <v>18084</v>
      </c>
      <c r="AJ392">
        <v>26146</v>
      </c>
      <c r="AK392">
        <v>5197</v>
      </c>
      <c r="AL392">
        <v>10334</v>
      </c>
      <c r="AM392">
        <v>29571</v>
      </c>
      <c r="AN392">
        <v>60127</v>
      </c>
      <c r="AO392">
        <v>120363</v>
      </c>
      <c r="AP392">
        <v>2</v>
      </c>
      <c r="AQ392">
        <v>1</v>
      </c>
      <c r="AR392">
        <v>4</v>
      </c>
      <c r="AS392">
        <v>5</v>
      </c>
      <c r="AT392">
        <v>0</v>
      </c>
      <c r="AU392">
        <v>10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2</v>
      </c>
      <c r="BB392">
        <v>15</v>
      </c>
      <c r="BC392">
        <v>2</v>
      </c>
      <c r="BD392">
        <v>4</v>
      </c>
      <c r="BE392">
        <v>0</v>
      </c>
      <c r="BF392">
        <v>4</v>
      </c>
      <c r="BG392">
        <v>0</v>
      </c>
      <c r="BH392">
        <v>6</v>
      </c>
      <c r="BI392">
        <v>0</v>
      </c>
      <c r="BJ392">
        <v>45.3029443</v>
      </c>
      <c r="BK392">
        <v>9.4871209000000007</v>
      </c>
      <c r="BL392">
        <v>300</v>
      </c>
      <c r="BM392" t="s">
        <v>83</v>
      </c>
      <c r="BN392" t="s">
        <v>84</v>
      </c>
      <c r="BO392" t="s">
        <v>85</v>
      </c>
      <c r="BP392" t="s">
        <v>107</v>
      </c>
      <c r="BQ392" t="s">
        <v>108</v>
      </c>
      <c r="BR392" t="s">
        <v>539</v>
      </c>
      <c r="BS392">
        <v>1482451</v>
      </c>
      <c r="BT392">
        <v>0</v>
      </c>
      <c r="BU392">
        <v>0</v>
      </c>
      <c r="BV392">
        <v>493794</v>
      </c>
      <c r="BW392">
        <v>361692</v>
      </c>
      <c r="BX392">
        <v>523002</v>
      </c>
      <c r="BY392">
        <v>103963</v>
      </c>
      <c r="BZ392">
        <v>1</v>
      </c>
      <c r="CA392" t="s">
        <v>542</v>
      </c>
      <c r="CB392" t="s">
        <v>543</v>
      </c>
      <c r="CC392" s="3">
        <v>46092.557106481479</v>
      </c>
      <c r="CD392" t="s">
        <v>91</v>
      </c>
    </row>
    <row r="393" spans="1:82" ht="16" x14ac:dyDescent="0.2">
      <c r="A393" t="s">
        <v>717</v>
      </c>
      <c r="B393" t="s">
        <v>718</v>
      </c>
      <c r="C393" t="s">
        <v>719</v>
      </c>
      <c r="D393" t="s">
        <v>78</v>
      </c>
      <c r="E393" t="s">
        <v>720</v>
      </c>
      <c r="F393">
        <v>2</v>
      </c>
      <c r="G393">
        <v>300</v>
      </c>
      <c r="H393" t="str">
        <f t="shared" si="43"/>
        <v>2x300</v>
      </c>
      <c r="I393">
        <v>169</v>
      </c>
      <c r="J393" s="4">
        <f t="shared" si="44"/>
        <v>4.6944444444444448E-2</v>
      </c>
      <c r="K393">
        <v>255</v>
      </c>
      <c r="L393" s="4">
        <f t="shared" si="45"/>
        <v>7.0833333333333331E-2</v>
      </c>
      <c r="M393">
        <v>386</v>
      </c>
      <c r="N393" s="4">
        <f t="shared" si="46"/>
        <v>0.10722222222222222</v>
      </c>
      <c r="O393">
        <v>771</v>
      </c>
      <c r="P393" s="4">
        <f t="shared" si="47"/>
        <v>0.21416666666666664</v>
      </c>
      <c r="Q393" s="6">
        <f t="shared" si="42"/>
        <v>2035</v>
      </c>
      <c r="R393" s="6">
        <f t="shared" si="48"/>
        <v>4</v>
      </c>
      <c r="S393">
        <v>156</v>
      </c>
      <c r="T393">
        <v>0</v>
      </c>
      <c r="U393">
        <v>-17</v>
      </c>
      <c r="V393">
        <v>-9</v>
      </c>
      <c r="W393">
        <v>2</v>
      </c>
      <c r="X393">
        <v>55</v>
      </c>
      <c r="Y393" s="2" t="s">
        <v>721</v>
      </c>
      <c r="Z393">
        <v>42.771929999999998</v>
      </c>
      <c r="AA393">
        <v>11.10685</v>
      </c>
      <c r="AB393" t="s">
        <v>78</v>
      </c>
      <c r="AC393" t="s">
        <v>81</v>
      </c>
      <c r="AD393" t="s">
        <v>82</v>
      </c>
      <c r="AE393">
        <v>38999</v>
      </c>
      <c r="AF393">
        <v>0</v>
      </c>
      <c r="AG393">
        <v>0</v>
      </c>
      <c r="AH393">
        <v>0</v>
      </c>
      <c r="AI393">
        <v>11590</v>
      </c>
      <c r="AJ393">
        <v>9030</v>
      </c>
      <c r="AK393">
        <v>18379</v>
      </c>
      <c r="AL393">
        <v>21131</v>
      </c>
      <c r="AM393">
        <v>50350</v>
      </c>
      <c r="AN393">
        <v>68210</v>
      </c>
      <c r="AO393">
        <v>75826</v>
      </c>
      <c r="AP393">
        <v>9</v>
      </c>
      <c r="AQ393">
        <v>0</v>
      </c>
      <c r="AR393">
        <v>3</v>
      </c>
      <c r="AS393">
        <v>13</v>
      </c>
      <c r="AT393">
        <v>1</v>
      </c>
      <c r="AU393">
        <v>22</v>
      </c>
      <c r="AV393">
        <v>11</v>
      </c>
      <c r="AW393">
        <v>0</v>
      </c>
      <c r="AX393">
        <v>0</v>
      </c>
      <c r="AY393">
        <v>0</v>
      </c>
      <c r="AZ393">
        <v>1</v>
      </c>
      <c r="BA393">
        <v>13</v>
      </c>
      <c r="BB393">
        <v>40</v>
      </c>
      <c r="BC393">
        <v>6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42.771922699999998</v>
      </c>
      <c r="BK393">
        <v>11.1069043</v>
      </c>
      <c r="BL393">
        <v>600</v>
      </c>
      <c r="BM393" t="s">
        <v>83</v>
      </c>
      <c r="BN393" t="s">
        <v>84</v>
      </c>
      <c r="BO393" t="s">
        <v>85</v>
      </c>
      <c r="BP393" t="s">
        <v>86</v>
      </c>
      <c r="BQ393" t="s">
        <v>212</v>
      </c>
      <c r="BR393" t="s">
        <v>719</v>
      </c>
      <c r="BS393">
        <v>780101</v>
      </c>
      <c r="BT393">
        <v>0</v>
      </c>
      <c r="BU393">
        <v>0</v>
      </c>
      <c r="BV393">
        <v>0</v>
      </c>
      <c r="BW393">
        <v>231817</v>
      </c>
      <c r="BX393">
        <v>180621</v>
      </c>
      <c r="BY393">
        <v>367663</v>
      </c>
      <c r="BZ393">
        <v>1</v>
      </c>
      <c r="CA393" t="s">
        <v>722</v>
      </c>
      <c r="CB393" t="s">
        <v>723</v>
      </c>
      <c r="CC393" s="3">
        <v>46092.557106481479</v>
      </c>
      <c r="CD393" t="s">
        <v>91</v>
      </c>
    </row>
    <row r="394" spans="1:82" ht="16" x14ac:dyDescent="0.2">
      <c r="A394" t="s">
        <v>1106</v>
      </c>
      <c r="B394" t="s">
        <v>545</v>
      </c>
      <c r="C394" t="s">
        <v>546</v>
      </c>
      <c r="D394" t="s">
        <v>78</v>
      </c>
      <c r="E394" t="s">
        <v>547</v>
      </c>
      <c r="F394">
        <v>2</v>
      </c>
      <c r="G394">
        <v>150</v>
      </c>
      <c r="H394" t="str">
        <f t="shared" si="43"/>
        <v>2x150</v>
      </c>
      <c r="I394">
        <v>168</v>
      </c>
      <c r="J394" s="4">
        <f t="shared" si="44"/>
        <v>5.3846153846153849E-2</v>
      </c>
      <c r="K394">
        <v>254</v>
      </c>
      <c r="L394" s="4">
        <f t="shared" si="45"/>
        <v>8.1410256410256412E-2</v>
      </c>
      <c r="M394">
        <v>386</v>
      </c>
      <c r="N394" s="4">
        <f t="shared" si="46"/>
        <v>0.12371794871794872</v>
      </c>
      <c r="O394">
        <v>770</v>
      </c>
      <c r="P394" s="4">
        <f t="shared" si="47"/>
        <v>0.24679487179487181</v>
      </c>
      <c r="Q394" s="6">
        <f t="shared" si="42"/>
        <v>2035</v>
      </c>
      <c r="R394" s="6">
        <f t="shared" si="48"/>
        <v>4</v>
      </c>
      <c r="S394">
        <v>135</v>
      </c>
      <c r="T394">
        <v>8</v>
      </c>
      <c r="U394">
        <v>-19</v>
      </c>
      <c r="V394">
        <v>15</v>
      </c>
      <c r="W394">
        <v>-2</v>
      </c>
      <c r="X394">
        <v>49</v>
      </c>
      <c r="Y394" s="2" t="s">
        <v>548</v>
      </c>
      <c r="Z394">
        <v>44.781399999999998</v>
      </c>
      <c r="AA394">
        <v>10.3421</v>
      </c>
      <c r="AB394" t="s">
        <v>78</v>
      </c>
      <c r="AC394" t="s">
        <v>81</v>
      </c>
      <c r="AD394" t="s">
        <v>82</v>
      </c>
      <c r="AE394">
        <v>66264</v>
      </c>
      <c r="AF394">
        <v>0</v>
      </c>
      <c r="AG394">
        <v>0</v>
      </c>
      <c r="AH394">
        <v>23865</v>
      </c>
      <c r="AI394">
        <v>0</v>
      </c>
      <c r="AJ394">
        <v>36362</v>
      </c>
      <c r="AK394">
        <v>6037</v>
      </c>
      <c r="AL394">
        <v>12384</v>
      </c>
      <c r="AM394">
        <v>53587</v>
      </c>
      <c r="AN394">
        <v>160946</v>
      </c>
      <c r="AO394">
        <v>217431</v>
      </c>
      <c r="AP394">
        <v>1</v>
      </c>
      <c r="AQ394">
        <v>5</v>
      </c>
      <c r="AR394">
        <v>3</v>
      </c>
      <c r="AS394">
        <v>6</v>
      </c>
      <c r="AT394">
        <v>3</v>
      </c>
      <c r="AU394">
        <v>8</v>
      </c>
      <c r="AV394">
        <v>9</v>
      </c>
      <c r="AW394">
        <v>0</v>
      </c>
      <c r="AX394">
        <v>1</v>
      </c>
      <c r="AY394">
        <v>0</v>
      </c>
      <c r="AZ394">
        <v>0</v>
      </c>
      <c r="BA394">
        <v>12</v>
      </c>
      <c r="BB394">
        <v>28</v>
      </c>
      <c r="BC394">
        <v>6</v>
      </c>
      <c r="BD394">
        <v>4</v>
      </c>
      <c r="BE394">
        <v>0</v>
      </c>
      <c r="BF394">
        <v>4</v>
      </c>
      <c r="BG394">
        <v>0</v>
      </c>
      <c r="BH394">
        <v>4</v>
      </c>
      <c r="BI394">
        <v>0</v>
      </c>
      <c r="BJ394">
        <v>44.781359299999998</v>
      </c>
      <c r="BK394">
        <v>10.341948500000001</v>
      </c>
      <c r="BL394">
        <v>300</v>
      </c>
      <c r="BM394" t="s">
        <v>83</v>
      </c>
      <c r="BN394" t="s">
        <v>84</v>
      </c>
      <c r="BO394" t="s">
        <v>85</v>
      </c>
      <c r="BP394" t="s">
        <v>160</v>
      </c>
      <c r="BQ394" t="s">
        <v>170</v>
      </c>
      <c r="BR394" t="s">
        <v>171</v>
      </c>
      <c r="BS394">
        <v>1325383</v>
      </c>
      <c r="BT394">
        <v>0</v>
      </c>
      <c r="BU394">
        <v>0</v>
      </c>
      <c r="BV394">
        <v>477327</v>
      </c>
      <c r="BW394">
        <v>0</v>
      </c>
      <c r="BX394">
        <v>727306</v>
      </c>
      <c r="BY394">
        <v>120750</v>
      </c>
      <c r="BZ394">
        <v>1</v>
      </c>
      <c r="CA394" t="s">
        <v>549</v>
      </c>
      <c r="CB394" t="s">
        <v>550</v>
      </c>
      <c r="CC394" s="3">
        <v>46092.557106481479</v>
      </c>
      <c r="CD394" t="s">
        <v>91</v>
      </c>
    </row>
    <row r="395" spans="1:82" ht="16" x14ac:dyDescent="0.2">
      <c r="A395" t="s">
        <v>1107</v>
      </c>
      <c r="B395" t="s">
        <v>552</v>
      </c>
      <c r="C395" t="s">
        <v>423</v>
      </c>
      <c r="D395" t="s">
        <v>78</v>
      </c>
      <c r="E395" t="s">
        <v>553</v>
      </c>
      <c r="F395">
        <v>2</v>
      </c>
      <c r="G395">
        <v>150</v>
      </c>
      <c r="H395" t="str">
        <f t="shared" si="43"/>
        <v>2x150</v>
      </c>
      <c r="I395">
        <v>168</v>
      </c>
      <c r="J395" s="4">
        <f t="shared" si="44"/>
        <v>5.3846153846153849E-2</v>
      </c>
      <c r="K395">
        <v>253</v>
      </c>
      <c r="L395" s="4">
        <f t="shared" si="45"/>
        <v>8.1089743589743593E-2</v>
      </c>
      <c r="M395">
        <v>384</v>
      </c>
      <c r="N395" s="4">
        <f t="shared" si="46"/>
        <v>0.12307692307692308</v>
      </c>
      <c r="O395">
        <v>766</v>
      </c>
      <c r="P395" s="4">
        <f t="shared" si="47"/>
        <v>0.24551282051282053</v>
      </c>
      <c r="Q395" s="6">
        <f t="shared" si="42"/>
        <v>2035</v>
      </c>
      <c r="R395" s="6">
        <f t="shared" si="48"/>
        <v>4</v>
      </c>
      <c r="S395">
        <v>135</v>
      </c>
      <c r="T395">
        <v>18</v>
      </c>
      <c r="U395">
        <v>-18</v>
      </c>
      <c r="V395">
        <v>-2</v>
      </c>
      <c r="W395">
        <v>1</v>
      </c>
      <c r="X395">
        <v>55</v>
      </c>
      <c r="Y395" s="2" t="s">
        <v>554</v>
      </c>
      <c r="Z395">
        <v>43.4522209</v>
      </c>
      <c r="AA395">
        <v>11.88124</v>
      </c>
      <c r="AB395" t="s">
        <v>78</v>
      </c>
      <c r="AC395" t="s">
        <v>81</v>
      </c>
      <c r="AD395" t="s">
        <v>82</v>
      </c>
      <c r="AE395">
        <v>46565</v>
      </c>
      <c r="AF395">
        <v>0</v>
      </c>
      <c r="AG395">
        <v>15028</v>
      </c>
      <c r="AH395">
        <v>18399</v>
      </c>
      <c r="AI395">
        <v>5991</v>
      </c>
      <c r="AJ395">
        <v>5404</v>
      </c>
      <c r="AK395">
        <v>1743</v>
      </c>
      <c r="AL395">
        <v>12627</v>
      </c>
      <c r="AM395">
        <v>39989</v>
      </c>
      <c r="AN395">
        <v>73253</v>
      </c>
      <c r="AO395">
        <v>102463</v>
      </c>
      <c r="AP395">
        <v>0</v>
      </c>
      <c r="AQ395">
        <v>0</v>
      </c>
      <c r="AR395">
        <v>1</v>
      </c>
      <c r="AS395">
        <v>2</v>
      </c>
      <c r="AT395">
        <v>1</v>
      </c>
      <c r="AU395">
        <v>19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10</v>
      </c>
      <c r="BB395">
        <v>20</v>
      </c>
      <c r="BC395">
        <v>10</v>
      </c>
      <c r="BD395">
        <v>0</v>
      </c>
      <c r="BE395">
        <v>0</v>
      </c>
      <c r="BF395">
        <v>0</v>
      </c>
      <c r="BG395">
        <v>0</v>
      </c>
      <c r="BH395">
        <v>2</v>
      </c>
      <c r="BI395">
        <v>0</v>
      </c>
      <c r="BJ395">
        <v>43.452114399999999</v>
      </c>
      <c r="BK395">
        <v>11.8813212</v>
      </c>
      <c r="BL395">
        <v>300</v>
      </c>
      <c r="BM395" t="s">
        <v>83</v>
      </c>
      <c r="BN395" t="s">
        <v>84</v>
      </c>
      <c r="BO395" t="s">
        <v>85</v>
      </c>
      <c r="BP395" t="s">
        <v>86</v>
      </c>
      <c r="BQ395" t="s">
        <v>212</v>
      </c>
      <c r="BR395" t="s">
        <v>423</v>
      </c>
      <c r="BS395">
        <v>931456</v>
      </c>
      <c r="BT395">
        <v>0</v>
      </c>
      <c r="BU395">
        <v>300580</v>
      </c>
      <c r="BV395">
        <v>368041</v>
      </c>
      <c r="BW395">
        <v>119832</v>
      </c>
      <c r="BX395">
        <v>108114</v>
      </c>
      <c r="BY395">
        <v>34889</v>
      </c>
      <c r="BZ395">
        <v>1</v>
      </c>
      <c r="CA395" t="s">
        <v>555</v>
      </c>
      <c r="CB395" t="s">
        <v>556</v>
      </c>
      <c r="CC395" s="3">
        <v>46092.557106481479</v>
      </c>
      <c r="CD395" t="s">
        <v>91</v>
      </c>
    </row>
    <row r="396" spans="1:82" ht="16" x14ac:dyDescent="0.2">
      <c r="A396" t="s">
        <v>724</v>
      </c>
      <c r="B396" t="s">
        <v>725</v>
      </c>
      <c r="C396" t="s">
        <v>726</v>
      </c>
      <c r="D396" t="s">
        <v>78</v>
      </c>
      <c r="E396" t="s">
        <v>727</v>
      </c>
      <c r="F396">
        <v>2</v>
      </c>
      <c r="G396">
        <v>300</v>
      </c>
      <c r="H396" t="str">
        <f t="shared" si="43"/>
        <v>2x300</v>
      </c>
      <c r="I396">
        <v>167</v>
      </c>
      <c r="J396" s="4">
        <f t="shared" si="44"/>
        <v>4.6388888888888889E-2</v>
      </c>
      <c r="K396">
        <v>252</v>
      </c>
      <c r="L396" s="4">
        <f t="shared" si="45"/>
        <v>6.9999999999999993E-2</v>
      </c>
      <c r="M396">
        <v>383</v>
      </c>
      <c r="N396" s="4">
        <f t="shared" si="46"/>
        <v>0.10638888888888888</v>
      </c>
      <c r="O396">
        <v>764</v>
      </c>
      <c r="P396" s="4">
        <f t="shared" si="47"/>
        <v>0.21222222222222223</v>
      </c>
      <c r="Q396" s="6">
        <f t="shared" si="42"/>
        <v>2035</v>
      </c>
      <c r="R396" s="6">
        <f t="shared" si="48"/>
        <v>4</v>
      </c>
      <c r="S396">
        <v>156</v>
      </c>
      <c r="T396">
        <v>-8</v>
      </c>
      <c r="U396">
        <v>-26</v>
      </c>
      <c r="V396">
        <v>9</v>
      </c>
      <c r="W396">
        <v>4</v>
      </c>
      <c r="X396">
        <v>48</v>
      </c>
      <c r="Y396" s="2" t="s">
        <v>728</v>
      </c>
      <c r="Z396">
        <v>45.538870000000003</v>
      </c>
      <c r="AA396">
        <v>10.53124</v>
      </c>
      <c r="AB396" t="s">
        <v>78</v>
      </c>
      <c r="AC396" t="s">
        <v>81</v>
      </c>
      <c r="AD396" t="s">
        <v>82</v>
      </c>
      <c r="AE396">
        <v>38719</v>
      </c>
      <c r="AF396">
        <v>0</v>
      </c>
      <c r="AG396">
        <v>0</v>
      </c>
      <c r="AH396">
        <v>22915</v>
      </c>
      <c r="AI396">
        <v>0</v>
      </c>
      <c r="AJ396">
        <v>14121</v>
      </c>
      <c r="AK396">
        <v>1683</v>
      </c>
      <c r="AL396">
        <v>1204</v>
      </c>
      <c r="AM396">
        <v>6143</v>
      </c>
      <c r="AN396">
        <v>20881</v>
      </c>
      <c r="AO396">
        <v>111799</v>
      </c>
      <c r="AP396">
        <v>2</v>
      </c>
      <c r="AQ396">
        <v>1</v>
      </c>
      <c r="AR396">
        <v>2</v>
      </c>
      <c r="AS396">
        <v>10</v>
      </c>
      <c r="AT396">
        <v>2</v>
      </c>
      <c r="AU396">
        <v>10</v>
      </c>
      <c r="AV396">
        <v>0</v>
      </c>
      <c r="AW396">
        <v>1</v>
      </c>
      <c r="AX396">
        <v>2</v>
      </c>
      <c r="AY396">
        <v>0</v>
      </c>
      <c r="AZ396">
        <v>0</v>
      </c>
      <c r="BA396">
        <v>4</v>
      </c>
      <c r="BB396">
        <v>24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2</v>
      </c>
      <c r="BI396">
        <v>0</v>
      </c>
      <c r="BJ396">
        <v>45.538974699999997</v>
      </c>
      <c r="BK396">
        <v>10.5311907</v>
      </c>
      <c r="BL396">
        <v>600</v>
      </c>
      <c r="BM396" t="s">
        <v>83</v>
      </c>
      <c r="BN396" t="s">
        <v>84</v>
      </c>
      <c r="BO396" t="s">
        <v>85</v>
      </c>
      <c r="BP396" t="s">
        <v>107</v>
      </c>
      <c r="BQ396" t="s">
        <v>108</v>
      </c>
      <c r="BR396" t="s">
        <v>179</v>
      </c>
      <c r="BS396">
        <v>774451</v>
      </c>
      <c r="BT396">
        <v>0</v>
      </c>
      <c r="BU396">
        <v>0</v>
      </c>
      <c r="BV396">
        <v>458324</v>
      </c>
      <c r="BW396">
        <v>0</v>
      </c>
      <c r="BX396">
        <v>282457</v>
      </c>
      <c r="BY396">
        <v>33670</v>
      </c>
      <c r="BZ396">
        <v>1</v>
      </c>
      <c r="CA396" t="s">
        <v>729</v>
      </c>
      <c r="CB396" t="s">
        <v>730</v>
      </c>
      <c r="CC396" s="3">
        <v>46092.557106481479</v>
      </c>
      <c r="CD396" t="s">
        <v>91</v>
      </c>
    </row>
    <row r="397" spans="1:82" ht="16" x14ac:dyDescent="0.2">
      <c r="A397" t="s">
        <v>731</v>
      </c>
      <c r="B397" t="s">
        <v>732</v>
      </c>
      <c r="C397" t="s">
        <v>733</v>
      </c>
      <c r="D397" t="s">
        <v>78</v>
      </c>
      <c r="E397" t="s">
        <v>734</v>
      </c>
      <c r="F397">
        <v>2</v>
      </c>
      <c r="G397">
        <v>300</v>
      </c>
      <c r="H397" t="str">
        <f t="shared" si="43"/>
        <v>2x300</v>
      </c>
      <c r="I397">
        <v>167</v>
      </c>
      <c r="J397" s="4">
        <f t="shared" si="44"/>
        <v>4.6388888888888889E-2</v>
      </c>
      <c r="K397">
        <v>252</v>
      </c>
      <c r="L397" s="4">
        <f t="shared" si="45"/>
        <v>6.9999999999999993E-2</v>
      </c>
      <c r="M397">
        <v>382</v>
      </c>
      <c r="N397" s="4">
        <f t="shared" si="46"/>
        <v>0.10611111111111111</v>
      </c>
      <c r="O397">
        <v>762</v>
      </c>
      <c r="P397" s="4">
        <f t="shared" si="47"/>
        <v>0.21166666666666667</v>
      </c>
      <c r="Q397" s="6">
        <f t="shared" si="42"/>
        <v>2035</v>
      </c>
      <c r="R397" s="6">
        <f t="shared" si="48"/>
        <v>4</v>
      </c>
      <c r="S397">
        <v>156</v>
      </c>
      <c r="T397">
        <v>16</v>
      </c>
      <c r="U397">
        <v>-24</v>
      </c>
      <c r="V397">
        <v>-3</v>
      </c>
      <c r="W397">
        <v>-11</v>
      </c>
      <c r="X397">
        <v>58</v>
      </c>
      <c r="Y397" s="2" t="s">
        <v>735</v>
      </c>
      <c r="Z397">
        <v>42.43282</v>
      </c>
      <c r="AA397">
        <v>12.09629</v>
      </c>
      <c r="AB397" t="s">
        <v>78</v>
      </c>
      <c r="AC397" t="s">
        <v>81</v>
      </c>
      <c r="AD397" t="s">
        <v>82</v>
      </c>
      <c r="AE397">
        <v>48619</v>
      </c>
      <c r="AF397">
        <v>0</v>
      </c>
      <c r="AG397">
        <v>16202</v>
      </c>
      <c r="AH397">
        <v>20710</v>
      </c>
      <c r="AI397">
        <v>7144</v>
      </c>
      <c r="AJ397">
        <v>4563</v>
      </c>
      <c r="AK397">
        <v>0</v>
      </c>
      <c r="AL397">
        <v>5781</v>
      </c>
      <c r="AM397">
        <v>25498</v>
      </c>
      <c r="AN397">
        <v>55078</v>
      </c>
      <c r="AO397">
        <v>68984</v>
      </c>
      <c r="AP397">
        <v>0</v>
      </c>
      <c r="AQ397">
        <v>0</v>
      </c>
      <c r="AR397">
        <v>7</v>
      </c>
      <c r="AS397">
        <v>14</v>
      </c>
      <c r="AT397">
        <v>2</v>
      </c>
      <c r="AU397">
        <v>26</v>
      </c>
      <c r="AV397">
        <v>1</v>
      </c>
      <c r="AW397">
        <v>0</v>
      </c>
      <c r="AX397">
        <v>1</v>
      </c>
      <c r="AY397">
        <v>1</v>
      </c>
      <c r="AZ397">
        <v>2</v>
      </c>
      <c r="BA397">
        <v>28</v>
      </c>
      <c r="BB397">
        <v>57</v>
      </c>
      <c r="BC397">
        <v>6</v>
      </c>
      <c r="BD397">
        <v>6</v>
      </c>
      <c r="BE397">
        <v>0</v>
      </c>
      <c r="BF397">
        <v>14</v>
      </c>
      <c r="BG397">
        <v>0</v>
      </c>
      <c r="BH397">
        <v>14</v>
      </c>
      <c r="BI397">
        <v>0</v>
      </c>
      <c r="BJ397">
        <v>42.432845200000003</v>
      </c>
      <c r="BK397">
        <v>12.0963504</v>
      </c>
      <c r="BL397">
        <v>600</v>
      </c>
      <c r="BM397" t="s">
        <v>83</v>
      </c>
      <c r="BN397" t="s">
        <v>84</v>
      </c>
      <c r="BO397" t="s">
        <v>85</v>
      </c>
      <c r="BP397" t="s">
        <v>86</v>
      </c>
      <c r="BQ397" t="s">
        <v>87</v>
      </c>
      <c r="BR397" t="s">
        <v>733</v>
      </c>
      <c r="BS397">
        <v>972474</v>
      </c>
      <c r="BT397">
        <v>0</v>
      </c>
      <c r="BU397">
        <v>324062</v>
      </c>
      <c r="BV397">
        <v>414225</v>
      </c>
      <c r="BW397">
        <v>142909</v>
      </c>
      <c r="BX397">
        <v>91278</v>
      </c>
      <c r="BY397">
        <v>0</v>
      </c>
      <c r="BZ397">
        <v>1</v>
      </c>
      <c r="CA397" t="s">
        <v>736</v>
      </c>
      <c r="CB397" t="s">
        <v>737</v>
      </c>
      <c r="CC397" s="3">
        <v>46092.557106481479</v>
      </c>
      <c r="CD397" t="s">
        <v>91</v>
      </c>
    </row>
    <row r="398" spans="1:82" ht="16" x14ac:dyDescent="0.2">
      <c r="A398" t="s">
        <v>738</v>
      </c>
      <c r="B398" t="s">
        <v>739</v>
      </c>
      <c r="C398" t="s">
        <v>740</v>
      </c>
      <c r="D398" t="s">
        <v>78</v>
      </c>
      <c r="E398" t="s">
        <v>741</v>
      </c>
      <c r="F398">
        <v>2</v>
      </c>
      <c r="G398">
        <v>300</v>
      </c>
      <c r="H398" t="str">
        <f t="shared" si="43"/>
        <v>2x300</v>
      </c>
      <c r="I398">
        <v>167</v>
      </c>
      <c r="J398" s="4">
        <f t="shared" si="44"/>
        <v>4.6388888888888889E-2</v>
      </c>
      <c r="K398">
        <v>252</v>
      </c>
      <c r="L398" s="4">
        <f t="shared" si="45"/>
        <v>6.9999999999999993E-2</v>
      </c>
      <c r="M398">
        <v>382</v>
      </c>
      <c r="N398" s="4">
        <f t="shared" si="46"/>
        <v>0.10611111111111111</v>
      </c>
      <c r="O398">
        <v>762</v>
      </c>
      <c r="P398" s="4">
        <f t="shared" si="47"/>
        <v>0.21166666666666667</v>
      </c>
      <c r="Q398" s="6">
        <f t="shared" si="42"/>
        <v>2035</v>
      </c>
      <c r="R398" s="6">
        <f t="shared" si="48"/>
        <v>4</v>
      </c>
      <c r="S398">
        <v>156</v>
      </c>
      <c r="T398">
        <v>-16</v>
      </c>
      <c r="U398">
        <v>3</v>
      </c>
      <c r="V398">
        <v>-2</v>
      </c>
      <c r="W398">
        <v>-12</v>
      </c>
      <c r="X398">
        <v>63</v>
      </c>
      <c r="Y398" s="2" t="s">
        <v>742</v>
      </c>
      <c r="Z398">
        <v>41.023249999999997</v>
      </c>
      <c r="AA398">
        <v>14.35951</v>
      </c>
      <c r="AB398" t="s">
        <v>78</v>
      </c>
      <c r="AC398" t="s">
        <v>81</v>
      </c>
      <c r="AD398" t="s">
        <v>82</v>
      </c>
      <c r="AE398">
        <v>35813</v>
      </c>
      <c r="AF398">
        <v>0</v>
      </c>
      <c r="AG398">
        <v>0</v>
      </c>
      <c r="AH398">
        <v>19290</v>
      </c>
      <c r="AI398">
        <v>9571</v>
      </c>
      <c r="AJ398">
        <v>3138</v>
      </c>
      <c r="AK398">
        <v>3814</v>
      </c>
      <c r="AL398">
        <v>258</v>
      </c>
      <c r="AM398">
        <v>10362</v>
      </c>
      <c r="AN398">
        <v>98430</v>
      </c>
      <c r="AO398">
        <v>417907</v>
      </c>
      <c r="AP398">
        <v>0</v>
      </c>
      <c r="AQ398">
        <v>0</v>
      </c>
      <c r="AR398">
        <v>2</v>
      </c>
      <c r="AS398">
        <v>7</v>
      </c>
      <c r="AT398">
        <v>0</v>
      </c>
      <c r="AU398">
        <v>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</v>
      </c>
      <c r="BC398">
        <v>0</v>
      </c>
      <c r="BD398">
        <v>0</v>
      </c>
      <c r="BE398">
        <v>2</v>
      </c>
      <c r="BF398">
        <v>0</v>
      </c>
      <c r="BG398">
        <v>2</v>
      </c>
      <c r="BH398">
        <v>2</v>
      </c>
      <c r="BI398">
        <v>2</v>
      </c>
      <c r="BJ398">
        <v>41.023566199999998</v>
      </c>
      <c r="BK398">
        <v>14.3593285</v>
      </c>
      <c r="BL398">
        <v>600</v>
      </c>
      <c r="BM398" t="s">
        <v>83</v>
      </c>
      <c r="BN398" t="s">
        <v>84</v>
      </c>
      <c r="BO398" t="s">
        <v>85</v>
      </c>
      <c r="BP398" t="s">
        <v>97</v>
      </c>
      <c r="BQ398" t="s">
        <v>98</v>
      </c>
      <c r="BR398" t="s">
        <v>743</v>
      </c>
      <c r="BS398">
        <v>716313</v>
      </c>
      <c r="BT398">
        <v>0</v>
      </c>
      <c r="BU398">
        <v>0</v>
      </c>
      <c r="BV398">
        <v>385816</v>
      </c>
      <c r="BW398">
        <v>191426</v>
      </c>
      <c r="BX398">
        <v>62777</v>
      </c>
      <c r="BY398">
        <v>76294</v>
      </c>
      <c r="BZ398">
        <v>1</v>
      </c>
      <c r="CA398" t="s">
        <v>744</v>
      </c>
      <c r="CB398" t="s">
        <v>745</v>
      </c>
      <c r="CC398" s="3">
        <v>46092.557106481479</v>
      </c>
      <c r="CD398" t="s">
        <v>91</v>
      </c>
    </row>
    <row r="399" spans="1:82" ht="16" x14ac:dyDescent="0.2">
      <c r="A399" t="s">
        <v>1108</v>
      </c>
      <c r="B399" t="s">
        <v>558</v>
      </c>
      <c r="C399" t="s">
        <v>559</v>
      </c>
      <c r="D399" t="s">
        <v>78</v>
      </c>
      <c r="E399" t="s">
        <v>560</v>
      </c>
      <c r="F399">
        <v>2</v>
      </c>
      <c r="G399">
        <v>150</v>
      </c>
      <c r="H399" t="str">
        <f t="shared" si="43"/>
        <v>2x150</v>
      </c>
      <c r="I399">
        <v>167</v>
      </c>
      <c r="J399" s="4">
        <f t="shared" si="44"/>
        <v>5.352564102564103E-2</v>
      </c>
      <c r="K399">
        <v>251</v>
      </c>
      <c r="L399" s="4">
        <f t="shared" si="45"/>
        <v>8.0448717948717954E-2</v>
      </c>
      <c r="M399">
        <v>381</v>
      </c>
      <c r="N399" s="4">
        <f t="shared" si="46"/>
        <v>0.12211538461538461</v>
      </c>
      <c r="O399">
        <v>761</v>
      </c>
      <c r="P399" s="4">
        <f t="shared" si="47"/>
        <v>0.2439102564102564</v>
      </c>
      <c r="Q399" s="6">
        <f t="shared" si="42"/>
        <v>2035</v>
      </c>
      <c r="R399" s="6">
        <f t="shared" si="48"/>
        <v>4</v>
      </c>
      <c r="S399">
        <v>135</v>
      </c>
      <c r="T399">
        <v>-46</v>
      </c>
      <c r="U399">
        <v>121</v>
      </c>
      <c r="V399">
        <v>-64</v>
      </c>
      <c r="W399">
        <v>1</v>
      </c>
      <c r="X399">
        <v>34</v>
      </c>
      <c r="Y399" s="2" t="s">
        <v>561</v>
      </c>
      <c r="Z399">
        <v>41.833170000000003</v>
      </c>
      <c r="AA399">
        <v>12.50034</v>
      </c>
      <c r="AB399" t="s">
        <v>78</v>
      </c>
      <c r="AC399" t="s">
        <v>81</v>
      </c>
      <c r="AD399" t="s">
        <v>82</v>
      </c>
      <c r="AE399">
        <v>18020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18020</v>
      </c>
      <c r="AL399">
        <v>16426</v>
      </c>
      <c r="AM399">
        <v>62963</v>
      </c>
      <c r="AN399">
        <v>374829</v>
      </c>
      <c r="AO399">
        <v>1537591</v>
      </c>
      <c r="AP399">
        <v>1</v>
      </c>
      <c r="AQ399">
        <v>0</v>
      </c>
      <c r="AR399">
        <v>4</v>
      </c>
      <c r="AS399">
        <v>1</v>
      </c>
      <c r="AT399">
        <v>5</v>
      </c>
      <c r="AU399">
        <v>30</v>
      </c>
      <c r="AV399">
        <v>0</v>
      </c>
      <c r="AW399">
        <v>0</v>
      </c>
      <c r="AX399">
        <v>0</v>
      </c>
      <c r="AY399">
        <v>2</v>
      </c>
      <c r="AZ399">
        <v>4</v>
      </c>
      <c r="BA399">
        <v>20</v>
      </c>
      <c r="BB399">
        <v>88</v>
      </c>
      <c r="BC399">
        <v>12</v>
      </c>
      <c r="BD399">
        <v>0</v>
      </c>
      <c r="BE399">
        <v>0</v>
      </c>
      <c r="BF399">
        <v>0</v>
      </c>
      <c r="BG399">
        <v>0</v>
      </c>
      <c r="BH399">
        <v>20</v>
      </c>
      <c r="BI399">
        <v>0</v>
      </c>
      <c r="BJ399">
        <v>41.83314</v>
      </c>
      <c r="BK399">
        <v>12.50041</v>
      </c>
      <c r="BL399">
        <v>300</v>
      </c>
      <c r="BM399" t="s">
        <v>83</v>
      </c>
      <c r="BN399" t="s">
        <v>84</v>
      </c>
      <c r="BO399" t="s">
        <v>85</v>
      </c>
      <c r="BP399" t="s">
        <v>86</v>
      </c>
      <c r="BQ399" t="s">
        <v>87</v>
      </c>
      <c r="BR399" t="s">
        <v>88</v>
      </c>
      <c r="BS399">
        <v>360412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360412</v>
      </c>
      <c r="BZ399">
        <v>1</v>
      </c>
      <c r="CA399" t="s">
        <v>562</v>
      </c>
      <c r="CB399" t="s">
        <v>563</v>
      </c>
      <c r="CC399" s="3">
        <v>46092.557106481479</v>
      </c>
      <c r="CD399" t="s">
        <v>91</v>
      </c>
    </row>
    <row r="400" spans="1:82" ht="16" x14ac:dyDescent="0.2">
      <c r="A400" t="s">
        <v>1109</v>
      </c>
      <c r="B400" t="s">
        <v>565</v>
      </c>
      <c r="C400" t="s">
        <v>566</v>
      </c>
      <c r="D400" t="s">
        <v>78</v>
      </c>
      <c r="E400" t="s">
        <v>567</v>
      </c>
      <c r="F400">
        <v>2</v>
      </c>
      <c r="G400">
        <v>150</v>
      </c>
      <c r="H400" t="str">
        <f t="shared" si="43"/>
        <v>2x150</v>
      </c>
      <c r="I400">
        <v>166</v>
      </c>
      <c r="J400" s="4">
        <f t="shared" si="44"/>
        <v>5.3205128205128203E-2</v>
      </c>
      <c r="K400">
        <v>250</v>
      </c>
      <c r="L400" s="4">
        <f t="shared" si="45"/>
        <v>8.0128205128205135E-2</v>
      </c>
      <c r="M400">
        <v>379</v>
      </c>
      <c r="N400" s="4">
        <f t="shared" si="46"/>
        <v>0.12147435897435897</v>
      </c>
      <c r="O400">
        <v>757</v>
      </c>
      <c r="P400" s="4">
        <f t="shared" si="47"/>
        <v>0.24262820512820513</v>
      </c>
      <c r="Q400" s="6">
        <f t="shared" si="42"/>
        <v>2035</v>
      </c>
      <c r="R400" s="6">
        <f t="shared" si="48"/>
        <v>4</v>
      </c>
      <c r="S400">
        <v>135</v>
      </c>
      <c r="T400">
        <v>7</v>
      </c>
      <c r="U400">
        <v>-4</v>
      </c>
      <c r="V400">
        <v>3</v>
      </c>
      <c r="W400">
        <v>-6</v>
      </c>
      <c r="X400">
        <v>51</v>
      </c>
      <c r="Y400" s="2" t="s">
        <v>568</v>
      </c>
      <c r="Z400">
        <v>44.415803894806899</v>
      </c>
      <c r="AA400">
        <v>8.8660335355824298</v>
      </c>
      <c r="AB400" t="s">
        <v>78</v>
      </c>
      <c r="AC400" t="s">
        <v>81</v>
      </c>
      <c r="AD400" t="s">
        <v>82</v>
      </c>
      <c r="AE400">
        <v>60337</v>
      </c>
      <c r="AF400">
        <v>0</v>
      </c>
      <c r="AG400">
        <v>0</v>
      </c>
      <c r="AH400">
        <v>37816</v>
      </c>
      <c r="AI400">
        <v>0</v>
      </c>
      <c r="AJ400">
        <v>20349</v>
      </c>
      <c r="AK400">
        <v>2172</v>
      </c>
      <c r="AL400">
        <v>12388</v>
      </c>
      <c r="AM400">
        <v>50822</v>
      </c>
      <c r="AN400">
        <v>207291</v>
      </c>
      <c r="AO400">
        <v>517022</v>
      </c>
      <c r="AP400">
        <v>0</v>
      </c>
      <c r="AQ400">
        <v>1</v>
      </c>
      <c r="AR400">
        <v>5</v>
      </c>
      <c r="AS400">
        <v>7</v>
      </c>
      <c r="AT400">
        <v>7</v>
      </c>
      <c r="AU400">
        <v>33</v>
      </c>
      <c r="AV400">
        <v>2</v>
      </c>
      <c r="AW400">
        <v>0</v>
      </c>
      <c r="AX400">
        <v>4</v>
      </c>
      <c r="AY400">
        <v>1</v>
      </c>
      <c r="AZ400">
        <v>0</v>
      </c>
      <c r="BA400">
        <v>4</v>
      </c>
      <c r="BB400">
        <v>52</v>
      </c>
      <c r="BC400">
        <v>0</v>
      </c>
      <c r="BD400">
        <v>4</v>
      </c>
      <c r="BE400">
        <v>0</v>
      </c>
      <c r="BF400">
        <v>6</v>
      </c>
      <c r="BG400">
        <v>0</v>
      </c>
      <c r="BH400">
        <v>22</v>
      </c>
      <c r="BI400">
        <v>0</v>
      </c>
      <c r="BJ400">
        <v>44.415798299999999</v>
      </c>
      <c r="BK400">
        <v>8.8660335999999997</v>
      </c>
      <c r="BL400">
        <v>300</v>
      </c>
      <c r="BM400" t="s">
        <v>83</v>
      </c>
      <c r="BN400" t="s">
        <v>84</v>
      </c>
      <c r="BO400" t="s">
        <v>85</v>
      </c>
      <c r="BP400" t="s">
        <v>107</v>
      </c>
      <c r="BQ400" t="s">
        <v>569</v>
      </c>
      <c r="BR400" t="s">
        <v>570</v>
      </c>
      <c r="BS400">
        <v>1354297</v>
      </c>
      <c r="BT400">
        <v>0</v>
      </c>
      <c r="BU400">
        <v>0</v>
      </c>
      <c r="BV400">
        <v>903841</v>
      </c>
      <c r="BW400">
        <v>0</v>
      </c>
      <c r="BX400">
        <v>407009</v>
      </c>
      <c r="BY400">
        <v>43447</v>
      </c>
      <c r="BZ400">
        <v>1</v>
      </c>
      <c r="CA400" t="s">
        <v>571</v>
      </c>
      <c r="CB400" t="s">
        <v>572</v>
      </c>
      <c r="CC400" s="3">
        <v>46092.557106481479</v>
      </c>
      <c r="CD400" t="s">
        <v>91</v>
      </c>
    </row>
    <row r="401" spans="1:82" ht="16" x14ac:dyDescent="0.2">
      <c r="A401" t="s">
        <v>1110</v>
      </c>
      <c r="B401" t="s">
        <v>574</v>
      </c>
      <c r="C401" t="s">
        <v>575</v>
      </c>
      <c r="D401" t="s">
        <v>78</v>
      </c>
      <c r="E401" t="s">
        <v>576</v>
      </c>
      <c r="F401">
        <v>2</v>
      </c>
      <c r="G401">
        <v>150</v>
      </c>
      <c r="H401" t="str">
        <f t="shared" si="43"/>
        <v>2x150</v>
      </c>
      <c r="I401">
        <v>165</v>
      </c>
      <c r="J401" s="4">
        <f t="shared" si="44"/>
        <v>5.2884615384615384E-2</v>
      </c>
      <c r="K401">
        <v>250</v>
      </c>
      <c r="L401" s="4">
        <f t="shared" si="45"/>
        <v>8.0128205128205135E-2</v>
      </c>
      <c r="M401">
        <v>379</v>
      </c>
      <c r="N401" s="4">
        <f t="shared" si="46"/>
        <v>0.12147435897435897</v>
      </c>
      <c r="O401">
        <v>756</v>
      </c>
      <c r="P401" s="4">
        <f t="shared" si="47"/>
        <v>0.24230769230769231</v>
      </c>
      <c r="Q401" s="6">
        <f t="shared" si="42"/>
        <v>2035</v>
      </c>
      <c r="R401" s="6">
        <f t="shared" si="48"/>
        <v>4</v>
      </c>
      <c r="S401">
        <v>135</v>
      </c>
      <c r="T401">
        <v>38</v>
      </c>
      <c r="U401">
        <v>-21</v>
      </c>
      <c r="V401">
        <v>-5</v>
      </c>
      <c r="W401">
        <v>-14</v>
      </c>
      <c r="X401">
        <v>55</v>
      </c>
      <c r="Y401" s="2" t="s">
        <v>577</v>
      </c>
      <c r="Z401">
        <v>44.722234870075397</v>
      </c>
      <c r="AA401">
        <v>10.622212249077</v>
      </c>
      <c r="AB401" t="s">
        <v>78</v>
      </c>
      <c r="AC401" t="s">
        <v>81</v>
      </c>
      <c r="AD401" t="s">
        <v>82</v>
      </c>
      <c r="AE401">
        <v>65151</v>
      </c>
      <c r="AF401">
        <v>0</v>
      </c>
      <c r="AG401">
        <v>0</v>
      </c>
      <c r="AH401">
        <v>18080</v>
      </c>
      <c r="AI401">
        <v>42593</v>
      </c>
      <c r="AJ401">
        <v>4478</v>
      </c>
      <c r="AK401">
        <v>0</v>
      </c>
      <c r="AL401">
        <v>2871</v>
      </c>
      <c r="AM401">
        <v>15456</v>
      </c>
      <c r="AN401">
        <v>113992</v>
      </c>
      <c r="AO401">
        <v>201574</v>
      </c>
      <c r="AP401">
        <v>1</v>
      </c>
      <c r="AQ401">
        <v>2</v>
      </c>
      <c r="AR401">
        <v>2</v>
      </c>
      <c r="AS401">
        <v>2</v>
      </c>
      <c r="AT401">
        <v>0</v>
      </c>
      <c r="AU401">
        <v>10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33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8</v>
      </c>
      <c r="BI401">
        <v>0</v>
      </c>
      <c r="BJ401">
        <v>44.722169899999997</v>
      </c>
      <c r="BK401">
        <v>10.6227099</v>
      </c>
      <c r="BL401">
        <v>300</v>
      </c>
      <c r="BM401" t="s">
        <v>83</v>
      </c>
      <c r="BN401" t="s">
        <v>84</v>
      </c>
      <c r="BO401" t="s">
        <v>85</v>
      </c>
      <c r="BP401" t="s">
        <v>160</v>
      </c>
      <c r="BQ401" t="s">
        <v>170</v>
      </c>
      <c r="BR401" t="s">
        <v>578</v>
      </c>
      <c r="BS401">
        <v>1431134</v>
      </c>
      <c r="BT401">
        <v>0</v>
      </c>
      <c r="BU401">
        <v>0</v>
      </c>
      <c r="BV401">
        <v>361616</v>
      </c>
      <c r="BW401">
        <v>979936</v>
      </c>
      <c r="BX401">
        <v>89582</v>
      </c>
      <c r="BY401">
        <v>0</v>
      </c>
      <c r="BZ401">
        <v>1</v>
      </c>
      <c r="CA401" t="s">
        <v>579</v>
      </c>
      <c r="CB401" t="s">
        <v>580</v>
      </c>
      <c r="CC401" s="3">
        <v>46092.557106481479</v>
      </c>
      <c r="CD401" t="s">
        <v>91</v>
      </c>
    </row>
    <row r="402" spans="1:82" ht="16" x14ac:dyDescent="0.2">
      <c r="A402" t="s">
        <v>746</v>
      </c>
      <c r="B402" t="s">
        <v>747</v>
      </c>
      <c r="C402" t="s">
        <v>748</v>
      </c>
      <c r="D402" t="s">
        <v>78</v>
      </c>
      <c r="E402" t="s">
        <v>749</v>
      </c>
      <c r="F402">
        <v>2</v>
      </c>
      <c r="G402">
        <v>300</v>
      </c>
      <c r="H402" t="str">
        <f t="shared" si="43"/>
        <v>2x300</v>
      </c>
      <c r="I402">
        <v>165</v>
      </c>
      <c r="J402" s="4">
        <f t="shared" si="44"/>
        <v>4.5833333333333337E-2</v>
      </c>
      <c r="K402">
        <v>249</v>
      </c>
      <c r="L402" s="4">
        <f t="shared" si="45"/>
        <v>6.9166666666666668E-2</v>
      </c>
      <c r="M402">
        <v>378</v>
      </c>
      <c r="N402" s="4">
        <f t="shared" si="46"/>
        <v>0.105</v>
      </c>
      <c r="O402">
        <v>755</v>
      </c>
      <c r="P402" s="4">
        <f t="shared" si="47"/>
        <v>0.20972222222222223</v>
      </c>
      <c r="Q402" s="6">
        <f t="shared" si="42"/>
        <v>2035</v>
      </c>
      <c r="R402" s="6">
        <f t="shared" si="48"/>
        <v>4</v>
      </c>
      <c r="S402">
        <v>156</v>
      </c>
      <c r="T402">
        <v>-40</v>
      </c>
      <c r="U402">
        <v>7</v>
      </c>
      <c r="V402">
        <v>2</v>
      </c>
      <c r="W402">
        <v>2</v>
      </c>
      <c r="X402">
        <v>63</v>
      </c>
      <c r="Y402" s="2" t="s">
        <v>750</v>
      </c>
      <c r="Z402">
        <v>40.93506</v>
      </c>
      <c r="AA402">
        <v>14.441610000000001</v>
      </c>
      <c r="AB402" t="s">
        <v>78</v>
      </c>
      <c r="AC402" t="s">
        <v>81</v>
      </c>
      <c r="AD402" t="s">
        <v>82</v>
      </c>
      <c r="AE402">
        <v>22043</v>
      </c>
      <c r="AF402">
        <v>0</v>
      </c>
      <c r="AG402">
        <v>0</v>
      </c>
      <c r="AH402">
        <v>0</v>
      </c>
      <c r="AI402">
        <v>10640</v>
      </c>
      <c r="AJ402">
        <v>7042</v>
      </c>
      <c r="AK402">
        <v>4361</v>
      </c>
      <c r="AL402">
        <v>7279</v>
      </c>
      <c r="AM402">
        <v>30169</v>
      </c>
      <c r="AN402">
        <v>100192</v>
      </c>
      <c r="AO402">
        <v>432459</v>
      </c>
      <c r="AP402">
        <v>0</v>
      </c>
      <c r="AQ402">
        <v>0</v>
      </c>
      <c r="AR402">
        <v>2</v>
      </c>
      <c r="AS402">
        <v>2</v>
      </c>
      <c r="AT402">
        <v>0</v>
      </c>
      <c r="AU402">
        <v>10</v>
      </c>
      <c r="AV402">
        <v>5</v>
      </c>
      <c r="AW402">
        <v>0</v>
      </c>
      <c r="AX402">
        <v>0</v>
      </c>
      <c r="AY402">
        <v>0</v>
      </c>
      <c r="AZ402">
        <v>0</v>
      </c>
      <c r="BA402">
        <v>6</v>
      </c>
      <c r="BB402">
        <v>18</v>
      </c>
      <c r="BC402">
        <v>2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40.935041699999999</v>
      </c>
      <c r="BK402">
        <v>14.441605600000001</v>
      </c>
      <c r="BL402">
        <v>600</v>
      </c>
      <c r="BM402" t="s">
        <v>83</v>
      </c>
      <c r="BN402" t="s">
        <v>84</v>
      </c>
      <c r="BO402" t="s">
        <v>85</v>
      </c>
      <c r="BP402" t="s">
        <v>97</v>
      </c>
      <c r="BQ402" t="s">
        <v>98</v>
      </c>
      <c r="BR402" t="s">
        <v>99</v>
      </c>
      <c r="BS402">
        <v>440979</v>
      </c>
      <c r="BT402">
        <v>0</v>
      </c>
      <c r="BU402">
        <v>0</v>
      </c>
      <c r="BV402">
        <v>0</v>
      </c>
      <c r="BW402">
        <v>212811</v>
      </c>
      <c r="BX402">
        <v>140900</v>
      </c>
      <c r="BY402">
        <v>87268</v>
      </c>
      <c r="BZ402">
        <v>1</v>
      </c>
      <c r="CA402" t="s">
        <v>751</v>
      </c>
      <c r="CB402" t="s">
        <v>752</v>
      </c>
      <c r="CC402" s="3">
        <v>46092.557106481479</v>
      </c>
      <c r="CD402" t="s">
        <v>91</v>
      </c>
    </row>
    <row r="403" spans="1:82" ht="16" x14ac:dyDescent="0.2">
      <c r="A403" t="s">
        <v>753</v>
      </c>
      <c r="B403" t="s">
        <v>754</v>
      </c>
      <c r="C403" t="s">
        <v>755</v>
      </c>
      <c r="D403" t="s">
        <v>78</v>
      </c>
      <c r="E403" t="s">
        <v>756</v>
      </c>
      <c r="F403">
        <v>2</v>
      </c>
      <c r="G403">
        <v>300</v>
      </c>
      <c r="H403" t="str">
        <f t="shared" si="43"/>
        <v>2x300</v>
      </c>
      <c r="I403">
        <v>165</v>
      </c>
      <c r="J403" s="4">
        <f t="shared" si="44"/>
        <v>4.5833333333333337E-2</v>
      </c>
      <c r="K403">
        <v>249</v>
      </c>
      <c r="L403" s="4">
        <f t="shared" si="45"/>
        <v>6.9166666666666668E-2</v>
      </c>
      <c r="M403">
        <v>378</v>
      </c>
      <c r="N403" s="4">
        <f t="shared" si="46"/>
        <v>0.105</v>
      </c>
      <c r="O403">
        <v>755</v>
      </c>
      <c r="P403" s="4">
        <f t="shared" si="47"/>
        <v>0.20972222222222223</v>
      </c>
      <c r="Q403" s="6">
        <f t="shared" si="42"/>
        <v>2035</v>
      </c>
      <c r="R403" s="6">
        <f t="shared" si="48"/>
        <v>4</v>
      </c>
      <c r="S403">
        <v>156</v>
      </c>
      <c r="T403">
        <v>36</v>
      </c>
      <c r="U403">
        <v>-26</v>
      </c>
      <c r="V403">
        <v>-20</v>
      </c>
      <c r="W403">
        <v>-21</v>
      </c>
      <c r="X403">
        <v>63</v>
      </c>
      <c r="Y403" s="2" t="s">
        <v>757</v>
      </c>
      <c r="Z403">
        <v>45.74409</v>
      </c>
      <c r="AA403">
        <v>11.739050000000001</v>
      </c>
      <c r="AB403" t="s">
        <v>78</v>
      </c>
      <c r="AC403" t="s">
        <v>81</v>
      </c>
      <c r="AD403" t="s">
        <v>82</v>
      </c>
      <c r="AE403">
        <v>58574</v>
      </c>
      <c r="AF403">
        <v>0</v>
      </c>
      <c r="AG403">
        <v>4853</v>
      </c>
      <c r="AH403">
        <v>8344</v>
      </c>
      <c r="AI403">
        <v>12891</v>
      </c>
      <c r="AJ403">
        <v>27327</v>
      </c>
      <c r="AK403">
        <v>5159</v>
      </c>
      <c r="AL403">
        <v>2592</v>
      </c>
      <c r="AM403">
        <v>16521</v>
      </c>
      <c r="AN403">
        <v>81672</v>
      </c>
      <c r="AO403">
        <v>178557</v>
      </c>
      <c r="AP403">
        <v>3</v>
      </c>
      <c r="AQ403">
        <v>1</v>
      </c>
      <c r="AR403">
        <v>2</v>
      </c>
      <c r="AS403">
        <v>2</v>
      </c>
      <c r="AT403">
        <v>1</v>
      </c>
      <c r="AU403">
        <v>26</v>
      </c>
      <c r="AV403">
        <v>3</v>
      </c>
      <c r="AW403">
        <v>0</v>
      </c>
      <c r="AX403">
        <v>1</v>
      </c>
      <c r="AY403">
        <v>1</v>
      </c>
      <c r="AZ403">
        <v>1</v>
      </c>
      <c r="BA403">
        <v>10</v>
      </c>
      <c r="BB403">
        <v>23</v>
      </c>
      <c r="BC403">
        <v>3</v>
      </c>
      <c r="BD403">
        <v>2</v>
      </c>
      <c r="BE403">
        <v>0</v>
      </c>
      <c r="BF403">
        <v>10</v>
      </c>
      <c r="BG403">
        <v>8</v>
      </c>
      <c r="BH403">
        <v>10</v>
      </c>
      <c r="BI403">
        <v>8</v>
      </c>
      <c r="BJ403">
        <v>45.744082200000001</v>
      </c>
      <c r="BK403">
        <v>11.7389785</v>
      </c>
      <c r="BL403">
        <v>600</v>
      </c>
      <c r="BM403" t="s">
        <v>83</v>
      </c>
      <c r="BN403" t="s">
        <v>84</v>
      </c>
      <c r="BO403" t="s">
        <v>85</v>
      </c>
      <c r="BP403" t="s">
        <v>160</v>
      </c>
      <c r="BQ403" t="s">
        <v>161</v>
      </c>
      <c r="BR403" t="s">
        <v>527</v>
      </c>
      <c r="BS403">
        <v>1059099</v>
      </c>
      <c r="BT403">
        <v>0</v>
      </c>
      <c r="BU403">
        <v>97075</v>
      </c>
      <c r="BV403">
        <v>166890</v>
      </c>
      <c r="BW403">
        <v>257837</v>
      </c>
      <c r="BX403">
        <v>434080</v>
      </c>
      <c r="BY403">
        <v>103217</v>
      </c>
      <c r="BZ403">
        <v>1</v>
      </c>
      <c r="CA403" t="s">
        <v>758</v>
      </c>
      <c r="CB403" t="s">
        <v>759</v>
      </c>
      <c r="CC403" s="3">
        <v>46092.557106481479</v>
      </c>
      <c r="CD403" t="s">
        <v>91</v>
      </c>
    </row>
    <row r="404" spans="1:82" ht="16" x14ac:dyDescent="0.2">
      <c r="A404" t="s">
        <v>1111</v>
      </c>
      <c r="B404" t="s">
        <v>582</v>
      </c>
      <c r="C404" t="s">
        <v>583</v>
      </c>
      <c r="D404" t="s">
        <v>78</v>
      </c>
      <c r="E404" t="s">
        <v>584</v>
      </c>
      <c r="F404">
        <v>2</v>
      </c>
      <c r="G404">
        <v>150</v>
      </c>
      <c r="H404" t="str">
        <f t="shared" si="43"/>
        <v>2x150</v>
      </c>
      <c r="I404">
        <v>165</v>
      </c>
      <c r="J404" s="4">
        <f t="shared" si="44"/>
        <v>5.2884615384615384E-2</v>
      </c>
      <c r="K404">
        <v>249</v>
      </c>
      <c r="L404" s="4">
        <f t="shared" si="45"/>
        <v>7.9807692307692316E-2</v>
      </c>
      <c r="M404">
        <v>377</v>
      </c>
      <c r="N404" s="4">
        <f t="shared" si="46"/>
        <v>0.12083333333333333</v>
      </c>
      <c r="O404">
        <v>753</v>
      </c>
      <c r="P404" s="4">
        <f t="shared" si="47"/>
        <v>0.24134615384615385</v>
      </c>
      <c r="Q404" s="6">
        <f t="shared" si="42"/>
        <v>2035</v>
      </c>
      <c r="R404" s="6">
        <f t="shared" si="48"/>
        <v>4</v>
      </c>
      <c r="S404">
        <v>135</v>
      </c>
      <c r="T404">
        <v>27</v>
      </c>
      <c r="U404">
        <v>-15</v>
      </c>
      <c r="V404">
        <v>-6</v>
      </c>
      <c r="W404">
        <v>-13</v>
      </c>
      <c r="X404">
        <v>61</v>
      </c>
      <c r="Y404" s="2" t="s">
        <v>585</v>
      </c>
      <c r="Z404">
        <v>45.589790000000001</v>
      </c>
      <c r="AA404">
        <v>9.8967399999999994</v>
      </c>
      <c r="AB404" t="s">
        <v>78</v>
      </c>
      <c r="AC404" t="s">
        <v>81</v>
      </c>
      <c r="AD404" t="s">
        <v>82</v>
      </c>
      <c r="AE404">
        <v>16875</v>
      </c>
      <c r="AF404">
        <v>0</v>
      </c>
      <c r="AG404">
        <v>0</v>
      </c>
      <c r="AH404">
        <v>0</v>
      </c>
      <c r="AI404">
        <v>15353</v>
      </c>
      <c r="AJ404">
        <v>1522</v>
      </c>
      <c r="AK404">
        <v>0</v>
      </c>
      <c r="AL404">
        <v>4678</v>
      </c>
      <c r="AM404">
        <v>14005</v>
      </c>
      <c r="AN404">
        <v>49695</v>
      </c>
      <c r="AO404">
        <v>200002</v>
      </c>
      <c r="AP404">
        <v>1</v>
      </c>
      <c r="AQ404">
        <v>0</v>
      </c>
      <c r="AR404">
        <v>2</v>
      </c>
      <c r="AS404">
        <v>8</v>
      </c>
      <c r="AT404">
        <v>0</v>
      </c>
      <c r="AU404">
        <v>7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8</v>
      </c>
      <c r="BB404">
        <v>15</v>
      </c>
      <c r="BC404">
        <v>4</v>
      </c>
      <c r="BD404">
        <v>6</v>
      </c>
      <c r="BE404">
        <v>0</v>
      </c>
      <c r="BF404">
        <v>6</v>
      </c>
      <c r="BG404">
        <v>0</v>
      </c>
      <c r="BH404">
        <v>6</v>
      </c>
      <c r="BI404">
        <v>0</v>
      </c>
      <c r="BJ404">
        <v>45.589811699999998</v>
      </c>
      <c r="BK404">
        <v>9.8967262999999992</v>
      </c>
      <c r="BL404">
        <v>300</v>
      </c>
      <c r="BM404" t="s">
        <v>83</v>
      </c>
      <c r="BN404" t="s">
        <v>84</v>
      </c>
      <c r="BO404" t="s">
        <v>85</v>
      </c>
      <c r="BP404" t="s">
        <v>107</v>
      </c>
      <c r="BQ404" t="s">
        <v>108</v>
      </c>
      <c r="BR404" t="s">
        <v>179</v>
      </c>
      <c r="BS404">
        <v>337524</v>
      </c>
      <c r="BT404">
        <v>0</v>
      </c>
      <c r="BU404">
        <v>0</v>
      </c>
      <c r="BV404">
        <v>0</v>
      </c>
      <c r="BW404">
        <v>307071</v>
      </c>
      <c r="BX404">
        <v>30453</v>
      </c>
      <c r="BY404">
        <v>0</v>
      </c>
      <c r="BZ404">
        <v>1</v>
      </c>
      <c r="CA404" t="s">
        <v>586</v>
      </c>
      <c r="CB404" t="s">
        <v>587</v>
      </c>
      <c r="CC404" s="3">
        <v>46092.557106481479</v>
      </c>
      <c r="CD404" t="s">
        <v>91</v>
      </c>
    </row>
    <row r="405" spans="1:82" ht="16" x14ac:dyDescent="0.2">
      <c r="A405" t="s">
        <v>760</v>
      </c>
      <c r="B405" t="s">
        <v>761</v>
      </c>
      <c r="C405" t="s">
        <v>762</v>
      </c>
      <c r="D405" t="s">
        <v>78</v>
      </c>
      <c r="E405" t="s">
        <v>763</v>
      </c>
      <c r="F405">
        <v>2</v>
      </c>
      <c r="G405">
        <v>300</v>
      </c>
      <c r="H405" t="str">
        <f t="shared" si="43"/>
        <v>2x300</v>
      </c>
      <c r="I405">
        <v>164</v>
      </c>
      <c r="J405" s="4">
        <f t="shared" si="44"/>
        <v>4.5555555555555551E-2</v>
      </c>
      <c r="K405">
        <v>248</v>
      </c>
      <c r="L405" s="4">
        <f t="shared" si="45"/>
        <v>6.8888888888888888E-2</v>
      </c>
      <c r="M405">
        <v>376</v>
      </c>
      <c r="N405" s="4">
        <f t="shared" si="46"/>
        <v>0.10444444444444445</v>
      </c>
      <c r="O405">
        <v>750</v>
      </c>
      <c r="P405" s="4">
        <f t="shared" si="47"/>
        <v>0.20833333333333334</v>
      </c>
      <c r="Q405" s="6">
        <f t="shared" si="42"/>
        <v>2035</v>
      </c>
      <c r="R405" s="6">
        <f t="shared" si="48"/>
        <v>4</v>
      </c>
      <c r="S405">
        <v>156</v>
      </c>
      <c r="T405">
        <v>4</v>
      </c>
      <c r="U405">
        <v>-18</v>
      </c>
      <c r="V405">
        <v>-18</v>
      </c>
      <c r="W405">
        <v>0</v>
      </c>
      <c r="X405">
        <v>65</v>
      </c>
      <c r="Y405" s="2" t="s">
        <v>764</v>
      </c>
      <c r="Z405">
        <v>45.417378374500203</v>
      </c>
      <c r="AA405">
        <v>9.4286086085931995</v>
      </c>
      <c r="AB405" t="s">
        <v>78</v>
      </c>
      <c r="AC405" t="s">
        <v>81</v>
      </c>
      <c r="AD405" t="s">
        <v>82</v>
      </c>
      <c r="AE405">
        <v>46868</v>
      </c>
      <c r="AF405">
        <v>0</v>
      </c>
      <c r="AG405">
        <v>0</v>
      </c>
      <c r="AH405">
        <v>35740</v>
      </c>
      <c r="AI405">
        <v>0</v>
      </c>
      <c r="AJ405">
        <v>10720</v>
      </c>
      <c r="AK405">
        <v>408</v>
      </c>
      <c r="AL405">
        <v>3532</v>
      </c>
      <c r="AM405">
        <v>12818</v>
      </c>
      <c r="AN405">
        <v>36512</v>
      </c>
      <c r="AO405">
        <v>154116</v>
      </c>
      <c r="AP405">
        <v>0</v>
      </c>
      <c r="AQ405">
        <v>0</v>
      </c>
      <c r="AR405">
        <v>1</v>
      </c>
      <c r="AS405">
        <v>4</v>
      </c>
      <c r="AT405">
        <v>0</v>
      </c>
      <c r="AU405">
        <v>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4</v>
      </c>
      <c r="BB405">
        <v>10</v>
      </c>
      <c r="BC405">
        <v>4</v>
      </c>
      <c r="BD405">
        <v>0</v>
      </c>
      <c r="BE405">
        <v>0</v>
      </c>
      <c r="BF405">
        <v>0</v>
      </c>
      <c r="BG405">
        <v>0</v>
      </c>
      <c r="BH405">
        <v>2</v>
      </c>
      <c r="BI405">
        <v>0</v>
      </c>
      <c r="BJ405">
        <v>45.417318899999998</v>
      </c>
      <c r="BK405">
        <v>9.4285596999999992</v>
      </c>
      <c r="BL405">
        <v>600</v>
      </c>
      <c r="BM405" t="s">
        <v>83</v>
      </c>
      <c r="BN405" t="s">
        <v>84</v>
      </c>
      <c r="BO405" t="s">
        <v>85</v>
      </c>
      <c r="BP405" t="s">
        <v>107</v>
      </c>
      <c r="BQ405" t="s">
        <v>108</v>
      </c>
      <c r="BR405" t="s">
        <v>539</v>
      </c>
      <c r="BS405">
        <v>937470</v>
      </c>
      <c r="BT405">
        <v>0</v>
      </c>
      <c r="BU405">
        <v>0</v>
      </c>
      <c r="BV405">
        <v>714839</v>
      </c>
      <c r="BW405">
        <v>0</v>
      </c>
      <c r="BX405">
        <v>214452</v>
      </c>
      <c r="BY405">
        <v>8179</v>
      </c>
      <c r="BZ405">
        <v>1</v>
      </c>
      <c r="CA405" t="s">
        <v>765</v>
      </c>
      <c r="CB405" t="s">
        <v>766</v>
      </c>
      <c r="CC405" s="3">
        <v>46092.557106481479</v>
      </c>
      <c r="CD405" t="s">
        <v>91</v>
      </c>
    </row>
    <row r="406" spans="1:82" ht="16" x14ac:dyDescent="0.2">
      <c r="A406" t="s">
        <v>1113</v>
      </c>
      <c r="B406" t="s">
        <v>589</v>
      </c>
      <c r="C406" t="s">
        <v>590</v>
      </c>
      <c r="D406" t="s">
        <v>78</v>
      </c>
      <c r="E406" t="s">
        <v>591</v>
      </c>
      <c r="F406">
        <v>2</v>
      </c>
      <c r="G406">
        <v>150</v>
      </c>
      <c r="H406" t="str">
        <f t="shared" si="43"/>
        <v>2x150</v>
      </c>
      <c r="I406">
        <v>163</v>
      </c>
      <c r="J406" s="4">
        <f t="shared" si="44"/>
        <v>5.2243589743589745E-2</v>
      </c>
      <c r="K406">
        <v>246</v>
      </c>
      <c r="L406" s="4">
        <f t="shared" si="45"/>
        <v>7.8846153846153844E-2</v>
      </c>
      <c r="M406">
        <v>374</v>
      </c>
      <c r="N406" s="4">
        <f t="shared" si="46"/>
        <v>0.11987179487179488</v>
      </c>
      <c r="O406">
        <v>745</v>
      </c>
      <c r="P406" s="4">
        <f t="shared" si="47"/>
        <v>0.23878205128205129</v>
      </c>
      <c r="Q406" s="6">
        <f t="shared" si="42"/>
        <v>2035</v>
      </c>
      <c r="R406" s="6">
        <f t="shared" si="48"/>
        <v>4</v>
      </c>
      <c r="S406">
        <v>135</v>
      </c>
      <c r="T406">
        <v>17</v>
      </c>
      <c r="U406">
        <v>-19</v>
      </c>
      <c r="V406">
        <v>9</v>
      </c>
      <c r="W406">
        <v>-10</v>
      </c>
      <c r="X406">
        <v>53</v>
      </c>
      <c r="Y406" s="2" t="s">
        <v>592</v>
      </c>
      <c r="Z406">
        <v>45.393527400000004</v>
      </c>
      <c r="AA406">
        <v>11.031562600000001</v>
      </c>
      <c r="AB406" t="s">
        <v>78</v>
      </c>
      <c r="AC406" t="s">
        <v>81</v>
      </c>
      <c r="AD406" t="s">
        <v>82</v>
      </c>
      <c r="AE406">
        <v>69324</v>
      </c>
      <c r="AF406">
        <v>0</v>
      </c>
      <c r="AG406">
        <v>0</v>
      </c>
      <c r="AH406">
        <v>43630</v>
      </c>
      <c r="AI406">
        <v>15353</v>
      </c>
      <c r="AJ406">
        <v>10341</v>
      </c>
      <c r="AK406">
        <v>0</v>
      </c>
      <c r="AL406">
        <v>4063</v>
      </c>
      <c r="AM406">
        <v>14149</v>
      </c>
      <c r="AN406">
        <v>87257</v>
      </c>
      <c r="AO406">
        <v>338447</v>
      </c>
      <c r="AP406">
        <v>1</v>
      </c>
      <c r="AQ406">
        <v>0</v>
      </c>
      <c r="AR406">
        <v>8</v>
      </c>
      <c r="AS406">
        <v>18</v>
      </c>
      <c r="AT406">
        <v>1</v>
      </c>
      <c r="AU406">
        <v>27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6</v>
      </c>
      <c r="BB406">
        <v>10</v>
      </c>
      <c r="BC406">
        <v>5</v>
      </c>
      <c r="BD406">
        <v>6</v>
      </c>
      <c r="BE406">
        <v>0</v>
      </c>
      <c r="BF406">
        <v>8</v>
      </c>
      <c r="BG406">
        <v>0</v>
      </c>
      <c r="BH406">
        <v>8</v>
      </c>
      <c r="BI406">
        <v>0</v>
      </c>
      <c r="BJ406">
        <v>45.393520000000002</v>
      </c>
      <c r="BK406">
        <v>11.031560000000001</v>
      </c>
      <c r="BL406">
        <v>300</v>
      </c>
      <c r="BM406" t="s">
        <v>83</v>
      </c>
      <c r="BN406" t="s">
        <v>84</v>
      </c>
      <c r="BO406" t="s">
        <v>85</v>
      </c>
      <c r="BP406" t="s">
        <v>160</v>
      </c>
      <c r="BQ406" t="s">
        <v>161</v>
      </c>
      <c r="BR406" t="s">
        <v>162</v>
      </c>
      <c r="BS406">
        <v>1648350</v>
      </c>
      <c r="BT406">
        <v>0</v>
      </c>
      <c r="BU406">
        <v>0</v>
      </c>
      <c r="BV406">
        <v>1134408</v>
      </c>
      <c r="BW406">
        <v>307091</v>
      </c>
      <c r="BX406">
        <v>206851</v>
      </c>
      <c r="BY406">
        <v>0</v>
      </c>
      <c r="BZ406">
        <v>1</v>
      </c>
      <c r="CA406" t="s">
        <v>593</v>
      </c>
      <c r="CB406" t="s">
        <v>594</v>
      </c>
      <c r="CC406" s="3">
        <v>46092.557106481479</v>
      </c>
      <c r="CD406" t="s">
        <v>91</v>
      </c>
    </row>
    <row r="407" spans="1:82" ht="16" x14ac:dyDescent="0.2">
      <c r="A407" t="s">
        <v>1114</v>
      </c>
      <c r="B407" t="s">
        <v>596</v>
      </c>
      <c r="C407" t="s">
        <v>597</v>
      </c>
      <c r="D407" t="s">
        <v>78</v>
      </c>
      <c r="E407" t="s">
        <v>598</v>
      </c>
      <c r="F407">
        <v>2</v>
      </c>
      <c r="G407">
        <v>150</v>
      </c>
      <c r="H407" t="str">
        <f t="shared" si="43"/>
        <v>2x150</v>
      </c>
      <c r="I407">
        <v>163</v>
      </c>
      <c r="J407" s="4">
        <f t="shared" si="44"/>
        <v>5.2243589743589745E-2</v>
      </c>
      <c r="K407">
        <v>246</v>
      </c>
      <c r="L407" s="4">
        <f t="shared" si="45"/>
        <v>7.8846153846153844E-2</v>
      </c>
      <c r="M407">
        <v>373</v>
      </c>
      <c r="N407" s="4">
        <f t="shared" si="46"/>
        <v>0.11955128205128206</v>
      </c>
      <c r="O407">
        <v>744</v>
      </c>
      <c r="P407" s="4">
        <f t="shared" si="47"/>
        <v>0.23846153846153847</v>
      </c>
      <c r="Q407" s="6">
        <f t="shared" si="42"/>
        <v>2035</v>
      </c>
      <c r="R407" s="6">
        <f t="shared" si="48"/>
        <v>4</v>
      </c>
      <c r="S407">
        <v>135</v>
      </c>
      <c r="T407">
        <v>38</v>
      </c>
      <c r="U407">
        <v>-18</v>
      </c>
      <c r="V407">
        <v>-30</v>
      </c>
      <c r="W407">
        <v>2</v>
      </c>
      <c r="X407">
        <v>59</v>
      </c>
      <c r="Y407" s="2" t="s">
        <v>599</v>
      </c>
      <c r="Z407">
        <v>45.609499999999997</v>
      </c>
      <c r="AA407">
        <v>10.208</v>
      </c>
      <c r="AB407" t="s">
        <v>78</v>
      </c>
      <c r="AC407" t="s">
        <v>81</v>
      </c>
      <c r="AD407" t="s">
        <v>82</v>
      </c>
      <c r="AE407">
        <v>50945</v>
      </c>
      <c r="AF407">
        <v>0</v>
      </c>
      <c r="AG407">
        <v>0</v>
      </c>
      <c r="AH407">
        <v>0</v>
      </c>
      <c r="AI407">
        <v>37251</v>
      </c>
      <c r="AJ407">
        <v>12491</v>
      </c>
      <c r="AK407">
        <v>1203</v>
      </c>
      <c r="AL407">
        <v>5409</v>
      </c>
      <c r="AM407">
        <v>15201</v>
      </c>
      <c r="AN407">
        <v>72240</v>
      </c>
      <c r="AO407">
        <v>300794</v>
      </c>
      <c r="AP407">
        <v>3</v>
      </c>
      <c r="AQ407">
        <v>0</v>
      </c>
      <c r="AR407">
        <v>4</v>
      </c>
      <c r="AS407">
        <v>6</v>
      </c>
      <c r="AT407">
        <v>0</v>
      </c>
      <c r="AU407">
        <v>23</v>
      </c>
      <c r="AV407">
        <v>22</v>
      </c>
      <c r="AW407">
        <v>2</v>
      </c>
      <c r="AX407">
        <v>0</v>
      </c>
      <c r="AY407">
        <v>0</v>
      </c>
      <c r="AZ407">
        <v>0</v>
      </c>
      <c r="BA407">
        <v>8</v>
      </c>
      <c r="BB407">
        <v>12</v>
      </c>
      <c r="BC407">
        <v>4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45.6094632</v>
      </c>
      <c r="BK407">
        <v>10.207891999999999</v>
      </c>
      <c r="BL407">
        <v>300</v>
      </c>
      <c r="BM407" t="s">
        <v>83</v>
      </c>
      <c r="BN407" t="s">
        <v>84</v>
      </c>
      <c r="BO407" t="s">
        <v>85</v>
      </c>
      <c r="BP407" t="s">
        <v>107</v>
      </c>
      <c r="BQ407" t="s">
        <v>108</v>
      </c>
      <c r="BR407" t="s">
        <v>179</v>
      </c>
      <c r="BS407">
        <v>1019030</v>
      </c>
      <c r="BT407">
        <v>0</v>
      </c>
      <c r="BU407">
        <v>0</v>
      </c>
      <c r="BV407">
        <v>0</v>
      </c>
      <c r="BW407">
        <v>745045</v>
      </c>
      <c r="BX407">
        <v>249902</v>
      </c>
      <c r="BY407">
        <v>24083</v>
      </c>
      <c r="BZ407">
        <v>1</v>
      </c>
      <c r="CA407" t="s">
        <v>600</v>
      </c>
      <c r="CB407" t="s">
        <v>601</v>
      </c>
      <c r="CC407" s="3">
        <v>46092.557106481479</v>
      </c>
      <c r="CD407" t="s">
        <v>91</v>
      </c>
    </row>
    <row r="408" spans="1:82" ht="16" x14ac:dyDescent="0.2">
      <c r="A408" t="s">
        <v>767</v>
      </c>
      <c r="B408" t="s">
        <v>768</v>
      </c>
      <c r="C408" t="s">
        <v>769</v>
      </c>
      <c r="D408" t="s">
        <v>78</v>
      </c>
      <c r="E408" t="s">
        <v>770</v>
      </c>
      <c r="F408">
        <v>2</v>
      </c>
      <c r="G408">
        <v>300</v>
      </c>
      <c r="H408" t="str">
        <f t="shared" si="43"/>
        <v>2x300</v>
      </c>
      <c r="I408">
        <v>163</v>
      </c>
      <c r="J408" s="4">
        <f t="shared" si="44"/>
        <v>4.5277777777777778E-2</v>
      </c>
      <c r="K408">
        <v>245</v>
      </c>
      <c r="L408" s="4">
        <f t="shared" si="45"/>
        <v>6.805555555555555E-2</v>
      </c>
      <c r="M408">
        <v>372</v>
      </c>
      <c r="N408" s="4">
        <f t="shared" si="46"/>
        <v>0.10333333333333333</v>
      </c>
      <c r="O408">
        <v>743</v>
      </c>
      <c r="P408" s="4">
        <f t="shared" si="47"/>
        <v>0.20638888888888887</v>
      </c>
      <c r="Q408" s="6">
        <f t="shared" si="42"/>
        <v>2035</v>
      </c>
      <c r="R408" s="6">
        <f t="shared" si="48"/>
        <v>4</v>
      </c>
      <c r="S408">
        <v>156</v>
      </c>
      <c r="T408">
        <v>-43</v>
      </c>
      <c r="U408">
        <v>-17</v>
      </c>
      <c r="V408">
        <v>15</v>
      </c>
      <c r="W408">
        <v>11</v>
      </c>
      <c r="X408">
        <v>65</v>
      </c>
      <c r="Y408" s="2" t="s">
        <v>771</v>
      </c>
      <c r="Z408">
        <v>41.35801</v>
      </c>
      <c r="AA408">
        <v>13.41455</v>
      </c>
      <c r="AB408" t="s">
        <v>78</v>
      </c>
      <c r="AC408" t="s">
        <v>81</v>
      </c>
      <c r="AD408" t="s">
        <v>82</v>
      </c>
      <c r="AE408">
        <v>13443</v>
      </c>
      <c r="AF408">
        <v>0</v>
      </c>
      <c r="AG408">
        <v>0</v>
      </c>
      <c r="AH408">
        <v>0</v>
      </c>
      <c r="AI408">
        <v>4408</v>
      </c>
      <c r="AJ408">
        <v>5281</v>
      </c>
      <c r="AK408">
        <v>3754</v>
      </c>
      <c r="AL408">
        <v>7552</v>
      </c>
      <c r="AM408">
        <v>22842</v>
      </c>
      <c r="AN408">
        <v>36433</v>
      </c>
      <c r="AO408">
        <v>51830</v>
      </c>
      <c r="AP408">
        <v>1</v>
      </c>
      <c r="AQ408">
        <v>0</v>
      </c>
      <c r="AR408">
        <v>3</v>
      </c>
      <c r="AS408">
        <v>13</v>
      </c>
      <c r="AT408">
        <v>0</v>
      </c>
      <c r="AU408">
        <v>16</v>
      </c>
      <c r="AV408">
        <v>0</v>
      </c>
      <c r="AW408">
        <v>1</v>
      </c>
      <c r="AX408">
        <v>2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2</v>
      </c>
      <c r="BE408">
        <v>0</v>
      </c>
      <c r="BF408">
        <v>2</v>
      </c>
      <c r="BG408">
        <v>0</v>
      </c>
      <c r="BH408">
        <v>2</v>
      </c>
      <c r="BI408">
        <v>0</v>
      </c>
      <c r="BJ408">
        <v>41.358293699999997</v>
      </c>
      <c r="BK408">
        <v>13.414480599999999</v>
      </c>
      <c r="BL408">
        <v>600</v>
      </c>
      <c r="BM408" t="s">
        <v>83</v>
      </c>
      <c r="BN408" t="s">
        <v>84</v>
      </c>
      <c r="BO408" t="s">
        <v>85</v>
      </c>
      <c r="BP408" t="s">
        <v>86</v>
      </c>
      <c r="BQ408" t="s">
        <v>87</v>
      </c>
      <c r="BR408" t="s">
        <v>772</v>
      </c>
      <c r="BS408">
        <v>269021</v>
      </c>
      <c r="BT408">
        <v>0</v>
      </c>
      <c r="BU408">
        <v>0</v>
      </c>
      <c r="BV408">
        <v>0</v>
      </c>
      <c r="BW408">
        <v>88175</v>
      </c>
      <c r="BX408">
        <v>105718</v>
      </c>
      <c r="BY408">
        <v>75128</v>
      </c>
      <c r="BZ408">
        <v>1</v>
      </c>
      <c r="CA408" t="s">
        <v>773</v>
      </c>
      <c r="CB408" t="s">
        <v>774</v>
      </c>
      <c r="CC408" s="3">
        <v>46092.557106481479</v>
      </c>
      <c r="CD408" t="s">
        <v>91</v>
      </c>
    </row>
    <row r="409" spans="1:82" ht="16" x14ac:dyDescent="0.2">
      <c r="A409" t="s">
        <v>1115</v>
      </c>
      <c r="B409" t="s">
        <v>603</v>
      </c>
      <c r="C409" t="s">
        <v>604</v>
      </c>
      <c r="D409" t="s">
        <v>78</v>
      </c>
      <c r="E409" t="s">
        <v>605</v>
      </c>
      <c r="F409">
        <v>2</v>
      </c>
      <c r="G409">
        <v>150</v>
      </c>
      <c r="H409" t="str">
        <f t="shared" si="43"/>
        <v>2x150</v>
      </c>
      <c r="I409">
        <v>163</v>
      </c>
      <c r="J409" s="4">
        <f t="shared" si="44"/>
        <v>5.2243589743589745E-2</v>
      </c>
      <c r="K409">
        <v>245</v>
      </c>
      <c r="L409" s="4">
        <f t="shared" si="45"/>
        <v>7.8525641025641024E-2</v>
      </c>
      <c r="M409">
        <v>372</v>
      </c>
      <c r="N409" s="4">
        <f t="shared" si="46"/>
        <v>0.11923076923076924</v>
      </c>
      <c r="O409">
        <v>743</v>
      </c>
      <c r="P409" s="4">
        <f t="shared" si="47"/>
        <v>0.23814102564102566</v>
      </c>
      <c r="Q409" s="6">
        <f t="shared" si="42"/>
        <v>2035</v>
      </c>
      <c r="R409" s="6">
        <f t="shared" si="48"/>
        <v>4</v>
      </c>
      <c r="S409">
        <v>135</v>
      </c>
      <c r="T409">
        <v>-12</v>
      </c>
      <c r="U409">
        <v>6</v>
      </c>
      <c r="V409">
        <v>6</v>
      </c>
      <c r="W409">
        <v>1</v>
      </c>
      <c r="X409">
        <v>43</v>
      </c>
      <c r="Y409" s="2" t="s">
        <v>606</v>
      </c>
      <c r="Z409">
        <v>41.803801664339097</v>
      </c>
      <c r="AA409">
        <v>12.6044388625716</v>
      </c>
      <c r="AB409" t="s">
        <v>78</v>
      </c>
      <c r="AC409" t="s">
        <v>81</v>
      </c>
      <c r="AD409" t="s">
        <v>82</v>
      </c>
      <c r="AE409">
        <v>30062</v>
      </c>
      <c r="AF409">
        <v>0</v>
      </c>
      <c r="AG409">
        <v>0</v>
      </c>
      <c r="AH409">
        <v>0</v>
      </c>
      <c r="AI409">
        <v>9940</v>
      </c>
      <c r="AJ409">
        <v>20122</v>
      </c>
      <c r="AK409">
        <v>0</v>
      </c>
      <c r="AL409">
        <v>21399</v>
      </c>
      <c r="AM409">
        <v>50534</v>
      </c>
      <c r="AN409">
        <v>142746</v>
      </c>
      <c r="AO409">
        <v>751416</v>
      </c>
      <c r="AP409">
        <v>5</v>
      </c>
      <c r="AQ409">
        <v>0</v>
      </c>
      <c r="AR409">
        <v>3</v>
      </c>
      <c r="AS409">
        <v>11</v>
      </c>
      <c r="AT409">
        <v>2</v>
      </c>
      <c r="AU409">
        <v>29</v>
      </c>
      <c r="AV409">
        <v>7</v>
      </c>
      <c r="AW409">
        <v>0</v>
      </c>
      <c r="AX409">
        <v>2</v>
      </c>
      <c r="AY409">
        <v>0</v>
      </c>
      <c r="AZ409">
        <v>1</v>
      </c>
      <c r="BA409">
        <v>3</v>
      </c>
      <c r="BB409">
        <v>12</v>
      </c>
      <c r="BC409">
        <v>3</v>
      </c>
      <c r="BD409">
        <v>2</v>
      </c>
      <c r="BE409">
        <v>0</v>
      </c>
      <c r="BF409">
        <v>2</v>
      </c>
      <c r="BG409">
        <v>0</v>
      </c>
      <c r="BH409">
        <v>3</v>
      </c>
      <c r="BI409">
        <v>3</v>
      </c>
      <c r="BJ409">
        <v>41.803869900000002</v>
      </c>
      <c r="BK409">
        <v>12.604340000000001</v>
      </c>
      <c r="BL409">
        <v>300</v>
      </c>
      <c r="BM409" t="s">
        <v>83</v>
      </c>
      <c r="BN409" t="s">
        <v>84</v>
      </c>
      <c r="BO409" t="s">
        <v>85</v>
      </c>
      <c r="BP409" t="s">
        <v>86</v>
      </c>
      <c r="BQ409" t="s">
        <v>87</v>
      </c>
      <c r="BR409" t="s">
        <v>88</v>
      </c>
      <c r="BS409">
        <v>601359</v>
      </c>
      <c r="BT409">
        <v>0</v>
      </c>
      <c r="BU409">
        <v>0</v>
      </c>
      <c r="BV409">
        <v>0</v>
      </c>
      <c r="BW409">
        <v>198814</v>
      </c>
      <c r="BX409">
        <v>402545</v>
      </c>
      <c r="BY409">
        <v>0</v>
      </c>
      <c r="BZ409">
        <v>1</v>
      </c>
      <c r="CA409" t="s">
        <v>607</v>
      </c>
      <c r="CB409" t="s">
        <v>608</v>
      </c>
      <c r="CC409" s="3">
        <v>46092.557106481479</v>
      </c>
      <c r="CD409" t="s">
        <v>91</v>
      </c>
    </row>
    <row r="410" spans="1:82" ht="16" x14ac:dyDescent="0.2">
      <c r="A410" t="s">
        <v>775</v>
      </c>
      <c r="B410" t="s">
        <v>776</v>
      </c>
      <c r="C410" t="s">
        <v>777</v>
      </c>
      <c r="D410" t="s">
        <v>78</v>
      </c>
      <c r="E410" t="s">
        <v>778</v>
      </c>
      <c r="F410">
        <v>2</v>
      </c>
      <c r="G410">
        <v>300</v>
      </c>
      <c r="H410" t="str">
        <f t="shared" si="43"/>
        <v>2x300</v>
      </c>
      <c r="I410">
        <v>162</v>
      </c>
      <c r="J410" s="4">
        <f t="shared" si="44"/>
        <v>4.5000000000000005E-2</v>
      </c>
      <c r="K410">
        <v>244</v>
      </c>
      <c r="L410" s="4">
        <f t="shared" si="45"/>
        <v>6.7777777777777784E-2</v>
      </c>
      <c r="M410">
        <v>371</v>
      </c>
      <c r="N410" s="4">
        <f t="shared" si="46"/>
        <v>0.10305555555555555</v>
      </c>
      <c r="O410">
        <v>740</v>
      </c>
      <c r="P410" s="4">
        <f t="shared" si="47"/>
        <v>0.20555555555555557</v>
      </c>
      <c r="Q410" s="6">
        <f t="shared" si="42"/>
        <v>2035</v>
      </c>
      <c r="R410" s="6">
        <f t="shared" si="48"/>
        <v>4</v>
      </c>
      <c r="S410">
        <v>156</v>
      </c>
      <c r="T410">
        <v>18</v>
      </c>
      <c r="U410">
        <v>-23</v>
      </c>
      <c r="V410">
        <v>1</v>
      </c>
      <c r="W410">
        <v>-19</v>
      </c>
      <c r="X410">
        <v>52</v>
      </c>
      <c r="Y410" s="2" t="s">
        <v>779</v>
      </c>
      <c r="Z410">
        <v>45.502467249499198</v>
      </c>
      <c r="AA410">
        <v>9.6300387932526892</v>
      </c>
      <c r="AB410" t="s">
        <v>78</v>
      </c>
      <c r="AC410" t="s">
        <v>81</v>
      </c>
      <c r="AD410" t="s">
        <v>82</v>
      </c>
      <c r="AE410">
        <v>70183</v>
      </c>
      <c r="AF410">
        <v>49055</v>
      </c>
      <c r="AG410">
        <v>0</v>
      </c>
      <c r="AH410">
        <v>11876</v>
      </c>
      <c r="AI410">
        <v>0</v>
      </c>
      <c r="AJ410">
        <v>9252</v>
      </c>
      <c r="AK410">
        <v>0</v>
      </c>
      <c r="AL410">
        <v>4457</v>
      </c>
      <c r="AM410">
        <v>13351</v>
      </c>
      <c r="AN410">
        <v>61214</v>
      </c>
      <c r="AO410">
        <v>167022</v>
      </c>
      <c r="AP410">
        <v>1</v>
      </c>
      <c r="AQ410">
        <v>1</v>
      </c>
      <c r="AR410">
        <v>6</v>
      </c>
      <c r="AS410">
        <v>20</v>
      </c>
      <c r="AT410">
        <v>2</v>
      </c>
      <c r="AU410">
        <v>28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1</v>
      </c>
      <c r="BB410">
        <v>8</v>
      </c>
      <c r="BC410">
        <v>0</v>
      </c>
      <c r="BD410">
        <v>0</v>
      </c>
      <c r="BE410">
        <v>0</v>
      </c>
      <c r="BF410">
        <v>2</v>
      </c>
      <c r="BG410">
        <v>0</v>
      </c>
      <c r="BH410">
        <v>8</v>
      </c>
      <c r="BI410">
        <v>16</v>
      </c>
      <c r="BJ410">
        <v>45.502499999999998</v>
      </c>
      <c r="BK410">
        <v>9.6300898999999998</v>
      </c>
      <c r="BL410">
        <v>600</v>
      </c>
      <c r="BM410" t="s">
        <v>83</v>
      </c>
      <c r="BN410" t="s">
        <v>84</v>
      </c>
      <c r="BO410" t="s">
        <v>85</v>
      </c>
      <c r="BP410" t="s">
        <v>107</v>
      </c>
      <c r="BQ410" t="s">
        <v>108</v>
      </c>
      <c r="BR410" t="s">
        <v>297</v>
      </c>
      <c r="BS410">
        <v>1698135</v>
      </c>
      <c r="BT410">
        <v>1275454</v>
      </c>
      <c r="BU410">
        <v>0</v>
      </c>
      <c r="BV410">
        <v>237548</v>
      </c>
      <c r="BW410">
        <v>0</v>
      </c>
      <c r="BX410">
        <v>185133</v>
      </c>
      <c r="BY410">
        <v>0</v>
      </c>
      <c r="BZ410">
        <v>1</v>
      </c>
      <c r="CA410" t="s">
        <v>780</v>
      </c>
      <c r="CB410" t="s">
        <v>781</v>
      </c>
      <c r="CC410" s="3">
        <v>46092.557106481479</v>
      </c>
      <c r="CD410" t="s">
        <v>91</v>
      </c>
    </row>
    <row r="411" spans="1:82" ht="16" x14ac:dyDescent="0.2">
      <c r="A411" t="s">
        <v>782</v>
      </c>
      <c r="B411" t="s">
        <v>783</v>
      </c>
      <c r="C411" t="s">
        <v>784</v>
      </c>
      <c r="D411" t="s">
        <v>78</v>
      </c>
      <c r="E411" t="s">
        <v>785</v>
      </c>
      <c r="F411">
        <v>2</v>
      </c>
      <c r="G411">
        <v>300</v>
      </c>
      <c r="H411" t="str">
        <f t="shared" si="43"/>
        <v>2x300</v>
      </c>
      <c r="I411">
        <v>161</v>
      </c>
      <c r="J411" s="4">
        <f t="shared" si="44"/>
        <v>4.4722222222222219E-2</v>
      </c>
      <c r="K411">
        <v>243</v>
      </c>
      <c r="L411" s="4">
        <f t="shared" si="45"/>
        <v>6.7500000000000004E-2</v>
      </c>
      <c r="M411">
        <v>368</v>
      </c>
      <c r="N411" s="4">
        <f t="shared" si="46"/>
        <v>0.10222222222222221</v>
      </c>
      <c r="O411">
        <v>734</v>
      </c>
      <c r="P411" s="4">
        <f t="shared" si="47"/>
        <v>0.2038888888888889</v>
      </c>
      <c r="Q411" s="6">
        <f t="shared" si="42"/>
        <v>2035</v>
      </c>
      <c r="R411" s="6">
        <f t="shared" si="48"/>
        <v>4</v>
      </c>
      <c r="S411">
        <v>156</v>
      </c>
      <c r="T411">
        <v>15</v>
      </c>
      <c r="U411">
        <v>-21</v>
      </c>
      <c r="V411">
        <v>-5</v>
      </c>
      <c r="W411">
        <v>-23</v>
      </c>
      <c r="X411">
        <v>61</v>
      </c>
      <c r="Y411" s="2" t="s">
        <v>786</v>
      </c>
      <c r="Z411">
        <v>45.18929</v>
      </c>
      <c r="AA411">
        <v>7.6367900000000004</v>
      </c>
      <c r="AB411" t="s">
        <v>78</v>
      </c>
      <c r="AC411" t="s">
        <v>81</v>
      </c>
      <c r="AD411" t="s">
        <v>82</v>
      </c>
      <c r="AE411">
        <v>37967</v>
      </c>
      <c r="AF411">
        <v>17307</v>
      </c>
      <c r="AG411">
        <v>0</v>
      </c>
      <c r="AH411">
        <v>0</v>
      </c>
      <c r="AI411">
        <v>14286</v>
      </c>
      <c r="AJ411">
        <v>6374</v>
      </c>
      <c r="AK411">
        <v>0</v>
      </c>
      <c r="AL411">
        <v>1307</v>
      </c>
      <c r="AM411">
        <v>11484</v>
      </c>
      <c r="AN411">
        <v>44628</v>
      </c>
      <c r="AO411">
        <v>222309</v>
      </c>
      <c r="AP411">
        <v>0</v>
      </c>
      <c r="AQ411">
        <v>0</v>
      </c>
      <c r="AR411">
        <v>3</v>
      </c>
      <c r="AS411">
        <v>1</v>
      </c>
      <c r="AT411">
        <v>0</v>
      </c>
      <c r="AU411">
        <v>8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24</v>
      </c>
      <c r="BB411">
        <v>38</v>
      </c>
      <c r="BC411">
        <v>6</v>
      </c>
      <c r="BD411">
        <v>0</v>
      </c>
      <c r="BE411">
        <v>0</v>
      </c>
      <c r="BF411">
        <v>4</v>
      </c>
      <c r="BG411">
        <v>6</v>
      </c>
      <c r="BH411">
        <v>12</v>
      </c>
      <c r="BI411">
        <v>6</v>
      </c>
      <c r="BJ411">
        <v>45.189247000000002</v>
      </c>
      <c r="BK411">
        <v>7.6367756</v>
      </c>
      <c r="BL411">
        <v>600</v>
      </c>
      <c r="BM411" t="s">
        <v>83</v>
      </c>
      <c r="BN411" t="s">
        <v>84</v>
      </c>
      <c r="BO411" t="s">
        <v>85</v>
      </c>
      <c r="BP411" t="s">
        <v>107</v>
      </c>
      <c r="BQ411" t="s">
        <v>203</v>
      </c>
      <c r="BR411" t="s">
        <v>204</v>
      </c>
      <c r="BS411">
        <v>759418</v>
      </c>
      <c r="BT411">
        <v>346143</v>
      </c>
      <c r="BU411">
        <v>0</v>
      </c>
      <c r="BV411">
        <v>0</v>
      </c>
      <c r="BW411">
        <v>285740</v>
      </c>
      <c r="BX411">
        <v>127535</v>
      </c>
      <c r="BY411">
        <v>0</v>
      </c>
      <c r="BZ411">
        <v>1</v>
      </c>
      <c r="CA411" t="s">
        <v>787</v>
      </c>
      <c r="CB411" t="s">
        <v>788</v>
      </c>
      <c r="CC411" s="3">
        <v>46092.557106481479</v>
      </c>
      <c r="CD411" t="s">
        <v>91</v>
      </c>
    </row>
    <row r="412" spans="1:82" ht="16" x14ac:dyDescent="0.2">
      <c r="A412" t="s">
        <v>1116</v>
      </c>
      <c r="B412" t="s">
        <v>611</v>
      </c>
      <c r="C412" t="s">
        <v>612</v>
      </c>
      <c r="D412" t="s">
        <v>78</v>
      </c>
      <c r="E412" t="s">
        <v>613</v>
      </c>
      <c r="F412">
        <v>2</v>
      </c>
      <c r="G412">
        <v>150</v>
      </c>
      <c r="H412" t="str">
        <f t="shared" si="43"/>
        <v>2x150</v>
      </c>
      <c r="I412">
        <v>160</v>
      </c>
      <c r="J412" s="4">
        <f t="shared" si="44"/>
        <v>5.1282051282051287E-2</v>
      </c>
      <c r="K412">
        <v>242</v>
      </c>
      <c r="L412" s="4">
        <f t="shared" si="45"/>
        <v>7.7564102564102566E-2</v>
      </c>
      <c r="M412">
        <v>368</v>
      </c>
      <c r="N412" s="4">
        <f t="shared" si="46"/>
        <v>0.11794871794871796</v>
      </c>
      <c r="O412">
        <v>733</v>
      </c>
      <c r="P412" s="4">
        <f t="shared" si="47"/>
        <v>0.23493589743589746</v>
      </c>
      <c r="Q412" s="6">
        <f t="shared" si="42"/>
        <v>2035</v>
      </c>
      <c r="R412" s="6">
        <f t="shared" si="48"/>
        <v>4</v>
      </c>
      <c r="S412">
        <v>135</v>
      </c>
      <c r="T412">
        <v>7</v>
      </c>
      <c r="U412">
        <v>-20</v>
      </c>
      <c r="V412">
        <v>18</v>
      </c>
      <c r="W412">
        <v>-11</v>
      </c>
      <c r="X412">
        <v>51</v>
      </c>
      <c r="Y412" s="2" t="s">
        <v>614</v>
      </c>
      <c r="Z412">
        <v>44.817087954999899</v>
      </c>
      <c r="AA412">
        <v>11.607328093252599</v>
      </c>
      <c r="AB412" t="s">
        <v>78</v>
      </c>
      <c r="AC412" t="s">
        <v>81</v>
      </c>
      <c r="AD412" t="s">
        <v>82</v>
      </c>
      <c r="AE412">
        <v>46087</v>
      </c>
      <c r="AF412">
        <v>0</v>
      </c>
      <c r="AG412">
        <v>0</v>
      </c>
      <c r="AH412">
        <v>37545</v>
      </c>
      <c r="AI412">
        <v>4016</v>
      </c>
      <c r="AJ412">
        <v>3968</v>
      </c>
      <c r="AK412">
        <v>558</v>
      </c>
      <c r="AL412">
        <v>9117</v>
      </c>
      <c r="AM412">
        <v>30481</v>
      </c>
      <c r="AN412">
        <v>90579</v>
      </c>
      <c r="AO412">
        <v>137268</v>
      </c>
      <c r="AP412">
        <v>2</v>
      </c>
      <c r="AQ412">
        <v>1</v>
      </c>
      <c r="AR412">
        <v>2</v>
      </c>
      <c r="AS412">
        <v>34</v>
      </c>
      <c r="AT412">
        <v>0</v>
      </c>
      <c r="AU412">
        <v>20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14</v>
      </c>
      <c r="BB412">
        <v>33</v>
      </c>
      <c r="BC412">
        <v>1</v>
      </c>
      <c r="BD412">
        <v>6</v>
      </c>
      <c r="BE412">
        <v>0</v>
      </c>
      <c r="BF412">
        <v>8</v>
      </c>
      <c r="BG412">
        <v>0</v>
      </c>
      <c r="BH412">
        <v>12</v>
      </c>
      <c r="BI412">
        <v>0</v>
      </c>
      <c r="BJ412">
        <v>44.8171757</v>
      </c>
      <c r="BK412">
        <v>11.6068993</v>
      </c>
      <c r="BL412">
        <v>300</v>
      </c>
      <c r="BM412" t="s">
        <v>83</v>
      </c>
      <c r="BN412" t="s">
        <v>84</v>
      </c>
      <c r="BO412" t="s">
        <v>85</v>
      </c>
      <c r="BP412" t="s">
        <v>160</v>
      </c>
      <c r="BQ412" t="s">
        <v>170</v>
      </c>
      <c r="BR412" t="s">
        <v>615</v>
      </c>
      <c r="BS412">
        <v>921813</v>
      </c>
      <c r="BT412">
        <v>0</v>
      </c>
      <c r="BU412">
        <v>0</v>
      </c>
      <c r="BV412">
        <v>750935</v>
      </c>
      <c r="BW412">
        <v>80333</v>
      </c>
      <c r="BX412">
        <v>79370</v>
      </c>
      <c r="BY412">
        <v>11175</v>
      </c>
      <c r="BZ412">
        <v>1</v>
      </c>
      <c r="CA412" t="s">
        <v>616</v>
      </c>
      <c r="CB412" t="s">
        <v>617</v>
      </c>
      <c r="CC412" s="3">
        <v>46092.557106481479</v>
      </c>
      <c r="CD412" t="s">
        <v>91</v>
      </c>
    </row>
    <row r="413" spans="1:82" ht="16" x14ac:dyDescent="0.2">
      <c r="A413" t="s">
        <v>1117</v>
      </c>
      <c r="B413" t="s">
        <v>620</v>
      </c>
      <c r="C413" t="s">
        <v>621</v>
      </c>
      <c r="D413" t="s">
        <v>78</v>
      </c>
      <c r="E413" t="s">
        <v>622</v>
      </c>
      <c r="F413">
        <v>2</v>
      </c>
      <c r="G413">
        <v>150</v>
      </c>
      <c r="H413" t="str">
        <f t="shared" si="43"/>
        <v>2x150</v>
      </c>
      <c r="I413">
        <v>159</v>
      </c>
      <c r="J413" s="4">
        <f t="shared" si="44"/>
        <v>5.0961538461538468E-2</v>
      </c>
      <c r="K413">
        <v>240</v>
      </c>
      <c r="L413" s="4">
        <f t="shared" si="45"/>
        <v>7.6923076923076927E-2</v>
      </c>
      <c r="M413">
        <v>364</v>
      </c>
      <c r="N413" s="4">
        <f t="shared" si="46"/>
        <v>0.11666666666666665</v>
      </c>
      <c r="O413">
        <v>727</v>
      </c>
      <c r="P413" s="4">
        <f t="shared" si="47"/>
        <v>0.23301282051282049</v>
      </c>
      <c r="Q413" s="6">
        <f t="shared" si="42"/>
        <v>2035</v>
      </c>
      <c r="R413" s="6">
        <f t="shared" si="48"/>
        <v>4</v>
      </c>
      <c r="S413">
        <v>135</v>
      </c>
      <c r="T413">
        <v>32</v>
      </c>
      <c r="U413">
        <v>-17</v>
      </c>
      <c r="V413">
        <v>-12</v>
      </c>
      <c r="W413">
        <v>-11</v>
      </c>
      <c r="X413">
        <v>53</v>
      </c>
      <c r="Y413" s="2" t="s">
        <v>623</v>
      </c>
      <c r="Z413">
        <v>45.787334195420001</v>
      </c>
      <c r="AA413">
        <v>8.9563561940144201</v>
      </c>
      <c r="AB413" t="s">
        <v>78</v>
      </c>
      <c r="AC413" t="s">
        <v>81</v>
      </c>
      <c r="AD413" t="s">
        <v>82</v>
      </c>
      <c r="AE413">
        <v>30697</v>
      </c>
      <c r="AF413">
        <v>0</v>
      </c>
      <c r="AG413">
        <v>10032</v>
      </c>
      <c r="AH413">
        <v>0</v>
      </c>
      <c r="AI413">
        <v>17462</v>
      </c>
      <c r="AJ413">
        <v>3203</v>
      </c>
      <c r="AK413">
        <v>0</v>
      </c>
      <c r="AL413">
        <v>4078</v>
      </c>
      <c r="AM413">
        <v>14068</v>
      </c>
      <c r="AN413">
        <v>64051</v>
      </c>
      <c r="AO413">
        <v>292516</v>
      </c>
      <c r="AP413">
        <v>2</v>
      </c>
      <c r="AQ413">
        <v>0</v>
      </c>
      <c r="AR413">
        <v>2</v>
      </c>
      <c r="AS413">
        <v>10</v>
      </c>
      <c r="AT413">
        <v>0</v>
      </c>
      <c r="AU413">
        <v>6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4</v>
      </c>
      <c r="BB413">
        <v>6</v>
      </c>
      <c r="BC413">
        <v>2</v>
      </c>
      <c r="BD413">
        <v>0</v>
      </c>
      <c r="BE413">
        <v>0</v>
      </c>
      <c r="BF413">
        <v>2</v>
      </c>
      <c r="BG413">
        <v>0</v>
      </c>
      <c r="BH413">
        <v>6</v>
      </c>
      <c r="BI413">
        <v>0</v>
      </c>
      <c r="BJ413">
        <v>45.7871776</v>
      </c>
      <c r="BK413">
        <v>8.9566085999999991</v>
      </c>
      <c r="BL413">
        <v>300</v>
      </c>
      <c r="BM413" t="s">
        <v>83</v>
      </c>
      <c r="BN413" t="s">
        <v>84</v>
      </c>
      <c r="BO413" t="s">
        <v>85</v>
      </c>
      <c r="BP413" t="s">
        <v>107</v>
      </c>
      <c r="BQ413" t="s">
        <v>108</v>
      </c>
      <c r="BR413" t="s">
        <v>281</v>
      </c>
      <c r="BS413">
        <v>613996</v>
      </c>
      <c r="BT413">
        <v>0</v>
      </c>
      <c r="BU413">
        <v>200652</v>
      </c>
      <c r="BV413">
        <v>0</v>
      </c>
      <c r="BW413">
        <v>349255</v>
      </c>
      <c r="BX413">
        <v>64089</v>
      </c>
      <c r="BY413">
        <v>0</v>
      </c>
      <c r="BZ413">
        <v>1</v>
      </c>
      <c r="CA413" t="s">
        <v>624</v>
      </c>
      <c r="CB413" t="s">
        <v>625</v>
      </c>
      <c r="CC413" s="3">
        <v>46092.557106481479</v>
      </c>
      <c r="CD413" t="s">
        <v>91</v>
      </c>
    </row>
    <row r="414" spans="1:82" ht="16" x14ac:dyDescent="0.2">
      <c r="A414" t="s">
        <v>789</v>
      </c>
      <c r="B414" t="s">
        <v>790</v>
      </c>
      <c r="C414" t="s">
        <v>791</v>
      </c>
      <c r="D414" t="s">
        <v>78</v>
      </c>
      <c r="E414" t="s">
        <v>792</v>
      </c>
      <c r="F414">
        <v>2</v>
      </c>
      <c r="G414">
        <v>300</v>
      </c>
      <c r="H414" t="str">
        <f t="shared" si="43"/>
        <v>2x300</v>
      </c>
      <c r="I414">
        <v>158</v>
      </c>
      <c r="J414" s="4">
        <f t="shared" si="44"/>
        <v>4.3888888888888887E-2</v>
      </c>
      <c r="K414">
        <v>238</v>
      </c>
      <c r="L414" s="4">
        <f t="shared" si="45"/>
        <v>6.6111111111111107E-2</v>
      </c>
      <c r="M414">
        <v>361</v>
      </c>
      <c r="N414" s="4">
        <f t="shared" si="46"/>
        <v>0.10027777777777779</v>
      </c>
      <c r="O414">
        <v>721</v>
      </c>
      <c r="P414" s="4">
        <f t="shared" si="47"/>
        <v>0.20027777777777778</v>
      </c>
      <c r="Q414" s="6">
        <f t="shared" si="42"/>
        <v>2035</v>
      </c>
      <c r="R414" s="6">
        <f t="shared" si="48"/>
        <v>4</v>
      </c>
      <c r="S414">
        <v>156</v>
      </c>
      <c r="T414">
        <v>22</v>
      </c>
      <c r="U414">
        <v>-24</v>
      </c>
      <c r="V414">
        <v>-8</v>
      </c>
      <c r="W414">
        <v>-23</v>
      </c>
      <c r="X414">
        <v>53</v>
      </c>
      <c r="Y414" s="2" t="s">
        <v>793</v>
      </c>
      <c r="Z414">
        <v>46.086127612709298</v>
      </c>
      <c r="AA414">
        <v>11.1180209355824</v>
      </c>
      <c r="AB414" t="s">
        <v>78</v>
      </c>
      <c r="AC414" t="s">
        <v>81</v>
      </c>
      <c r="AD414" t="s">
        <v>82</v>
      </c>
      <c r="AE414">
        <v>64671</v>
      </c>
      <c r="AF414">
        <v>0</v>
      </c>
      <c r="AG414">
        <v>20781</v>
      </c>
      <c r="AH414">
        <v>7492</v>
      </c>
      <c r="AI414">
        <v>0</v>
      </c>
      <c r="AJ414">
        <v>31808</v>
      </c>
      <c r="AK414">
        <v>4590</v>
      </c>
      <c r="AL414">
        <v>10279</v>
      </c>
      <c r="AM414">
        <v>31214</v>
      </c>
      <c r="AN414">
        <v>98782</v>
      </c>
      <c r="AO414">
        <v>157068</v>
      </c>
      <c r="AP414">
        <v>6</v>
      </c>
      <c r="AQ414">
        <v>0</v>
      </c>
      <c r="AR414">
        <v>4</v>
      </c>
      <c r="AS414">
        <v>13</v>
      </c>
      <c r="AT414">
        <v>1</v>
      </c>
      <c r="AU414">
        <v>29</v>
      </c>
      <c r="AV414">
        <v>6</v>
      </c>
      <c r="AW414">
        <v>0</v>
      </c>
      <c r="AX414">
        <v>0</v>
      </c>
      <c r="AY414">
        <v>0</v>
      </c>
      <c r="AZ414">
        <v>1</v>
      </c>
      <c r="BA414">
        <v>14</v>
      </c>
      <c r="BB414">
        <v>36</v>
      </c>
      <c r="BC414">
        <v>8</v>
      </c>
      <c r="BD414">
        <v>2</v>
      </c>
      <c r="BE414">
        <v>0</v>
      </c>
      <c r="BF414">
        <v>6</v>
      </c>
      <c r="BG414">
        <v>6</v>
      </c>
      <c r="BH414">
        <v>7</v>
      </c>
      <c r="BI414">
        <v>6</v>
      </c>
      <c r="BJ414">
        <v>46.08625</v>
      </c>
      <c r="BK414">
        <v>11.1184999</v>
      </c>
      <c r="BL414">
        <v>600</v>
      </c>
      <c r="BM414" t="s">
        <v>83</v>
      </c>
      <c r="BN414" t="s">
        <v>84</v>
      </c>
      <c r="BO414" t="s">
        <v>85</v>
      </c>
      <c r="BP414" t="s">
        <v>160</v>
      </c>
      <c r="BQ414" t="s">
        <v>794</v>
      </c>
      <c r="BR414" t="s">
        <v>791</v>
      </c>
      <c r="BS414">
        <v>1293541</v>
      </c>
      <c r="BT414">
        <v>0</v>
      </c>
      <c r="BU414">
        <v>415630</v>
      </c>
      <c r="BV414">
        <v>149852</v>
      </c>
      <c r="BW414">
        <v>0</v>
      </c>
      <c r="BX414">
        <v>636222</v>
      </c>
      <c r="BY414">
        <v>91837</v>
      </c>
      <c r="BZ414">
        <v>1</v>
      </c>
      <c r="CA414" t="s">
        <v>795</v>
      </c>
      <c r="CB414" t="s">
        <v>796</v>
      </c>
      <c r="CC414" s="3">
        <v>46092.557106481479</v>
      </c>
      <c r="CD414" t="s">
        <v>91</v>
      </c>
    </row>
    <row r="415" spans="1:82" ht="16" x14ac:dyDescent="0.2">
      <c r="A415" t="s">
        <v>1118</v>
      </c>
      <c r="B415" t="s">
        <v>630</v>
      </c>
      <c r="C415" t="s">
        <v>631</v>
      </c>
      <c r="D415" t="s">
        <v>78</v>
      </c>
      <c r="E415" t="s">
        <v>632</v>
      </c>
      <c r="F415">
        <v>2</v>
      </c>
      <c r="G415">
        <v>150</v>
      </c>
      <c r="H415" t="str">
        <f t="shared" si="43"/>
        <v>2x150</v>
      </c>
      <c r="I415">
        <v>157</v>
      </c>
      <c r="J415" s="4">
        <f t="shared" si="44"/>
        <v>5.0320512820512815E-2</v>
      </c>
      <c r="K415">
        <v>237</v>
      </c>
      <c r="L415" s="4">
        <f t="shared" si="45"/>
        <v>7.5961538461538455E-2</v>
      </c>
      <c r="M415">
        <v>360</v>
      </c>
      <c r="N415" s="4">
        <f t="shared" si="46"/>
        <v>0.11538461538461538</v>
      </c>
      <c r="O415">
        <v>718</v>
      </c>
      <c r="P415" s="4">
        <f t="shared" si="47"/>
        <v>0.23012820512820512</v>
      </c>
      <c r="Q415" s="6">
        <f t="shared" si="42"/>
        <v>2035</v>
      </c>
      <c r="R415" s="6">
        <f t="shared" si="48"/>
        <v>4</v>
      </c>
      <c r="S415">
        <v>135</v>
      </c>
      <c r="T415">
        <v>-36</v>
      </c>
      <c r="U415">
        <v>-15</v>
      </c>
      <c r="V415">
        <v>45</v>
      </c>
      <c r="W415">
        <v>1</v>
      </c>
      <c r="X415">
        <v>49</v>
      </c>
      <c r="Y415" s="2" t="s">
        <v>633</v>
      </c>
      <c r="Z415">
        <v>40.349670000000003</v>
      </c>
      <c r="AA415">
        <v>14.996090000000001</v>
      </c>
      <c r="AB415" t="s">
        <v>78</v>
      </c>
      <c r="AC415" t="s">
        <v>81</v>
      </c>
      <c r="AD415" t="s">
        <v>82</v>
      </c>
      <c r="AE415">
        <v>15371</v>
      </c>
      <c r="AF415">
        <v>0</v>
      </c>
      <c r="AG415">
        <v>0</v>
      </c>
      <c r="AH415">
        <v>0</v>
      </c>
      <c r="AI415">
        <v>7480</v>
      </c>
      <c r="AJ415">
        <v>7891</v>
      </c>
      <c r="AK415">
        <v>0</v>
      </c>
      <c r="AL415">
        <v>9926</v>
      </c>
      <c r="AM415">
        <v>16684</v>
      </c>
      <c r="AN415">
        <v>24610</v>
      </c>
      <c r="AO415">
        <v>45727</v>
      </c>
      <c r="AP415">
        <v>7</v>
      </c>
      <c r="AQ415">
        <v>0</v>
      </c>
      <c r="AR415">
        <v>6</v>
      </c>
      <c r="AS415">
        <v>11</v>
      </c>
      <c r="AT415">
        <v>2</v>
      </c>
      <c r="AU415">
        <v>19</v>
      </c>
      <c r="AV415">
        <v>5</v>
      </c>
      <c r="AW415">
        <v>0</v>
      </c>
      <c r="AX415">
        <v>5</v>
      </c>
      <c r="AY415">
        <v>1</v>
      </c>
      <c r="AZ415">
        <v>2</v>
      </c>
      <c r="BA415">
        <v>2</v>
      </c>
      <c r="BB415">
        <v>4</v>
      </c>
      <c r="BC415">
        <v>2</v>
      </c>
      <c r="BD415">
        <v>0</v>
      </c>
      <c r="BE415">
        <v>0</v>
      </c>
      <c r="BF415">
        <v>0</v>
      </c>
      <c r="BG415">
        <v>0</v>
      </c>
      <c r="BH415">
        <v>2</v>
      </c>
      <c r="BI415">
        <v>0</v>
      </c>
      <c r="BJ415">
        <v>40.349569199999998</v>
      </c>
      <c r="BK415">
        <v>14.9962529</v>
      </c>
      <c r="BL415">
        <v>300</v>
      </c>
      <c r="BM415" t="s">
        <v>83</v>
      </c>
      <c r="BN415" t="s">
        <v>84</v>
      </c>
      <c r="BO415" t="s">
        <v>85</v>
      </c>
      <c r="BP415" t="s">
        <v>97</v>
      </c>
      <c r="BQ415" t="s">
        <v>98</v>
      </c>
      <c r="BR415" t="s">
        <v>634</v>
      </c>
      <c r="BS415">
        <v>307467</v>
      </c>
      <c r="BT415">
        <v>0</v>
      </c>
      <c r="BU415">
        <v>0</v>
      </c>
      <c r="BV415">
        <v>0</v>
      </c>
      <c r="BW415">
        <v>149613</v>
      </c>
      <c r="BX415">
        <v>157854</v>
      </c>
      <c r="BY415">
        <v>0</v>
      </c>
      <c r="BZ415">
        <v>1</v>
      </c>
      <c r="CA415" t="s">
        <v>635</v>
      </c>
      <c r="CB415" t="s">
        <v>636</v>
      </c>
      <c r="CC415" s="3">
        <v>46092.557106481479</v>
      </c>
      <c r="CD415" t="s">
        <v>91</v>
      </c>
    </row>
    <row r="416" spans="1:82" ht="16" x14ac:dyDescent="0.2">
      <c r="A416" t="s">
        <v>1119</v>
      </c>
      <c r="B416" t="s">
        <v>638</v>
      </c>
      <c r="C416" t="s">
        <v>639</v>
      </c>
      <c r="D416" t="s">
        <v>78</v>
      </c>
      <c r="E416" t="s">
        <v>640</v>
      </c>
      <c r="F416">
        <v>2</v>
      </c>
      <c r="G416">
        <v>150</v>
      </c>
      <c r="H416" t="str">
        <f t="shared" si="43"/>
        <v>2x150</v>
      </c>
      <c r="I416">
        <v>157</v>
      </c>
      <c r="J416" s="4">
        <f t="shared" si="44"/>
        <v>5.0320512820512815E-2</v>
      </c>
      <c r="K416">
        <v>237</v>
      </c>
      <c r="L416" s="4">
        <f t="shared" si="45"/>
        <v>7.5961538461538455E-2</v>
      </c>
      <c r="M416">
        <v>359</v>
      </c>
      <c r="N416" s="4">
        <f t="shared" si="46"/>
        <v>0.11506410256410256</v>
      </c>
      <c r="O416">
        <v>717</v>
      </c>
      <c r="P416" s="4">
        <f t="shared" si="47"/>
        <v>0.2298076923076923</v>
      </c>
      <c r="Q416" s="6">
        <f t="shared" si="42"/>
        <v>2035</v>
      </c>
      <c r="R416" s="6">
        <f t="shared" si="48"/>
        <v>4</v>
      </c>
      <c r="S416">
        <v>135</v>
      </c>
      <c r="T416">
        <v>-35</v>
      </c>
      <c r="U416">
        <v>16</v>
      </c>
      <c r="V416">
        <v>16</v>
      </c>
      <c r="W416">
        <v>-5</v>
      </c>
      <c r="X416">
        <v>55</v>
      </c>
      <c r="Y416" s="2" t="s">
        <v>641</v>
      </c>
      <c r="Z416">
        <v>41.446401199999997</v>
      </c>
      <c r="AA416">
        <v>15.538045</v>
      </c>
      <c r="AB416" t="s">
        <v>78</v>
      </c>
      <c r="AC416" t="s">
        <v>81</v>
      </c>
      <c r="AD416" t="s">
        <v>82</v>
      </c>
      <c r="AE416">
        <v>17376</v>
      </c>
      <c r="AF416">
        <v>0</v>
      </c>
      <c r="AG416">
        <v>0</v>
      </c>
      <c r="AH416">
        <v>0</v>
      </c>
      <c r="AI416">
        <v>6799</v>
      </c>
      <c r="AJ416">
        <v>10577</v>
      </c>
      <c r="AK416">
        <v>0</v>
      </c>
      <c r="AL416">
        <v>14311</v>
      </c>
      <c r="AM416">
        <v>75420</v>
      </c>
      <c r="AN416">
        <v>145776</v>
      </c>
      <c r="AO416">
        <v>149112</v>
      </c>
      <c r="AP416">
        <v>0</v>
      </c>
      <c r="AQ416">
        <v>0</v>
      </c>
      <c r="AR416">
        <v>6</v>
      </c>
      <c r="AS416">
        <v>0</v>
      </c>
      <c r="AT416">
        <v>0</v>
      </c>
      <c r="AU416">
        <v>3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4</v>
      </c>
      <c r="BC416">
        <v>0</v>
      </c>
      <c r="BD416">
        <v>2</v>
      </c>
      <c r="BE416">
        <v>0</v>
      </c>
      <c r="BF416">
        <v>4</v>
      </c>
      <c r="BG416">
        <v>0</v>
      </c>
      <c r="BH416">
        <v>12</v>
      </c>
      <c r="BI416">
        <v>0</v>
      </c>
      <c r="BJ416">
        <v>41.446402499999998</v>
      </c>
      <c r="BK416">
        <v>15.5380465</v>
      </c>
      <c r="BL416">
        <v>300</v>
      </c>
      <c r="BM416" t="s">
        <v>83</v>
      </c>
      <c r="BN416" t="s">
        <v>84</v>
      </c>
      <c r="BO416" t="s">
        <v>85</v>
      </c>
      <c r="BP416" t="s">
        <v>97</v>
      </c>
      <c r="BQ416" t="s">
        <v>187</v>
      </c>
      <c r="BR416" t="s">
        <v>639</v>
      </c>
      <c r="BS416">
        <v>221510</v>
      </c>
      <c r="BT416">
        <v>0</v>
      </c>
      <c r="BU416">
        <v>0</v>
      </c>
      <c r="BV416">
        <v>0</v>
      </c>
      <c r="BW416">
        <v>84144</v>
      </c>
      <c r="BX416">
        <v>137366</v>
      </c>
      <c r="BY416">
        <v>0</v>
      </c>
      <c r="BZ416">
        <v>1</v>
      </c>
      <c r="CA416" t="s">
        <v>642</v>
      </c>
      <c r="CB416" t="s">
        <v>643</v>
      </c>
      <c r="CC416" s="3">
        <v>46092.557106481479</v>
      </c>
      <c r="CD416" t="s">
        <v>91</v>
      </c>
    </row>
    <row r="417" spans="1:82" ht="16" x14ac:dyDescent="0.2">
      <c r="A417" t="s">
        <v>1120</v>
      </c>
      <c r="B417" t="s">
        <v>645</v>
      </c>
      <c r="C417" t="s">
        <v>646</v>
      </c>
      <c r="D417" t="s">
        <v>78</v>
      </c>
      <c r="E417" t="s">
        <v>647</v>
      </c>
      <c r="F417">
        <v>2</v>
      </c>
      <c r="G417">
        <v>150</v>
      </c>
      <c r="H417" t="str">
        <f t="shared" si="43"/>
        <v>2x150</v>
      </c>
      <c r="I417">
        <v>157</v>
      </c>
      <c r="J417" s="4">
        <f t="shared" si="44"/>
        <v>5.0320512820512815E-2</v>
      </c>
      <c r="K417">
        <v>237</v>
      </c>
      <c r="L417" s="4">
        <f t="shared" si="45"/>
        <v>7.5961538461538455E-2</v>
      </c>
      <c r="M417">
        <v>359</v>
      </c>
      <c r="N417" s="4">
        <f t="shared" si="46"/>
        <v>0.11506410256410256</v>
      </c>
      <c r="O417">
        <v>716</v>
      </c>
      <c r="P417" s="4">
        <f t="shared" si="47"/>
        <v>0.22948717948717948</v>
      </c>
      <c r="Q417" s="6">
        <f t="shared" si="42"/>
        <v>2035</v>
      </c>
      <c r="R417" s="6">
        <f t="shared" si="48"/>
        <v>4</v>
      </c>
      <c r="S417">
        <v>135</v>
      </c>
      <c r="T417">
        <v>19</v>
      </c>
      <c r="U417">
        <v>-13</v>
      </c>
      <c r="V417">
        <v>-17</v>
      </c>
      <c r="W417">
        <v>0</v>
      </c>
      <c r="X417">
        <v>54</v>
      </c>
      <c r="Y417" s="2" t="s">
        <v>648</v>
      </c>
      <c r="Z417">
        <v>45.185358361245001</v>
      </c>
      <c r="AA417">
        <v>11.260499013665299</v>
      </c>
      <c r="AB417" t="s">
        <v>78</v>
      </c>
      <c r="AC417" t="s">
        <v>81</v>
      </c>
      <c r="AD417" t="s">
        <v>82</v>
      </c>
      <c r="AE417">
        <v>50531</v>
      </c>
      <c r="AF417">
        <v>0</v>
      </c>
      <c r="AG417">
        <v>11713</v>
      </c>
      <c r="AH417">
        <v>28623</v>
      </c>
      <c r="AI417">
        <v>3775</v>
      </c>
      <c r="AJ417">
        <v>6111</v>
      </c>
      <c r="AK417">
        <v>309</v>
      </c>
      <c r="AL417">
        <v>704</v>
      </c>
      <c r="AM417">
        <v>4088</v>
      </c>
      <c r="AN417">
        <v>36380</v>
      </c>
      <c r="AO417">
        <v>71073</v>
      </c>
      <c r="AP417">
        <v>0</v>
      </c>
      <c r="AQ417">
        <v>0</v>
      </c>
      <c r="AR417">
        <v>5</v>
      </c>
      <c r="AS417">
        <v>4</v>
      </c>
      <c r="AT417">
        <v>3</v>
      </c>
      <c r="AU417">
        <v>28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18</v>
      </c>
      <c r="BB417">
        <v>21</v>
      </c>
      <c r="BC417">
        <v>9</v>
      </c>
      <c r="BD417">
        <v>0</v>
      </c>
      <c r="BE417">
        <v>0</v>
      </c>
      <c r="BF417">
        <v>0</v>
      </c>
      <c r="BG417">
        <v>0</v>
      </c>
      <c r="BH417">
        <v>2</v>
      </c>
      <c r="BI417">
        <v>0</v>
      </c>
      <c r="BJ417">
        <v>45.1854899</v>
      </c>
      <c r="BK417">
        <v>11.260399899999999</v>
      </c>
      <c r="BL417">
        <v>300</v>
      </c>
      <c r="BM417" t="s">
        <v>83</v>
      </c>
      <c r="BN417" t="s">
        <v>84</v>
      </c>
      <c r="BO417" t="s">
        <v>85</v>
      </c>
      <c r="BP417" t="s">
        <v>160</v>
      </c>
      <c r="BQ417" t="s">
        <v>161</v>
      </c>
      <c r="BR417" t="s">
        <v>162</v>
      </c>
      <c r="BS417">
        <v>1010713</v>
      </c>
      <c r="BT417">
        <v>0</v>
      </c>
      <c r="BU417">
        <v>234273</v>
      </c>
      <c r="BV417">
        <v>572489</v>
      </c>
      <c r="BW417">
        <v>75500</v>
      </c>
      <c r="BX417">
        <v>122261</v>
      </c>
      <c r="BY417">
        <v>6190</v>
      </c>
      <c r="BZ417">
        <v>1</v>
      </c>
      <c r="CA417" t="s">
        <v>649</v>
      </c>
      <c r="CB417" t="s">
        <v>650</v>
      </c>
      <c r="CC417" s="3">
        <v>46092.557106481479</v>
      </c>
      <c r="CD417" t="s">
        <v>91</v>
      </c>
    </row>
    <row r="418" spans="1:82" ht="16" x14ac:dyDescent="0.2">
      <c r="A418" t="s">
        <v>1121</v>
      </c>
      <c r="B418" t="s">
        <v>653</v>
      </c>
      <c r="C418" t="s">
        <v>654</v>
      </c>
      <c r="D418" t="s">
        <v>78</v>
      </c>
      <c r="E418" t="s">
        <v>655</v>
      </c>
      <c r="F418">
        <v>2</v>
      </c>
      <c r="G418">
        <v>150</v>
      </c>
      <c r="H418" t="str">
        <f t="shared" si="43"/>
        <v>2x150</v>
      </c>
      <c r="I418">
        <v>155</v>
      </c>
      <c r="J418" s="4">
        <f t="shared" si="44"/>
        <v>4.9679487179487176E-2</v>
      </c>
      <c r="K418">
        <v>235</v>
      </c>
      <c r="L418" s="4">
        <f t="shared" si="45"/>
        <v>7.5320512820512817E-2</v>
      </c>
      <c r="M418">
        <v>356</v>
      </c>
      <c r="N418" s="4">
        <f t="shared" si="46"/>
        <v>0.1141025641025641</v>
      </c>
      <c r="O418">
        <v>710</v>
      </c>
      <c r="P418" s="4">
        <f t="shared" si="47"/>
        <v>0.22756410256410256</v>
      </c>
      <c r="Q418" s="6">
        <f t="shared" si="42"/>
        <v>2035</v>
      </c>
      <c r="R418" s="6">
        <f t="shared" si="48"/>
        <v>4</v>
      </c>
      <c r="S418">
        <v>135</v>
      </c>
      <c r="T418">
        <v>12</v>
      </c>
      <c r="U418">
        <v>-5</v>
      </c>
      <c r="V418">
        <v>-17</v>
      </c>
      <c r="W418">
        <v>0</v>
      </c>
      <c r="X418">
        <v>51</v>
      </c>
      <c r="Y418" s="2" t="s">
        <v>656</v>
      </c>
      <c r="Z418">
        <v>41.763491989999999</v>
      </c>
      <c r="AA418">
        <v>12.36043188</v>
      </c>
      <c r="AB418" t="s">
        <v>78</v>
      </c>
      <c r="AC418" t="s">
        <v>81</v>
      </c>
      <c r="AD418" t="s">
        <v>82</v>
      </c>
      <c r="AE418">
        <v>41766</v>
      </c>
      <c r="AF418">
        <v>0</v>
      </c>
      <c r="AG418">
        <v>0</v>
      </c>
      <c r="AH418">
        <v>24025</v>
      </c>
      <c r="AI418">
        <v>0</v>
      </c>
      <c r="AJ418">
        <v>0</v>
      </c>
      <c r="AK418">
        <v>17741</v>
      </c>
      <c r="AL418">
        <v>12888</v>
      </c>
      <c r="AM418">
        <v>44286</v>
      </c>
      <c r="AN418">
        <v>144990</v>
      </c>
      <c r="AO418">
        <v>361766</v>
      </c>
      <c r="AP418">
        <v>1</v>
      </c>
      <c r="AQ418">
        <v>0</v>
      </c>
      <c r="AR418">
        <v>3</v>
      </c>
      <c r="AS418">
        <v>1</v>
      </c>
      <c r="AT418">
        <v>6</v>
      </c>
      <c r="AU418">
        <v>19</v>
      </c>
      <c r="AV418">
        <v>1</v>
      </c>
      <c r="AW418">
        <v>0</v>
      </c>
      <c r="AX418">
        <v>0</v>
      </c>
      <c r="AY418">
        <v>1</v>
      </c>
      <c r="AZ418">
        <v>0</v>
      </c>
      <c r="BA418">
        <v>8</v>
      </c>
      <c r="BB418">
        <v>20</v>
      </c>
      <c r="BC418">
        <v>2</v>
      </c>
      <c r="BD418">
        <v>0</v>
      </c>
      <c r="BE418">
        <v>0</v>
      </c>
      <c r="BF418">
        <v>0</v>
      </c>
      <c r="BG418">
        <v>0</v>
      </c>
      <c r="BH418">
        <v>2</v>
      </c>
      <c r="BI418">
        <v>0</v>
      </c>
      <c r="BJ418">
        <v>41.7635456</v>
      </c>
      <c r="BK418">
        <v>12.3602442</v>
      </c>
      <c r="BL418">
        <v>300</v>
      </c>
      <c r="BM418" t="s">
        <v>83</v>
      </c>
      <c r="BN418" t="s">
        <v>84</v>
      </c>
      <c r="BO418" t="s">
        <v>85</v>
      </c>
      <c r="BP418" t="s">
        <v>86</v>
      </c>
      <c r="BQ418" t="s">
        <v>87</v>
      </c>
      <c r="BR418" t="s">
        <v>88</v>
      </c>
      <c r="BS418">
        <v>835382</v>
      </c>
      <c r="BT418">
        <v>0</v>
      </c>
      <c r="BU418">
        <v>0</v>
      </c>
      <c r="BV418">
        <v>480514</v>
      </c>
      <c r="BW418">
        <v>0</v>
      </c>
      <c r="BX418">
        <v>0</v>
      </c>
      <c r="BY418">
        <v>354868</v>
      </c>
      <c r="BZ418">
        <v>1</v>
      </c>
      <c r="CA418" t="s">
        <v>657</v>
      </c>
      <c r="CB418" t="s">
        <v>658</v>
      </c>
      <c r="CC418" s="3">
        <v>46092.557106481479</v>
      </c>
      <c r="CD418" t="s">
        <v>91</v>
      </c>
    </row>
    <row r="419" spans="1:82" ht="16" x14ac:dyDescent="0.2">
      <c r="A419" t="s">
        <v>799</v>
      </c>
      <c r="B419" t="s">
        <v>800</v>
      </c>
      <c r="C419" t="s">
        <v>801</v>
      </c>
      <c r="D419" t="s">
        <v>78</v>
      </c>
      <c r="E419" t="s">
        <v>802</v>
      </c>
      <c r="F419">
        <v>2</v>
      </c>
      <c r="G419">
        <v>300</v>
      </c>
      <c r="H419" t="str">
        <f t="shared" si="43"/>
        <v>2x300</v>
      </c>
      <c r="I419">
        <v>155</v>
      </c>
      <c r="J419" s="4">
        <f t="shared" si="44"/>
        <v>4.3055555555555562E-2</v>
      </c>
      <c r="K419">
        <v>234</v>
      </c>
      <c r="L419" s="4">
        <f t="shared" si="45"/>
        <v>6.5000000000000002E-2</v>
      </c>
      <c r="M419">
        <v>355</v>
      </c>
      <c r="N419" s="4">
        <f t="shared" si="46"/>
        <v>9.8611111111111108E-2</v>
      </c>
      <c r="O419">
        <v>709</v>
      </c>
      <c r="P419" s="4">
        <f t="shared" si="47"/>
        <v>0.19694444444444445</v>
      </c>
      <c r="Q419" s="6">
        <f t="shared" si="42"/>
        <v>2035</v>
      </c>
      <c r="R419" s="6">
        <f t="shared" si="48"/>
        <v>4</v>
      </c>
      <c r="S419">
        <v>156</v>
      </c>
      <c r="T419">
        <v>-50</v>
      </c>
      <c r="U419">
        <v>-16</v>
      </c>
      <c r="V419">
        <v>27</v>
      </c>
      <c r="W419">
        <v>2</v>
      </c>
      <c r="X419">
        <v>57</v>
      </c>
      <c r="Y419" s="2" t="s">
        <v>803</v>
      </c>
      <c r="Z419">
        <v>41.118589999999998</v>
      </c>
      <c r="AA419">
        <v>14.758330000000001</v>
      </c>
      <c r="AB419" t="s">
        <v>78</v>
      </c>
      <c r="AC419" t="s">
        <v>81</v>
      </c>
      <c r="AD419" t="s">
        <v>82</v>
      </c>
      <c r="AE419">
        <v>20302</v>
      </c>
      <c r="AF419">
        <v>0</v>
      </c>
      <c r="AG419">
        <v>0</v>
      </c>
      <c r="AH419">
        <v>10969</v>
      </c>
      <c r="AI419">
        <v>1395</v>
      </c>
      <c r="AJ419">
        <v>7938</v>
      </c>
      <c r="AK419">
        <v>0</v>
      </c>
      <c r="AL419">
        <v>3497</v>
      </c>
      <c r="AM419">
        <v>19520</v>
      </c>
      <c r="AN419">
        <v>59709</v>
      </c>
      <c r="AO419">
        <v>95627</v>
      </c>
      <c r="AP419">
        <v>0</v>
      </c>
      <c r="AQ419">
        <v>0</v>
      </c>
      <c r="AR419">
        <v>2</v>
      </c>
      <c r="AS419">
        <v>44</v>
      </c>
      <c r="AT419">
        <v>0</v>
      </c>
      <c r="AU419">
        <v>12</v>
      </c>
      <c r="AV419">
        <v>1</v>
      </c>
      <c r="AW419">
        <v>0</v>
      </c>
      <c r="AX419">
        <v>0</v>
      </c>
      <c r="AY419">
        <v>0</v>
      </c>
      <c r="AZ419">
        <v>1</v>
      </c>
      <c r="BA419">
        <v>2</v>
      </c>
      <c r="BB419">
        <v>7</v>
      </c>
      <c r="BC419">
        <v>2</v>
      </c>
      <c r="BD419">
        <v>0</v>
      </c>
      <c r="BE419">
        <v>0</v>
      </c>
      <c r="BF419">
        <v>0</v>
      </c>
      <c r="BG419">
        <v>0</v>
      </c>
      <c r="BH419">
        <v>2</v>
      </c>
      <c r="BI419">
        <v>0</v>
      </c>
      <c r="BJ419">
        <v>41.118693299999997</v>
      </c>
      <c r="BK419">
        <v>14.7582954</v>
      </c>
      <c r="BL419">
        <v>600</v>
      </c>
      <c r="BM419" t="s">
        <v>83</v>
      </c>
      <c r="BN419" t="s">
        <v>84</v>
      </c>
      <c r="BO419" t="s">
        <v>85</v>
      </c>
      <c r="BP419" t="s">
        <v>97</v>
      </c>
      <c r="BQ419" t="s">
        <v>98</v>
      </c>
      <c r="BR419" t="s">
        <v>801</v>
      </c>
      <c r="BS419">
        <v>354726</v>
      </c>
      <c r="BT419">
        <v>0</v>
      </c>
      <c r="BU419">
        <v>0</v>
      </c>
      <c r="BV419">
        <v>219401</v>
      </c>
      <c r="BW419">
        <v>27918</v>
      </c>
      <c r="BX419">
        <v>107407</v>
      </c>
      <c r="BY419">
        <v>0</v>
      </c>
      <c r="BZ419">
        <v>1</v>
      </c>
      <c r="CA419" t="s">
        <v>804</v>
      </c>
      <c r="CB419" t="s">
        <v>805</v>
      </c>
      <c r="CC419" s="3">
        <v>46092.557106481479</v>
      </c>
      <c r="CD419" t="s">
        <v>91</v>
      </c>
    </row>
    <row r="420" spans="1:82" ht="16" x14ac:dyDescent="0.2">
      <c r="A420" t="s">
        <v>1122</v>
      </c>
      <c r="B420" t="s">
        <v>660</v>
      </c>
      <c r="C420" t="s">
        <v>661</v>
      </c>
      <c r="D420" t="s">
        <v>78</v>
      </c>
      <c r="E420" t="s">
        <v>662</v>
      </c>
      <c r="F420">
        <v>2</v>
      </c>
      <c r="G420">
        <v>150</v>
      </c>
      <c r="H420" t="str">
        <f t="shared" si="43"/>
        <v>2x150</v>
      </c>
      <c r="I420">
        <v>154</v>
      </c>
      <c r="J420" s="4">
        <f t="shared" si="44"/>
        <v>4.9358974358974357E-2</v>
      </c>
      <c r="K420">
        <v>233</v>
      </c>
      <c r="L420" s="4">
        <f t="shared" si="45"/>
        <v>7.4679487179487178E-2</v>
      </c>
      <c r="M420">
        <v>353</v>
      </c>
      <c r="N420" s="4">
        <f t="shared" si="46"/>
        <v>0.11314102564102564</v>
      </c>
      <c r="O420">
        <v>705</v>
      </c>
      <c r="P420" s="4">
        <f t="shared" si="47"/>
        <v>0.22596153846153846</v>
      </c>
      <c r="Q420" s="6">
        <f t="shared" si="42"/>
        <v>2035</v>
      </c>
      <c r="R420" s="6">
        <f t="shared" si="48"/>
        <v>4</v>
      </c>
      <c r="S420">
        <v>135</v>
      </c>
      <c r="T420">
        <v>8</v>
      </c>
      <c r="U420">
        <v>-13</v>
      </c>
      <c r="V420">
        <v>-7</v>
      </c>
      <c r="W420">
        <v>-1</v>
      </c>
      <c r="X420">
        <v>54</v>
      </c>
      <c r="Y420" s="2" t="s">
        <v>663</v>
      </c>
      <c r="Z420">
        <v>41.975872699999996</v>
      </c>
      <c r="AA420">
        <v>12.079630999999999</v>
      </c>
      <c r="AB420" t="s">
        <v>78</v>
      </c>
      <c r="AC420" t="s">
        <v>81</v>
      </c>
      <c r="AD420" t="s">
        <v>82</v>
      </c>
      <c r="AE420">
        <v>64716</v>
      </c>
      <c r="AF420">
        <v>44963</v>
      </c>
      <c r="AG420">
        <v>0</v>
      </c>
      <c r="AH420">
        <v>5905</v>
      </c>
      <c r="AI420">
        <v>0</v>
      </c>
      <c r="AJ420">
        <v>10902</v>
      </c>
      <c r="AK420">
        <v>2946</v>
      </c>
      <c r="AL420">
        <v>1906</v>
      </c>
      <c r="AM420">
        <v>19929</v>
      </c>
      <c r="AN420">
        <v>68266</v>
      </c>
      <c r="AO420">
        <v>81436</v>
      </c>
      <c r="AP420">
        <v>0</v>
      </c>
      <c r="AQ420">
        <v>0</v>
      </c>
      <c r="AR420">
        <v>1</v>
      </c>
      <c r="AS420">
        <v>1</v>
      </c>
      <c r="AT420">
        <v>0</v>
      </c>
      <c r="AU420">
        <v>9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3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2</v>
      </c>
      <c r="BI420">
        <v>0</v>
      </c>
      <c r="BJ420">
        <v>41.975678700000003</v>
      </c>
      <c r="BK420">
        <v>12.080140800000001</v>
      </c>
      <c r="BL420">
        <v>300</v>
      </c>
      <c r="BM420" t="s">
        <v>83</v>
      </c>
      <c r="BN420" t="s">
        <v>84</v>
      </c>
      <c r="BO420" t="s">
        <v>85</v>
      </c>
      <c r="BP420" t="s">
        <v>86</v>
      </c>
      <c r="BQ420" t="s">
        <v>87</v>
      </c>
      <c r="BR420" t="s">
        <v>88</v>
      </c>
      <c r="BS420">
        <v>1424058</v>
      </c>
      <c r="BT420">
        <v>1028893</v>
      </c>
      <c r="BU420">
        <v>0</v>
      </c>
      <c r="BV420">
        <v>118115</v>
      </c>
      <c r="BW420">
        <v>0</v>
      </c>
      <c r="BX420">
        <v>218105</v>
      </c>
      <c r="BY420">
        <v>58945</v>
      </c>
      <c r="BZ420">
        <v>1</v>
      </c>
      <c r="CA420" t="s">
        <v>664</v>
      </c>
      <c r="CB420" t="s">
        <v>665</v>
      </c>
      <c r="CC420" s="3">
        <v>46092.557106481479</v>
      </c>
      <c r="CD420" t="s">
        <v>91</v>
      </c>
    </row>
    <row r="421" spans="1:82" ht="16" x14ac:dyDescent="0.2">
      <c r="A421" t="s">
        <v>1123</v>
      </c>
      <c r="B421" t="s">
        <v>667</v>
      </c>
      <c r="C421" t="s">
        <v>668</v>
      </c>
      <c r="D421" t="s">
        <v>78</v>
      </c>
      <c r="E421" t="s">
        <v>669</v>
      </c>
      <c r="F421">
        <v>2</v>
      </c>
      <c r="G421">
        <v>150</v>
      </c>
      <c r="H421" t="str">
        <f t="shared" si="43"/>
        <v>2x150</v>
      </c>
      <c r="I421">
        <v>153</v>
      </c>
      <c r="J421" s="4">
        <f t="shared" si="44"/>
        <v>4.9038461538461538E-2</v>
      </c>
      <c r="K421">
        <v>232</v>
      </c>
      <c r="L421" s="4">
        <f t="shared" si="45"/>
        <v>7.4358974358974358E-2</v>
      </c>
      <c r="M421">
        <v>352</v>
      </c>
      <c r="N421" s="4">
        <f t="shared" si="46"/>
        <v>0.11282051282051282</v>
      </c>
      <c r="O421">
        <v>701</v>
      </c>
      <c r="P421" s="4">
        <f t="shared" si="47"/>
        <v>0.22467948717948719</v>
      </c>
      <c r="Q421" s="6">
        <f t="shared" si="42"/>
        <v>2035</v>
      </c>
      <c r="R421" s="6">
        <f t="shared" si="48"/>
        <v>4</v>
      </c>
      <c r="S421">
        <v>135</v>
      </c>
      <c r="T421">
        <v>-29</v>
      </c>
      <c r="U421">
        <v>4</v>
      </c>
      <c r="V421">
        <v>40</v>
      </c>
      <c r="W421">
        <v>-19</v>
      </c>
      <c r="X421">
        <v>37</v>
      </c>
      <c r="Y421" s="2" t="s">
        <v>670</v>
      </c>
      <c r="Z421">
        <v>44.736400895529897</v>
      </c>
      <c r="AA421">
        <v>8.8305127779121797</v>
      </c>
      <c r="AB421" t="s">
        <v>78</v>
      </c>
      <c r="AC421" t="s">
        <v>81</v>
      </c>
      <c r="AD421" t="s">
        <v>82</v>
      </c>
      <c r="AE421">
        <v>15570</v>
      </c>
      <c r="AF421">
        <v>0</v>
      </c>
      <c r="AG421">
        <v>0</v>
      </c>
      <c r="AH421">
        <v>0</v>
      </c>
      <c r="AI421">
        <v>0</v>
      </c>
      <c r="AJ421">
        <v>15570</v>
      </c>
      <c r="AK421">
        <v>0</v>
      </c>
      <c r="AL421">
        <v>211</v>
      </c>
      <c r="AM421">
        <v>2220</v>
      </c>
      <c r="AN421">
        <v>31482</v>
      </c>
      <c r="AO421">
        <v>64842</v>
      </c>
      <c r="AP421">
        <v>0</v>
      </c>
      <c r="AQ421">
        <v>0</v>
      </c>
      <c r="AR421">
        <v>7</v>
      </c>
      <c r="AS421">
        <v>12</v>
      </c>
      <c r="AT421">
        <v>2</v>
      </c>
      <c r="AU421">
        <v>7</v>
      </c>
      <c r="AV421">
        <v>1</v>
      </c>
      <c r="AW421">
        <v>0</v>
      </c>
      <c r="AX421">
        <v>2</v>
      </c>
      <c r="AY421">
        <v>0</v>
      </c>
      <c r="AZ421">
        <v>0</v>
      </c>
      <c r="BA421">
        <v>15</v>
      </c>
      <c r="BB421">
        <v>17</v>
      </c>
      <c r="BC421">
        <v>10</v>
      </c>
      <c r="BD421">
        <v>2</v>
      </c>
      <c r="BE421">
        <v>0</v>
      </c>
      <c r="BF421">
        <v>8</v>
      </c>
      <c r="BG421">
        <v>8</v>
      </c>
      <c r="BH421">
        <v>8</v>
      </c>
      <c r="BI421">
        <v>8</v>
      </c>
      <c r="BJ421">
        <v>44.736418800000003</v>
      </c>
      <c r="BK421">
        <v>8.8305284000000004</v>
      </c>
      <c r="BL421">
        <v>300</v>
      </c>
      <c r="BM421" t="s">
        <v>83</v>
      </c>
      <c r="BN421" t="s">
        <v>84</v>
      </c>
      <c r="BO421" t="s">
        <v>85</v>
      </c>
      <c r="BP421" t="s">
        <v>107</v>
      </c>
      <c r="BQ421" t="s">
        <v>203</v>
      </c>
      <c r="BR421" t="s">
        <v>671</v>
      </c>
      <c r="BS421">
        <v>311408</v>
      </c>
      <c r="BT421">
        <v>0</v>
      </c>
      <c r="BU421">
        <v>0</v>
      </c>
      <c r="BV421">
        <v>0</v>
      </c>
      <c r="BW421">
        <v>0</v>
      </c>
      <c r="BX421">
        <v>311408</v>
      </c>
      <c r="BY421">
        <v>0</v>
      </c>
      <c r="BZ421">
        <v>1</v>
      </c>
      <c r="CA421" t="s">
        <v>672</v>
      </c>
      <c r="CB421" t="s">
        <v>673</v>
      </c>
      <c r="CC421" s="3">
        <v>46092.557106481479</v>
      </c>
      <c r="CD421" t="s">
        <v>91</v>
      </c>
    </row>
    <row r="422" spans="1:82" ht="16" x14ac:dyDescent="0.2">
      <c r="A422" t="s">
        <v>1124</v>
      </c>
      <c r="B422" t="s">
        <v>675</v>
      </c>
      <c r="C422" t="s">
        <v>676</v>
      </c>
      <c r="D422" t="s">
        <v>78</v>
      </c>
      <c r="E422" t="s">
        <v>677</v>
      </c>
      <c r="F422">
        <v>2</v>
      </c>
      <c r="G422">
        <v>150</v>
      </c>
      <c r="H422" t="str">
        <f t="shared" si="43"/>
        <v>2x150</v>
      </c>
      <c r="I422">
        <v>153</v>
      </c>
      <c r="J422" s="4">
        <f t="shared" si="44"/>
        <v>4.9038461538461538E-2</v>
      </c>
      <c r="K422">
        <v>231</v>
      </c>
      <c r="L422" s="4">
        <f t="shared" si="45"/>
        <v>7.4038461538461539E-2</v>
      </c>
      <c r="M422">
        <v>351</v>
      </c>
      <c r="N422" s="4">
        <f t="shared" si="46"/>
        <v>0.1125</v>
      </c>
      <c r="O422">
        <v>700</v>
      </c>
      <c r="P422" s="4">
        <f t="shared" si="47"/>
        <v>0.22435897435897437</v>
      </c>
      <c r="Q422" s="6">
        <f t="shared" si="42"/>
        <v>2035</v>
      </c>
      <c r="R422" s="6">
        <f t="shared" si="48"/>
        <v>4</v>
      </c>
      <c r="S422">
        <v>135</v>
      </c>
      <c r="T422">
        <v>4</v>
      </c>
      <c r="U422">
        <v>-13</v>
      </c>
      <c r="V422">
        <v>1</v>
      </c>
      <c r="W422">
        <v>-4</v>
      </c>
      <c r="X422">
        <v>49</v>
      </c>
      <c r="Y422" s="2" t="s">
        <v>678</v>
      </c>
      <c r="Z422">
        <v>41.754345049293299</v>
      </c>
      <c r="AA422">
        <v>12.618595604901399</v>
      </c>
      <c r="AB422" t="s">
        <v>78</v>
      </c>
      <c r="AC422" t="s">
        <v>81</v>
      </c>
      <c r="AD422" t="s">
        <v>82</v>
      </c>
      <c r="AE422">
        <v>79329</v>
      </c>
      <c r="AF422">
        <v>0</v>
      </c>
      <c r="AG422">
        <v>0</v>
      </c>
      <c r="AH422">
        <v>67704</v>
      </c>
      <c r="AI422">
        <v>2749</v>
      </c>
      <c r="AJ422">
        <v>7060</v>
      </c>
      <c r="AK422">
        <v>1816</v>
      </c>
      <c r="AL422">
        <v>3453</v>
      </c>
      <c r="AM422">
        <v>14937</v>
      </c>
      <c r="AN422">
        <v>99574</v>
      </c>
      <c r="AO422">
        <v>322758</v>
      </c>
      <c r="AP422">
        <v>0</v>
      </c>
      <c r="AQ422">
        <v>0</v>
      </c>
      <c r="AR422">
        <v>5</v>
      </c>
      <c r="AS422">
        <v>1</v>
      </c>
      <c r="AT422">
        <v>1</v>
      </c>
      <c r="AU422">
        <v>12</v>
      </c>
      <c r="AV422">
        <v>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2</v>
      </c>
      <c r="BG422">
        <v>0</v>
      </c>
      <c r="BH422">
        <v>4</v>
      </c>
      <c r="BI422">
        <v>0</v>
      </c>
      <c r="BJ422">
        <v>41.754139899999998</v>
      </c>
      <c r="BK422">
        <v>12.618279899999999</v>
      </c>
      <c r="BL422">
        <v>300</v>
      </c>
      <c r="BM422" t="s">
        <v>83</v>
      </c>
      <c r="BN422" t="s">
        <v>84</v>
      </c>
      <c r="BO422" t="s">
        <v>85</v>
      </c>
      <c r="BP422" t="s">
        <v>86</v>
      </c>
      <c r="BQ422" t="s">
        <v>87</v>
      </c>
      <c r="BR422" t="s">
        <v>88</v>
      </c>
      <c r="BS422">
        <v>1043729</v>
      </c>
      <c r="BT422">
        <v>0</v>
      </c>
      <c r="BU422">
        <v>0</v>
      </c>
      <c r="BV422">
        <v>811180</v>
      </c>
      <c r="BW422">
        <v>54993</v>
      </c>
      <c r="BX422">
        <v>141219</v>
      </c>
      <c r="BY422">
        <v>36337</v>
      </c>
      <c r="BZ422">
        <v>1</v>
      </c>
      <c r="CA422" t="s">
        <v>679</v>
      </c>
      <c r="CB422" t="s">
        <v>680</v>
      </c>
      <c r="CC422" s="3">
        <v>46092.557106481479</v>
      </c>
      <c r="CD422" t="s">
        <v>91</v>
      </c>
    </row>
    <row r="423" spans="1:82" ht="16" x14ac:dyDescent="0.2">
      <c r="A423" t="s">
        <v>1125</v>
      </c>
      <c r="B423" t="s">
        <v>682</v>
      </c>
      <c r="C423" t="s">
        <v>683</v>
      </c>
      <c r="D423" t="s">
        <v>78</v>
      </c>
      <c r="E423" t="s">
        <v>684</v>
      </c>
      <c r="F423">
        <v>2</v>
      </c>
      <c r="G423">
        <v>150</v>
      </c>
      <c r="H423" t="str">
        <f t="shared" si="43"/>
        <v>2x150</v>
      </c>
      <c r="I423">
        <v>152</v>
      </c>
      <c r="J423" s="4">
        <f t="shared" si="44"/>
        <v>4.8717948717948718E-2</v>
      </c>
      <c r="K423">
        <v>229</v>
      </c>
      <c r="L423" s="4">
        <f t="shared" si="45"/>
        <v>7.33974358974359E-2</v>
      </c>
      <c r="M423">
        <v>348</v>
      </c>
      <c r="N423" s="4">
        <f t="shared" si="46"/>
        <v>0.11153846153846153</v>
      </c>
      <c r="O423">
        <v>694</v>
      </c>
      <c r="P423" s="4">
        <f t="shared" si="47"/>
        <v>0.22243589743589742</v>
      </c>
      <c r="Q423" s="6">
        <f t="shared" si="42"/>
        <v>2035</v>
      </c>
      <c r="R423" s="6">
        <f t="shared" si="48"/>
        <v>4</v>
      </c>
      <c r="S423">
        <v>135</v>
      </c>
      <c r="T423">
        <v>36</v>
      </c>
      <c r="U423">
        <v>-27</v>
      </c>
      <c r="V423">
        <v>-17</v>
      </c>
      <c r="W423">
        <v>-10</v>
      </c>
      <c r="X423">
        <v>60</v>
      </c>
      <c r="Y423" s="2" t="s">
        <v>685</v>
      </c>
      <c r="Z423">
        <v>45.506599999999999</v>
      </c>
      <c r="AA423">
        <v>12.63334</v>
      </c>
      <c r="AB423" t="s">
        <v>78</v>
      </c>
      <c r="AC423" t="s">
        <v>81</v>
      </c>
      <c r="AD423" t="s">
        <v>82</v>
      </c>
      <c r="AE423">
        <v>54684</v>
      </c>
      <c r="AF423">
        <v>0</v>
      </c>
      <c r="AG423">
        <v>0</v>
      </c>
      <c r="AH423">
        <v>0</v>
      </c>
      <c r="AI423">
        <v>22591</v>
      </c>
      <c r="AJ423">
        <v>10663</v>
      </c>
      <c r="AK423">
        <v>21430</v>
      </c>
      <c r="AL423">
        <v>2652</v>
      </c>
      <c r="AM423">
        <v>6011</v>
      </c>
      <c r="AN423">
        <v>21319</v>
      </c>
      <c r="AO423">
        <v>36316</v>
      </c>
      <c r="AP423">
        <v>5</v>
      </c>
      <c r="AQ423">
        <v>5</v>
      </c>
      <c r="AR423">
        <v>4</v>
      </c>
      <c r="AS423">
        <v>9</v>
      </c>
      <c r="AT423">
        <v>0</v>
      </c>
      <c r="AU423">
        <v>28</v>
      </c>
      <c r="AV423">
        <v>0</v>
      </c>
      <c r="AW423">
        <v>2</v>
      </c>
      <c r="AX423">
        <v>1</v>
      </c>
      <c r="AY423">
        <v>0</v>
      </c>
      <c r="AZ423">
        <v>2</v>
      </c>
      <c r="BA423">
        <v>17</v>
      </c>
      <c r="BB423">
        <v>28</v>
      </c>
      <c r="BC423">
        <v>14</v>
      </c>
      <c r="BD423">
        <v>0</v>
      </c>
      <c r="BE423">
        <v>0</v>
      </c>
      <c r="BF423">
        <v>0</v>
      </c>
      <c r="BG423">
        <v>2</v>
      </c>
      <c r="BH423">
        <v>0</v>
      </c>
      <c r="BI423">
        <v>2</v>
      </c>
      <c r="BJ423">
        <v>45.506634599999998</v>
      </c>
      <c r="BK423">
        <v>12.6333669</v>
      </c>
      <c r="BL423">
        <v>300</v>
      </c>
      <c r="BM423" t="s">
        <v>83</v>
      </c>
      <c r="BN423" t="s">
        <v>84</v>
      </c>
      <c r="BO423" t="s">
        <v>85</v>
      </c>
      <c r="BP423" t="s">
        <v>160</v>
      </c>
      <c r="BQ423" t="s">
        <v>161</v>
      </c>
      <c r="BR423" t="s">
        <v>343</v>
      </c>
      <c r="BS423">
        <v>1035423</v>
      </c>
      <c r="BT423">
        <v>0</v>
      </c>
      <c r="BU423">
        <v>0</v>
      </c>
      <c r="BV423">
        <v>0</v>
      </c>
      <c r="BW423">
        <v>451844</v>
      </c>
      <c r="BX423">
        <v>213278</v>
      </c>
      <c r="BY423">
        <v>370301</v>
      </c>
      <c r="BZ423">
        <v>1</v>
      </c>
      <c r="CA423" t="s">
        <v>686</v>
      </c>
      <c r="CB423" t="s">
        <v>687</v>
      </c>
      <c r="CC423" s="3">
        <v>46092.557106481479</v>
      </c>
      <c r="CD423" t="s">
        <v>91</v>
      </c>
    </row>
    <row r="424" spans="1:82" ht="16" x14ac:dyDescent="0.2">
      <c r="A424" t="s">
        <v>1126</v>
      </c>
      <c r="B424" t="s">
        <v>689</v>
      </c>
      <c r="C424" t="s">
        <v>690</v>
      </c>
      <c r="D424" t="s">
        <v>78</v>
      </c>
      <c r="E424" t="s">
        <v>691</v>
      </c>
      <c r="F424">
        <v>2</v>
      </c>
      <c r="G424">
        <v>150</v>
      </c>
      <c r="H424" t="str">
        <f t="shared" si="43"/>
        <v>2x150</v>
      </c>
      <c r="I424">
        <v>150</v>
      </c>
      <c r="J424" s="4">
        <f t="shared" si="44"/>
        <v>4.8076923076923073E-2</v>
      </c>
      <c r="K424">
        <v>226</v>
      </c>
      <c r="L424" s="4">
        <f t="shared" si="45"/>
        <v>7.2435897435897442E-2</v>
      </c>
      <c r="M424">
        <v>343</v>
      </c>
      <c r="N424" s="4">
        <f t="shared" si="46"/>
        <v>0.10993589743589743</v>
      </c>
      <c r="O424">
        <v>684</v>
      </c>
      <c r="P424" s="4">
        <f t="shared" si="47"/>
        <v>0.21923076923076923</v>
      </c>
      <c r="Q424" s="6">
        <f t="shared" si="42"/>
        <v>2035</v>
      </c>
      <c r="R424" s="6">
        <f t="shared" si="48"/>
        <v>4</v>
      </c>
      <c r="S424">
        <v>135</v>
      </c>
      <c r="T424">
        <v>-22</v>
      </c>
      <c r="U424">
        <v>5</v>
      </c>
      <c r="V424">
        <v>4</v>
      </c>
      <c r="W424">
        <v>-3</v>
      </c>
      <c r="X424">
        <v>53</v>
      </c>
      <c r="Y424" s="2" t="s">
        <v>692</v>
      </c>
      <c r="Z424">
        <v>45.656489999999998</v>
      </c>
      <c r="AA424">
        <v>8.9792100000000001</v>
      </c>
      <c r="AB424" t="s">
        <v>78</v>
      </c>
      <c r="AC424" t="s">
        <v>81</v>
      </c>
      <c r="AD424" t="s">
        <v>82</v>
      </c>
      <c r="AE424">
        <v>30923</v>
      </c>
      <c r="AF424">
        <v>0</v>
      </c>
      <c r="AG424">
        <v>0</v>
      </c>
      <c r="AH424">
        <v>15919</v>
      </c>
      <c r="AI424">
        <v>0</v>
      </c>
      <c r="AJ424">
        <v>12249</v>
      </c>
      <c r="AK424">
        <v>2755</v>
      </c>
      <c r="AL424">
        <v>5823</v>
      </c>
      <c r="AM424">
        <v>17463</v>
      </c>
      <c r="AN424">
        <v>78680</v>
      </c>
      <c r="AO424">
        <v>437875</v>
      </c>
      <c r="AP424">
        <v>3</v>
      </c>
      <c r="AQ424">
        <v>0</v>
      </c>
      <c r="AR424">
        <v>3</v>
      </c>
      <c r="AS424">
        <v>5</v>
      </c>
      <c r="AT424">
        <v>0</v>
      </c>
      <c r="AU424">
        <v>20</v>
      </c>
      <c r="AV424">
        <v>17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8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45.656741199999999</v>
      </c>
      <c r="BK424">
        <v>8.9791789000000009</v>
      </c>
      <c r="BL424">
        <v>300</v>
      </c>
      <c r="BM424" t="s">
        <v>83</v>
      </c>
      <c r="BN424" t="s">
        <v>84</v>
      </c>
      <c r="BO424" t="s">
        <v>85</v>
      </c>
      <c r="BP424" t="s">
        <v>107</v>
      </c>
      <c r="BQ424" t="s">
        <v>108</v>
      </c>
      <c r="BR424" t="s">
        <v>305</v>
      </c>
      <c r="BS424">
        <v>618624</v>
      </c>
      <c r="BT424">
        <v>0</v>
      </c>
      <c r="BU424">
        <v>0</v>
      </c>
      <c r="BV424">
        <v>318384</v>
      </c>
      <c r="BW424">
        <v>0</v>
      </c>
      <c r="BX424">
        <v>245107</v>
      </c>
      <c r="BY424">
        <v>55133</v>
      </c>
      <c r="BZ424">
        <v>1</v>
      </c>
      <c r="CA424" t="s">
        <v>693</v>
      </c>
      <c r="CB424" t="s">
        <v>694</v>
      </c>
      <c r="CC424" s="3">
        <v>46092.557106481479</v>
      </c>
      <c r="CD424" t="s">
        <v>91</v>
      </c>
    </row>
    <row r="425" spans="1:82" ht="16" x14ac:dyDescent="0.2">
      <c r="A425" t="s">
        <v>807</v>
      </c>
      <c r="B425" t="s">
        <v>808</v>
      </c>
      <c r="C425" t="s">
        <v>809</v>
      </c>
      <c r="D425" t="s">
        <v>78</v>
      </c>
      <c r="E425" t="s">
        <v>810</v>
      </c>
      <c r="F425">
        <v>2</v>
      </c>
      <c r="G425">
        <v>300</v>
      </c>
      <c r="H425" t="str">
        <f t="shared" si="43"/>
        <v>2x300</v>
      </c>
      <c r="I425">
        <v>150</v>
      </c>
      <c r="J425" s="4">
        <f t="shared" si="44"/>
        <v>4.1666666666666664E-2</v>
      </c>
      <c r="K425">
        <v>226</v>
      </c>
      <c r="L425" s="4">
        <f t="shared" si="45"/>
        <v>6.277777777777778E-2</v>
      </c>
      <c r="M425">
        <v>343</v>
      </c>
      <c r="N425" s="4">
        <f t="shared" si="46"/>
        <v>9.5277777777777781E-2</v>
      </c>
      <c r="O425">
        <v>684</v>
      </c>
      <c r="P425" s="4">
        <f t="shared" si="47"/>
        <v>0.18999999999999997</v>
      </c>
      <c r="Q425" s="6">
        <f t="shared" si="42"/>
        <v>2035</v>
      </c>
      <c r="R425" s="6">
        <f t="shared" si="48"/>
        <v>4</v>
      </c>
      <c r="S425">
        <v>156</v>
      </c>
      <c r="T425">
        <v>-44</v>
      </c>
      <c r="U425">
        <v>-16</v>
      </c>
      <c r="V425">
        <v>3</v>
      </c>
      <c r="W425">
        <v>9</v>
      </c>
      <c r="X425">
        <v>68</v>
      </c>
      <c r="Y425" s="2" t="s">
        <v>811</v>
      </c>
      <c r="Z425">
        <v>45.515509999999999</v>
      </c>
      <c r="AA425">
        <v>10.137890000000001</v>
      </c>
      <c r="AB425" t="s">
        <v>78</v>
      </c>
      <c r="AC425" t="s">
        <v>81</v>
      </c>
      <c r="AD425" t="s">
        <v>82</v>
      </c>
      <c r="AE425">
        <v>24425</v>
      </c>
      <c r="AF425">
        <v>0</v>
      </c>
      <c r="AG425">
        <v>0</v>
      </c>
      <c r="AH425">
        <v>0</v>
      </c>
      <c r="AI425">
        <v>14930</v>
      </c>
      <c r="AJ425">
        <v>9495</v>
      </c>
      <c r="AK425">
        <v>0</v>
      </c>
      <c r="AL425">
        <v>3465</v>
      </c>
      <c r="AM425">
        <v>15840</v>
      </c>
      <c r="AN425">
        <v>74333</v>
      </c>
      <c r="AO425">
        <v>337026</v>
      </c>
      <c r="AP425">
        <v>0</v>
      </c>
      <c r="AQ425">
        <v>0</v>
      </c>
      <c r="AR425">
        <v>4</v>
      </c>
      <c r="AS425">
        <v>10</v>
      </c>
      <c r="AT425">
        <v>0</v>
      </c>
      <c r="AU425">
        <v>12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2</v>
      </c>
      <c r="BB425">
        <v>10</v>
      </c>
      <c r="BC425">
        <v>2</v>
      </c>
      <c r="BD425">
        <v>2</v>
      </c>
      <c r="BE425">
        <v>0</v>
      </c>
      <c r="BF425">
        <v>2</v>
      </c>
      <c r="BG425">
        <v>0</v>
      </c>
      <c r="BH425">
        <v>2</v>
      </c>
      <c r="BI425">
        <v>0</v>
      </c>
      <c r="BJ425">
        <v>45.515450000000001</v>
      </c>
      <c r="BK425">
        <v>10.1379</v>
      </c>
      <c r="BL425">
        <v>600</v>
      </c>
      <c r="BM425" t="s">
        <v>83</v>
      </c>
      <c r="BN425" t="s">
        <v>84</v>
      </c>
      <c r="BO425" t="s">
        <v>85</v>
      </c>
      <c r="BP425" t="s">
        <v>107</v>
      </c>
      <c r="BQ425" t="s">
        <v>108</v>
      </c>
      <c r="BR425" t="s">
        <v>179</v>
      </c>
      <c r="BS425">
        <v>354055</v>
      </c>
      <c r="BT425">
        <v>0</v>
      </c>
      <c r="BU425">
        <v>0</v>
      </c>
      <c r="BV425">
        <v>0</v>
      </c>
      <c r="BW425">
        <v>164127</v>
      </c>
      <c r="BX425">
        <v>189928</v>
      </c>
      <c r="BY425">
        <v>0</v>
      </c>
      <c r="BZ425">
        <v>1</v>
      </c>
      <c r="CA425" t="s">
        <v>812</v>
      </c>
      <c r="CB425" t="s">
        <v>813</v>
      </c>
      <c r="CC425" s="3">
        <v>46092.557106481479</v>
      </c>
      <c r="CD425" t="s">
        <v>91</v>
      </c>
    </row>
    <row r="426" spans="1:82" ht="16" x14ac:dyDescent="0.2">
      <c r="A426" t="s">
        <v>1127</v>
      </c>
      <c r="B426" t="s">
        <v>696</v>
      </c>
      <c r="C426" t="s">
        <v>697</v>
      </c>
      <c r="D426" t="s">
        <v>78</v>
      </c>
      <c r="E426" t="s">
        <v>698</v>
      </c>
      <c r="F426">
        <v>2</v>
      </c>
      <c r="G426">
        <v>150</v>
      </c>
      <c r="H426" t="str">
        <f t="shared" si="43"/>
        <v>2x150</v>
      </c>
      <c r="I426">
        <v>150</v>
      </c>
      <c r="J426" s="4">
        <f t="shared" si="44"/>
        <v>4.8076923076923073E-2</v>
      </c>
      <c r="K426">
        <v>226</v>
      </c>
      <c r="L426" s="4">
        <f t="shared" si="45"/>
        <v>7.2435897435897442E-2</v>
      </c>
      <c r="M426">
        <v>343</v>
      </c>
      <c r="N426" s="4">
        <f t="shared" si="46"/>
        <v>0.10993589743589743</v>
      </c>
      <c r="O426">
        <v>684</v>
      </c>
      <c r="P426" s="4">
        <f t="shared" si="47"/>
        <v>0.21923076923076923</v>
      </c>
      <c r="Q426" s="6">
        <f t="shared" si="42"/>
        <v>2035</v>
      </c>
      <c r="R426" s="6">
        <f t="shared" si="48"/>
        <v>4</v>
      </c>
      <c r="S426">
        <v>135</v>
      </c>
      <c r="T426">
        <v>2</v>
      </c>
      <c r="U426">
        <v>-2</v>
      </c>
      <c r="V426">
        <v>-9</v>
      </c>
      <c r="W426">
        <v>-9</v>
      </c>
      <c r="X426">
        <v>57</v>
      </c>
      <c r="Y426" s="2" t="s">
        <v>699</v>
      </c>
      <c r="Z426">
        <v>45.080591811177499</v>
      </c>
      <c r="AA426">
        <v>7.5080043720537404</v>
      </c>
      <c r="AB426" t="s">
        <v>78</v>
      </c>
      <c r="AC426" t="s">
        <v>81</v>
      </c>
      <c r="AD426" t="s">
        <v>82</v>
      </c>
      <c r="AE426">
        <v>58901</v>
      </c>
      <c r="AF426">
        <v>41622</v>
      </c>
      <c r="AG426">
        <v>0</v>
      </c>
      <c r="AH426">
        <v>7958</v>
      </c>
      <c r="AI426">
        <v>0</v>
      </c>
      <c r="AJ426">
        <v>4080</v>
      </c>
      <c r="AK426">
        <v>5241</v>
      </c>
      <c r="AL426">
        <v>7518</v>
      </c>
      <c r="AM426">
        <v>28395</v>
      </c>
      <c r="AN426">
        <v>114506</v>
      </c>
      <c r="AO426">
        <v>389225</v>
      </c>
      <c r="AP426">
        <v>8</v>
      </c>
      <c r="AQ426">
        <v>0</v>
      </c>
      <c r="AR426">
        <v>2</v>
      </c>
      <c r="AS426">
        <v>3</v>
      </c>
      <c r="AT426">
        <v>0</v>
      </c>
      <c r="AU426">
        <v>31</v>
      </c>
      <c r="AV426">
        <v>10</v>
      </c>
      <c r="AW426">
        <v>2</v>
      </c>
      <c r="AX426">
        <v>1</v>
      </c>
      <c r="AY426">
        <v>1</v>
      </c>
      <c r="AZ426">
        <v>2</v>
      </c>
      <c r="BA426">
        <v>5</v>
      </c>
      <c r="BB426">
        <v>9</v>
      </c>
      <c r="BC426">
        <v>0</v>
      </c>
      <c r="BD426">
        <v>0</v>
      </c>
      <c r="BE426">
        <v>6</v>
      </c>
      <c r="BF426">
        <v>2</v>
      </c>
      <c r="BG426">
        <v>6</v>
      </c>
      <c r="BH426">
        <v>2</v>
      </c>
      <c r="BI426">
        <v>6</v>
      </c>
      <c r="BJ426">
        <v>45.080570000000002</v>
      </c>
      <c r="BK426">
        <v>7.508</v>
      </c>
      <c r="BL426">
        <v>300</v>
      </c>
      <c r="BM426" t="s">
        <v>83</v>
      </c>
      <c r="BN426" t="s">
        <v>84</v>
      </c>
      <c r="BO426" t="s">
        <v>85</v>
      </c>
      <c r="BP426" t="s">
        <v>107</v>
      </c>
      <c r="BQ426" t="s">
        <v>203</v>
      </c>
      <c r="BR426" t="s">
        <v>204</v>
      </c>
      <c r="BS426">
        <v>1296532</v>
      </c>
      <c r="BT426">
        <v>950898</v>
      </c>
      <c r="BU426">
        <v>0</v>
      </c>
      <c r="BV426">
        <v>159193</v>
      </c>
      <c r="BW426">
        <v>0</v>
      </c>
      <c r="BX426">
        <v>81619</v>
      </c>
      <c r="BY426">
        <v>104822</v>
      </c>
      <c r="BZ426">
        <v>1</v>
      </c>
      <c r="CA426" t="s">
        <v>700</v>
      </c>
      <c r="CB426" t="s">
        <v>701</v>
      </c>
      <c r="CC426" s="3">
        <v>46092.557106481479</v>
      </c>
      <c r="CD426" t="s">
        <v>91</v>
      </c>
    </row>
    <row r="427" spans="1:82" ht="16" x14ac:dyDescent="0.2">
      <c r="A427" t="s">
        <v>814</v>
      </c>
      <c r="B427" t="s">
        <v>815</v>
      </c>
      <c r="C427" t="s">
        <v>816</v>
      </c>
      <c r="D427" t="s">
        <v>78</v>
      </c>
      <c r="E427" t="s">
        <v>817</v>
      </c>
      <c r="F427">
        <v>2</v>
      </c>
      <c r="G427">
        <v>300</v>
      </c>
      <c r="H427" t="str">
        <f t="shared" si="43"/>
        <v>2x300</v>
      </c>
      <c r="I427">
        <v>149</v>
      </c>
      <c r="J427" s="4">
        <f t="shared" si="44"/>
        <v>4.1388888888888885E-2</v>
      </c>
      <c r="K427">
        <v>225</v>
      </c>
      <c r="L427" s="4">
        <f t="shared" si="45"/>
        <v>6.25E-2</v>
      </c>
      <c r="M427">
        <v>342</v>
      </c>
      <c r="N427" s="4">
        <f t="shared" si="46"/>
        <v>9.4999999999999987E-2</v>
      </c>
      <c r="O427">
        <v>682</v>
      </c>
      <c r="P427" s="4">
        <f t="shared" si="47"/>
        <v>0.18944444444444444</v>
      </c>
      <c r="Q427" s="6">
        <f t="shared" si="42"/>
        <v>2035</v>
      </c>
      <c r="R427" s="6">
        <f t="shared" si="48"/>
        <v>4</v>
      </c>
      <c r="S427">
        <v>156</v>
      </c>
      <c r="T427">
        <v>-27</v>
      </c>
      <c r="U427">
        <v>-19</v>
      </c>
      <c r="V427">
        <v>3</v>
      </c>
      <c r="W427">
        <v>0</v>
      </c>
      <c r="X427">
        <v>58</v>
      </c>
      <c r="Y427" s="2" t="s">
        <v>818</v>
      </c>
      <c r="Z427">
        <v>45.928421193010401</v>
      </c>
      <c r="AA427">
        <v>8.5559556033571909</v>
      </c>
      <c r="AB427" t="s">
        <v>78</v>
      </c>
      <c r="AC427" t="s">
        <v>81</v>
      </c>
      <c r="AD427" t="s">
        <v>82</v>
      </c>
      <c r="AE427">
        <v>30869</v>
      </c>
      <c r="AF427">
        <v>0</v>
      </c>
      <c r="AG427">
        <v>0</v>
      </c>
      <c r="AH427">
        <v>18337</v>
      </c>
      <c r="AI427">
        <v>0</v>
      </c>
      <c r="AJ427">
        <v>11733</v>
      </c>
      <c r="AK427">
        <v>799</v>
      </c>
      <c r="AL427">
        <v>8561</v>
      </c>
      <c r="AM427">
        <v>19307</v>
      </c>
      <c r="AN427">
        <v>43075</v>
      </c>
      <c r="AO427">
        <v>83800</v>
      </c>
      <c r="AP427">
        <v>6</v>
      </c>
      <c r="AQ427">
        <v>0</v>
      </c>
      <c r="AR427">
        <v>4</v>
      </c>
      <c r="AS427">
        <v>8</v>
      </c>
      <c r="AT427">
        <v>0</v>
      </c>
      <c r="AU427">
        <v>28</v>
      </c>
      <c r="AV427">
        <v>5</v>
      </c>
      <c r="AW427">
        <v>1</v>
      </c>
      <c r="AX427">
        <v>3</v>
      </c>
      <c r="AY427">
        <v>0</v>
      </c>
      <c r="AZ427">
        <v>5</v>
      </c>
      <c r="BA427">
        <v>15</v>
      </c>
      <c r="BB427">
        <v>22</v>
      </c>
      <c r="BC427">
        <v>9</v>
      </c>
      <c r="BD427">
        <v>2</v>
      </c>
      <c r="BE427">
        <v>0</v>
      </c>
      <c r="BF427">
        <v>4</v>
      </c>
      <c r="BG427">
        <v>0</v>
      </c>
      <c r="BH427">
        <v>6</v>
      </c>
      <c r="BI427">
        <v>0</v>
      </c>
      <c r="BJ427">
        <v>45.928179900000003</v>
      </c>
      <c r="BK427">
        <v>8.5558700000000005</v>
      </c>
      <c r="BL427">
        <v>600</v>
      </c>
      <c r="BM427" t="s">
        <v>83</v>
      </c>
      <c r="BN427" t="s">
        <v>84</v>
      </c>
      <c r="BO427" t="s">
        <v>85</v>
      </c>
      <c r="BP427" t="s">
        <v>107</v>
      </c>
      <c r="BQ427" t="s">
        <v>203</v>
      </c>
      <c r="BR427" t="s">
        <v>819</v>
      </c>
      <c r="BS427">
        <v>617470</v>
      </c>
      <c r="BT427">
        <v>0</v>
      </c>
      <c r="BU427">
        <v>0</v>
      </c>
      <c r="BV427">
        <v>366768</v>
      </c>
      <c r="BW427">
        <v>0</v>
      </c>
      <c r="BX427">
        <v>234703</v>
      </c>
      <c r="BY427">
        <v>15999</v>
      </c>
      <c r="BZ427">
        <v>1</v>
      </c>
      <c r="CA427" t="s">
        <v>820</v>
      </c>
      <c r="CB427" t="s">
        <v>821</v>
      </c>
      <c r="CC427" s="3">
        <v>46092.557106481479</v>
      </c>
      <c r="CD427" t="s">
        <v>91</v>
      </c>
    </row>
    <row r="428" spans="1:82" ht="16" x14ac:dyDescent="0.2">
      <c r="A428" t="s">
        <v>822</v>
      </c>
      <c r="B428" t="s">
        <v>823</v>
      </c>
      <c r="C428" t="s">
        <v>824</v>
      </c>
      <c r="D428" t="s">
        <v>78</v>
      </c>
      <c r="E428" t="s">
        <v>825</v>
      </c>
      <c r="F428">
        <v>2</v>
      </c>
      <c r="G428">
        <v>300</v>
      </c>
      <c r="H428" t="str">
        <f t="shared" si="43"/>
        <v>2x300</v>
      </c>
      <c r="I428">
        <v>149</v>
      </c>
      <c r="J428" s="4">
        <f t="shared" si="44"/>
        <v>4.1388888888888885E-2</v>
      </c>
      <c r="K428">
        <v>225</v>
      </c>
      <c r="L428" s="4">
        <f t="shared" si="45"/>
        <v>6.25E-2</v>
      </c>
      <c r="M428">
        <v>341</v>
      </c>
      <c r="N428" s="4">
        <f t="shared" si="46"/>
        <v>9.4722222222222222E-2</v>
      </c>
      <c r="O428">
        <v>681</v>
      </c>
      <c r="P428" s="4">
        <f t="shared" si="47"/>
        <v>0.18916666666666668</v>
      </c>
      <c r="Q428" s="6">
        <f t="shared" si="42"/>
        <v>2035</v>
      </c>
      <c r="R428" s="6">
        <f t="shared" si="48"/>
        <v>4</v>
      </c>
      <c r="S428">
        <v>156</v>
      </c>
      <c r="T428">
        <v>-25</v>
      </c>
      <c r="U428">
        <v>-17</v>
      </c>
      <c r="V428">
        <v>-4</v>
      </c>
      <c r="W428">
        <v>2</v>
      </c>
      <c r="X428">
        <v>62</v>
      </c>
      <c r="Y428" s="2" t="s">
        <v>826</v>
      </c>
      <c r="Z428">
        <v>45.647728303697697</v>
      </c>
      <c r="AA428">
        <v>12.5471903509229</v>
      </c>
      <c r="AB428" t="s">
        <v>78</v>
      </c>
      <c r="AC428" t="s">
        <v>81</v>
      </c>
      <c r="AD428" t="s">
        <v>82</v>
      </c>
      <c r="AE428">
        <v>33558</v>
      </c>
      <c r="AF428">
        <v>0</v>
      </c>
      <c r="AG428">
        <v>0</v>
      </c>
      <c r="AH428">
        <v>10223</v>
      </c>
      <c r="AI428">
        <v>9827</v>
      </c>
      <c r="AJ428">
        <v>8828</v>
      </c>
      <c r="AK428">
        <v>4680</v>
      </c>
      <c r="AL428">
        <v>4242</v>
      </c>
      <c r="AM428">
        <v>15551</v>
      </c>
      <c r="AN428">
        <v>57063</v>
      </c>
      <c r="AO428">
        <v>98126</v>
      </c>
      <c r="AP428">
        <v>0</v>
      </c>
      <c r="AQ428">
        <v>0</v>
      </c>
      <c r="AR428">
        <v>2</v>
      </c>
      <c r="AS428">
        <v>3</v>
      </c>
      <c r="AT428">
        <v>1</v>
      </c>
      <c r="AU428">
        <v>7</v>
      </c>
      <c r="AV428">
        <v>1</v>
      </c>
      <c r="AW428">
        <v>1</v>
      </c>
      <c r="AX428">
        <v>0</v>
      </c>
      <c r="AY428">
        <v>0</v>
      </c>
      <c r="AZ428">
        <v>0</v>
      </c>
      <c r="BA428">
        <v>4</v>
      </c>
      <c r="BB428">
        <v>17</v>
      </c>
      <c r="BC428">
        <v>2</v>
      </c>
      <c r="BD428">
        <v>0</v>
      </c>
      <c r="BE428">
        <v>0</v>
      </c>
      <c r="BF428">
        <v>0</v>
      </c>
      <c r="BG428">
        <v>0</v>
      </c>
      <c r="BH428">
        <v>2</v>
      </c>
      <c r="BI428">
        <v>0</v>
      </c>
      <c r="BJ428">
        <v>45.647742800000003</v>
      </c>
      <c r="BK428">
        <v>12.5471804</v>
      </c>
      <c r="BL428">
        <v>600</v>
      </c>
      <c r="BM428" t="s">
        <v>83</v>
      </c>
      <c r="BN428" t="s">
        <v>84</v>
      </c>
      <c r="BO428" t="s">
        <v>85</v>
      </c>
      <c r="BP428" t="s">
        <v>160</v>
      </c>
      <c r="BQ428" t="s">
        <v>161</v>
      </c>
      <c r="BR428" t="s">
        <v>343</v>
      </c>
      <c r="BS428">
        <v>671309</v>
      </c>
      <c r="BT428">
        <v>0</v>
      </c>
      <c r="BU428">
        <v>0</v>
      </c>
      <c r="BV428">
        <v>204464</v>
      </c>
      <c r="BW428">
        <v>196554</v>
      </c>
      <c r="BX428">
        <v>176648</v>
      </c>
      <c r="BY428">
        <v>93643</v>
      </c>
      <c r="BZ428">
        <v>1</v>
      </c>
      <c r="CA428" t="s">
        <v>827</v>
      </c>
      <c r="CB428" t="s">
        <v>828</v>
      </c>
      <c r="CC428" s="3">
        <v>46092.557106481479</v>
      </c>
      <c r="CD428" t="s">
        <v>91</v>
      </c>
    </row>
    <row r="429" spans="1:82" ht="16" x14ac:dyDescent="0.2">
      <c r="A429" t="s">
        <v>829</v>
      </c>
      <c r="B429" t="s">
        <v>830</v>
      </c>
      <c r="C429" t="s">
        <v>831</v>
      </c>
      <c r="D429" t="s">
        <v>78</v>
      </c>
      <c r="E429" t="s">
        <v>832</v>
      </c>
      <c r="F429">
        <v>2</v>
      </c>
      <c r="G429">
        <v>300</v>
      </c>
      <c r="H429" t="str">
        <f t="shared" si="43"/>
        <v>2x300</v>
      </c>
      <c r="I429">
        <v>149</v>
      </c>
      <c r="J429" s="4">
        <f t="shared" si="44"/>
        <v>4.1388888888888885E-2</v>
      </c>
      <c r="K429">
        <v>225</v>
      </c>
      <c r="L429" s="4">
        <f t="shared" si="45"/>
        <v>6.25E-2</v>
      </c>
      <c r="M429">
        <v>341</v>
      </c>
      <c r="N429" s="4">
        <f t="shared" si="46"/>
        <v>9.4722222222222222E-2</v>
      </c>
      <c r="O429">
        <v>681</v>
      </c>
      <c r="P429" s="4">
        <f t="shared" si="47"/>
        <v>0.18916666666666668</v>
      </c>
      <c r="Q429" s="6">
        <f t="shared" si="42"/>
        <v>2035</v>
      </c>
      <c r="R429" s="6">
        <f t="shared" si="48"/>
        <v>4</v>
      </c>
      <c r="S429">
        <v>156</v>
      </c>
      <c r="T429">
        <v>-15</v>
      </c>
      <c r="U429">
        <v>-18</v>
      </c>
      <c r="V429">
        <v>-6</v>
      </c>
      <c r="W429">
        <v>-7</v>
      </c>
      <c r="X429">
        <v>61</v>
      </c>
      <c r="Y429" s="2" t="s">
        <v>833</v>
      </c>
      <c r="Z429">
        <v>45.872947749679298</v>
      </c>
      <c r="AA429">
        <v>11.021234777912101</v>
      </c>
      <c r="AB429" t="s">
        <v>78</v>
      </c>
      <c r="AC429" t="s">
        <v>81</v>
      </c>
      <c r="AD429" t="s">
        <v>82</v>
      </c>
      <c r="AE429">
        <v>34913</v>
      </c>
      <c r="AF429">
        <v>0</v>
      </c>
      <c r="AG429">
        <v>0</v>
      </c>
      <c r="AH429">
        <v>20436</v>
      </c>
      <c r="AI429">
        <v>1858</v>
      </c>
      <c r="AJ429">
        <v>11468</v>
      </c>
      <c r="AK429">
        <v>1151</v>
      </c>
      <c r="AL429">
        <v>3395</v>
      </c>
      <c r="AM429">
        <v>17249</v>
      </c>
      <c r="AN429">
        <v>54861</v>
      </c>
      <c r="AO429">
        <v>79745</v>
      </c>
      <c r="AP429">
        <v>0</v>
      </c>
      <c r="AQ429">
        <v>1</v>
      </c>
      <c r="AR429">
        <v>2</v>
      </c>
      <c r="AS429">
        <v>2</v>
      </c>
      <c r="AT429">
        <v>1</v>
      </c>
      <c r="AU429">
        <v>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2</v>
      </c>
      <c r="BB429">
        <v>8</v>
      </c>
      <c r="BC429">
        <v>2</v>
      </c>
      <c r="BD429">
        <v>2</v>
      </c>
      <c r="BE429">
        <v>0</v>
      </c>
      <c r="BF429">
        <v>2</v>
      </c>
      <c r="BG429">
        <v>0</v>
      </c>
      <c r="BH429">
        <v>6</v>
      </c>
      <c r="BI429">
        <v>0</v>
      </c>
      <c r="BJ429">
        <v>45.8731133</v>
      </c>
      <c r="BK429">
        <v>11.020969900000001</v>
      </c>
      <c r="BL429">
        <v>600</v>
      </c>
      <c r="BM429" t="s">
        <v>83</v>
      </c>
      <c r="BN429" t="s">
        <v>84</v>
      </c>
      <c r="BO429" t="s">
        <v>85</v>
      </c>
      <c r="BP429" t="s">
        <v>160</v>
      </c>
      <c r="BQ429" t="s">
        <v>794</v>
      </c>
      <c r="BR429" t="s">
        <v>791</v>
      </c>
      <c r="BS429">
        <v>698353</v>
      </c>
      <c r="BT429">
        <v>0</v>
      </c>
      <c r="BU429">
        <v>0</v>
      </c>
      <c r="BV429">
        <v>408767</v>
      </c>
      <c r="BW429">
        <v>37161</v>
      </c>
      <c r="BX429">
        <v>229386</v>
      </c>
      <c r="BY429">
        <v>23039</v>
      </c>
      <c r="BZ429">
        <v>1</v>
      </c>
      <c r="CA429" t="s">
        <v>834</v>
      </c>
      <c r="CB429" t="s">
        <v>835</v>
      </c>
      <c r="CC429" s="3">
        <v>46092.557106481479</v>
      </c>
      <c r="CD429" t="s">
        <v>91</v>
      </c>
    </row>
    <row r="430" spans="1:82" ht="16" x14ac:dyDescent="0.2">
      <c r="A430" t="s">
        <v>837</v>
      </c>
      <c r="B430" t="s">
        <v>838</v>
      </c>
      <c r="C430" t="s">
        <v>839</v>
      </c>
      <c r="D430" t="s">
        <v>78</v>
      </c>
      <c r="E430" t="s">
        <v>840</v>
      </c>
      <c r="F430">
        <v>2</v>
      </c>
      <c r="G430">
        <v>300</v>
      </c>
      <c r="H430" t="str">
        <f t="shared" si="43"/>
        <v>2x300</v>
      </c>
      <c r="I430">
        <v>148</v>
      </c>
      <c r="J430" s="4">
        <f t="shared" si="44"/>
        <v>4.1111111111111112E-2</v>
      </c>
      <c r="K430">
        <v>224</v>
      </c>
      <c r="L430" s="4">
        <f t="shared" si="45"/>
        <v>6.2222222222222227E-2</v>
      </c>
      <c r="M430">
        <v>339</v>
      </c>
      <c r="N430" s="4">
        <f t="shared" si="46"/>
        <v>9.4166666666666662E-2</v>
      </c>
      <c r="O430">
        <v>677</v>
      </c>
      <c r="P430" s="4">
        <f t="shared" si="47"/>
        <v>0.18805555555555556</v>
      </c>
      <c r="Q430" s="6">
        <f t="shared" si="42"/>
        <v>2035</v>
      </c>
      <c r="R430" s="6">
        <f t="shared" si="48"/>
        <v>4</v>
      </c>
      <c r="S430">
        <v>156</v>
      </c>
      <c r="T430">
        <v>-37</v>
      </c>
      <c r="U430">
        <v>-16</v>
      </c>
      <c r="V430">
        <v>1</v>
      </c>
      <c r="W430">
        <v>10</v>
      </c>
      <c r="X430">
        <v>52</v>
      </c>
      <c r="Y430" s="2" t="s">
        <v>841</v>
      </c>
      <c r="Z430">
        <v>45.645789710492402</v>
      </c>
      <c r="AA430">
        <v>9.9373671779121793</v>
      </c>
      <c r="AB430" t="s">
        <v>78</v>
      </c>
      <c r="AC430" t="s">
        <v>81</v>
      </c>
      <c r="AD430" t="s">
        <v>82</v>
      </c>
      <c r="AE430">
        <v>21743</v>
      </c>
      <c r="AF430">
        <v>0</v>
      </c>
      <c r="AG430">
        <v>0</v>
      </c>
      <c r="AH430">
        <v>0</v>
      </c>
      <c r="AI430">
        <v>0</v>
      </c>
      <c r="AJ430">
        <v>21743</v>
      </c>
      <c r="AK430">
        <v>0</v>
      </c>
      <c r="AL430">
        <v>4505</v>
      </c>
      <c r="AM430">
        <v>14707</v>
      </c>
      <c r="AN430">
        <v>61846</v>
      </c>
      <c r="AO430">
        <v>189054</v>
      </c>
      <c r="AP430">
        <v>1</v>
      </c>
      <c r="AQ430">
        <v>0</v>
      </c>
      <c r="AR430">
        <v>2</v>
      </c>
      <c r="AS430">
        <v>11</v>
      </c>
      <c r="AT430">
        <v>0</v>
      </c>
      <c r="AU430">
        <v>9</v>
      </c>
      <c r="AV430">
        <v>5</v>
      </c>
      <c r="AW430">
        <v>0</v>
      </c>
      <c r="AX430">
        <v>0</v>
      </c>
      <c r="AY430">
        <v>0</v>
      </c>
      <c r="AZ430">
        <v>0</v>
      </c>
      <c r="BA430">
        <v>5</v>
      </c>
      <c r="BB430">
        <v>19</v>
      </c>
      <c r="BC430">
        <v>3</v>
      </c>
      <c r="BD430">
        <v>3</v>
      </c>
      <c r="BE430">
        <v>0</v>
      </c>
      <c r="BF430">
        <v>3</v>
      </c>
      <c r="BG430">
        <v>0</v>
      </c>
      <c r="BH430">
        <v>3</v>
      </c>
      <c r="BI430">
        <v>0</v>
      </c>
      <c r="BJ430">
        <v>45.645777699999996</v>
      </c>
      <c r="BK430">
        <v>9.9373764999999992</v>
      </c>
      <c r="BL430">
        <v>600</v>
      </c>
      <c r="BM430" t="s">
        <v>83</v>
      </c>
      <c r="BN430" t="s">
        <v>84</v>
      </c>
      <c r="BO430" t="s">
        <v>85</v>
      </c>
      <c r="BP430" t="s">
        <v>107</v>
      </c>
      <c r="BQ430" t="s">
        <v>108</v>
      </c>
      <c r="BR430" t="s">
        <v>179</v>
      </c>
      <c r="BS430">
        <v>434926</v>
      </c>
      <c r="BT430">
        <v>0</v>
      </c>
      <c r="BU430">
        <v>0</v>
      </c>
      <c r="BV430">
        <v>0</v>
      </c>
      <c r="BW430">
        <v>0</v>
      </c>
      <c r="BX430">
        <v>434926</v>
      </c>
      <c r="BY430">
        <v>0</v>
      </c>
      <c r="BZ430">
        <v>1</v>
      </c>
      <c r="CA430" t="s">
        <v>842</v>
      </c>
      <c r="CB430" t="s">
        <v>843</v>
      </c>
      <c r="CC430" s="3">
        <v>46092.557106481479</v>
      </c>
      <c r="CD430" t="s">
        <v>91</v>
      </c>
    </row>
    <row r="431" spans="1:82" ht="16" x14ac:dyDescent="0.2">
      <c r="A431" t="s">
        <v>844</v>
      </c>
      <c r="B431" t="s">
        <v>845</v>
      </c>
      <c r="C431" t="s">
        <v>846</v>
      </c>
      <c r="D431" t="s">
        <v>78</v>
      </c>
      <c r="E431" t="s">
        <v>847</v>
      </c>
      <c r="F431">
        <v>2</v>
      </c>
      <c r="G431">
        <v>300</v>
      </c>
      <c r="H431" t="str">
        <f t="shared" si="43"/>
        <v>2x300</v>
      </c>
      <c r="I431">
        <v>147</v>
      </c>
      <c r="J431" s="4">
        <f t="shared" si="44"/>
        <v>4.0833333333333333E-2</v>
      </c>
      <c r="K431">
        <v>222</v>
      </c>
      <c r="L431" s="4">
        <f t="shared" si="45"/>
        <v>6.1666666666666668E-2</v>
      </c>
      <c r="M431">
        <v>337</v>
      </c>
      <c r="N431" s="4">
        <f t="shared" si="46"/>
        <v>9.3611111111111103E-2</v>
      </c>
      <c r="O431">
        <v>673</v>
      </c>
      <c r="P431" s="4">
        <f t="shared" si="47"/>
        <v>0.18694444444444444</v>
      </c>
      <c r="Q431" s="6">
        <f t="shared" si="42"/>
        <v>2035</v>
      </c>
      <c r="R431" s="6">
        <f t="shared" si="48"/>
        <v>4</v>
      </c>
      <c r="S431">
        <v>156</v>
      </c>
      <c r="T431">
        <v>-44</v>
      </c>
      <c r="U431">
        <v>8</v>
      </c>
      <c r="V431">
        <v>3</v>
      </c>
      <c r="W431">
        <v>-13</v>
      </c>
      <c r="X431">
        <v>62</v>
      </c>
      <c r="Y431" s="2" t="s">
        <v>848</v>
      </c>
      <c r="Z431">
        <v>45.692720000000001</v>
      </c>
      <c r="AA431">
        <v>8.8024799999999992</v>
      </c>
      <c r="AB431" t="s">
        <v>78</v>
      </c>
      <c r="AC431" t="s">
        <v>81</v>
      </c>
      <c r="AD431" t="s">
        <v>82</v>
      </c>
      <c r="AE431">
        <v>22226</v>
      </c>
      <c r="AF431">
        <v>0</v>
      </c>
      <c r="AG431">
        <v>0</v>
      </c>
      <c r="AH431">
        <v>0</v>
      </c>
      <c r="AI431">
        <v>9345</v>
      </c>
      <c r="AJ431">
        <v>11534</v>
      </c>
      <c r="AK431">
        <v>1347</v>
      </c>
      <c r="AL431">
        <v>7049</v>
      </c>
      <c r="AM431">
        <v>19870</v>
      </c>
      <c r="AN431">
        <v>120504</v>
      </c>
      <c r="AO431">
        <v>362629</v>
      </c>
      <c r="AP431">
        <v>0</v>
      </c>
      <c r="AQ431">
        <v>0</v>
      </c>
      <c r="AR431">
        <v>2</v>
      </c>
      <c r="AS431">
        <v>6</v>
      </c>
      <c r="AT431">
        <v>0</v>
      </c>
      <c r="AU431">
        <v>15</v>
      </c>
      <c r="AV431">
        <v>3</v>
      </c>
      <c r="AW431">
        <v>0</v>
      </c>
      <c r="AX431">
        <v>0</v>
      </c>
      <c r="AY431">
        <v>3</v>
      </c>
      <c r="AZ431">
        <v>0</v>
      </c>
      <c r="BA431">
        <v>9</v>
      </c>
      <c r="BB431">
        <v>18</v>
      </c>
      <c r="BC431">
        <v>5</v>
      </c>
      <c r="BD431">
        <v>3</v>
      </c>
      <c r="BE431">
        <v>0</v>
      </c>
      <c r="BF431">
        <v>3</v>
      </c>
      <c r="BG431">
        <v>0</v>
      </c>
      <c r="BH431">
        <v>6</v>
      </c>
      <c r="BI431">
        <v>3</v>
      </c>
      <c r="BJ431">
        <v>45.692724900000002</v>
      </c>
      <c r="BK431">
        <v>8.8024316000000002</v>
      </c>
      <c r="BL431">
        <v>600</v>
      </c>
      <c r="BM431" t="s">
        <v>83</v>
      </c>
      <c r="BN431" t="s">
        <v>84</v>
      </c>
      <c r="BO431" t="s">
        <v>85</v>
      </c>
      <c r="BP431" t="s">
        <v>107</v>
      </c>
      <c r="BQ431" t="s">
        <v>108</v>
      </c>
      <c r="BR431" t="s">
        <v>305</v>
      </c>
      <c r="BS431">
        <v>444622</v>
      </c>
      <c r="BT431">
        <v>0</v>
      </c>
      <c r="BU431">
        <v>0</v>
      </c>
      <c r="BV431">
        <v>0</v>
      </c>
      <c r="BW431">
        <v>186930</v>
      </c>
      <c r="BX431">
        <v>230716</v>
      </c>
      <c r="BY431">
        <v>26976</v>
      </c>
      <c r="BZ431">
        <v>1</v>
      </c>
      <c r="CA431" t="s">
        <v>849</v>
      </c>
      <c r="CB431" t="s">
        <v>850</v>
      </c>
      <c r="CC431" s="3">
        <v>46092.557106481479</v>
      </c>
      <c r="CD431" t="s">
        <v>91</v>
      </c>
    </row>
    <row r="432" spans="1:82" ht="16" x14ac:dyDescent="0.2">
      <c r="A432" t="s">
        <v>1128</v>
      </c>
      <c r="B432" t="s">
        <v>703</v>
      </c>
      <c r="C432" t="s">
        <v>704</v>
      </c>
      <c r="D432" t="s">
        <v>78</v>
      </c>
      <c r="E432" t="s">
        <v>705</v>
      </c>
      <c r="F432">
        <v>2</v>
      </c>
      <c r="G432">
        <v>150</v>
      </c>
      <c r="H432" t="str">
        <f t="shared" si="43"/>
        <v>2x150</v>
      </c>
      <c r="I432">
        <v>147</v>
      </c>
      <c r="J432" s="4">
        <f t="shared" si="44"/>
        <v>4.7115384615384615E-2</v>
      </c>
      <c r="K432">
        <v>222</v>
      </c>
      <c r="L432" s="4">
        <f t="shared" si="45"/>
        <v>7.1153846153846151E-2</v>
      </c>
      <c r="M432">
        <v>337</v>
      </c>
      <c r="N432" s="4">
        <f t="shared" si="46"/>
        <v>0.10801282051282052</v>
      </c>
      <c r="O432">
        <v>673</v>
      </c>
      <c r="P432" s="4">
        <f t="shared" si="47"/>
        <v>0.21570512820512822</v>
      </c>
      <c r="Q432" s="6">
        <f t="shared" si="42"/>
        <v>2035</v>
      </c>
      <c r="R432" s="6">
        <f t="shared" si="48"/>
        <v>4</v>
      </c>
      <c r="S432">
        <v>135</v>
      </c>
      <c r="T432">
        <v>-16</v>
      </c>
      <c r="U432">
        <v>-13</v>
      </c>
      <c r="V432">
        <v>7</v>
      </c>
      <c r="W432">
        <v>1</v>
      </c>
      <c r="X432">
        <v>54</v>
      </c>
      <c r="Y432" s="2" t="s">
        <v>706</v>
      </c>
      <c r="Z432">
        <v>42.051982428722503</v>
      </c>
      <c r="AA432">
        <v>11.820677321688899</v>
      </c>
      <c r="AB432" t="s">
        <v>78</v>
      </c>
      <c r="AC432" t="s">
        <v>81</v>
      </c>
      <c r="AD432" t="s">
        <v>82</v>
      </c>
      <c r="AE432">
        <v>38062</v>
      </c>
      <c r="AF432">
        <v>15356</v>
      </c>
      <c r="AG432">
        <v>0</v>
      </c>
      <c r="AH432">
        <v>22706</v>
      </c>
      <c r="AI432">
        <v>0</v>
      </c>
      <c r="AJ432">
        <v>0</v>
      </c>
      <c r="AK432">
        <v>0</v>
      </c>
      <c r="AL432">
        <v>770</v>
      </c>
      <c r="AM432">
        <v>3811</v>
      </c>
      <c r="AN432">
        <v>44080</v>
      </c>
      <c r="AO432">
        <v>69105</v>
      </c>
      <c r="AP432">
        <v>0</v>
      </c>
      <c r="AQ432">
        <v>1</v>
      </c>
      <c r="AR432">
        <v>3</v>
      </c>
      <c r="AS432">
        <v>8</v>
      </c>
      <c r="AT432">
        <v>2</v>
      </c>
      <c r="AU432">
        <v>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42.0520122</v>
      </c>
      <c r="BK432">
        <v>11.820933800000001</v>
      </c>
      <c r="BL432">
        <v>300</v>
      </c>
      <c r="BM432" t="s">
        <v>83</v>
      </c>
      <c r="BN432" t="s">
        <v>84</v>
      </c>
      <c r="BO432" t="s">
        <v>85</v>
      </c>
      <c r="BP432" t="s">
        <v>86</v>
      </c>
      <c r="BQ432" t="s">
        <v>87</v>
      </c>
      <c r="BR432" t="s">
        <v>88</v>
      </c>
      <c r="BS432">
        <v>761249</v>
      </c>
      <c r="BT432">
        <v>307120</v>
      </c>
      <c r="BU432">
        <v>0</v>
      </c>
      <c r="BV432">
        <v>454129</v>
      </c>
      <c r="BW432">
        <v>0</v>
      </c>
      <c r="BX432">
        <v>0</v>
      </c>
      <c r="BY432">
        <v>0</v>
      </c>
      <c r="BZ432">
        <v>1</v>
      </c>
      <c r="CA432" t="s">
        <v>707</v>
      </c>
      <c r="CB432" t="s">
        <v>708</v>
      </c>
      <c r="CC432" s="3">
        <v>46092.557106481479</v>
      </c>
      <c r="CD432" t="s">
        <v>91</v>
      </c>
    </row>
    <row r="433" spans="1:82" ht="16" x14ac:dyDescent="0.2">
      <c r="A433" t="s">
        <v>1129</v>
      </c>
      <c r="B433" t="s">
        <v>710</v>
      </c>
      <c r="C433" t="s">
        <v>711</v>
      </c>
      <c r="D433" t="s">
        <v>78</v>
      </c>
      <c r="E433" t="s">
        <v>712</v>
      </c>
      <c r="F433">
        <v>2</v>
      </c>
      <c r="G433">
        <v>150</v>
      </c>
      <c r="H433" t="str">
        <f t="shared" si="43"/>
        <v>2x150</v>
      </c>
      <c r="I433">
        <v>147</v>
      </c>
      <c r="J433" s="4">
        <f t="shared" si="44"/>
        <v>4.7115384615384615E-2</v>
      </c>
      <c r="K433">
        <v>222</v>
      </c>
      <c r="L433" s="4">
        <f t="shared" si="45"/>
        <v>7.1153846153846151E-2</v>
      </c>
      <c r="M433">
        <v>337</v>
      </c>
      <c r="N433" s="4">
        <f t="shared" si="46"/>
        <v>0.10801282051282052</v>
      </c>
      <c r="O433">
        <v>673</v>
      </c>
      <c r="P433" s="4">
        <f t="shared" si="47"/>
        <v>0.21570512820512822</v>
      </c>
      <c r="Q433" s="6">
        <f t="shared" si="42"/>
        <v>2035</v>
      </c>
      <c r="R433" s="6">
        <f t="shared" si="48"/>
        <v>4</v>
      </c>
      <c r="S433">
        <v>135</v>
      </c>
      <c r="T433">
        <v>30</v>
      </c>
      <c r="U433">
        <v>-21</v>
      </c>
      <c r="V433">
        <v>-9</v>
      </c>
      <c r="W433">
        <v>-22</v>
      </c>
      <c r="X433">
        <v>60</v>
      </c>
      <c r="Y433" s="2" t="s">
        <v>713</v>
      </c>
      <c r="Z433">
        <v>44.8507800324629</v>
      </c>
      <c r="AA433">
        <v>11.5884411336803</v>
      </c>
      <c r="AB433" t="s">
        <v>78</v>
      </c>
      <c r="AC433" t="s">
        <v>81</v>
      </c>
      <c r="AD433" t="s">
        <v>82</v>
      </c>
      <c r="AE433">
        <v>60912</v>
      </c>
      <c r="AF433">
        <v>0</v>
      </c>
      <c r="AG433">
        <v>0</v>
      </c>
      <c r="AH433">
        <v>36566</v>
      </c>
      <c r="AI433">
        <v>17769</v>
      </c>
      <c r="AJ433">
        <v>6049</v>
      </c>
      <c r="AK433">
        <v>528</v>
      </c>
      <c r="AL433">
        <v>3028</v>
      </c>
      <c r="AM433">
        <v>14887</v>
      </c>
      <c r="AN433">
        <v>91778</v>
      </c>
      <c r="AO433">
        <v>137478</v>
      </c>
      <c r="AP433">
        <v>1</v>
      </c>
      <c r="AQ433">
        <v>0</v>
      </c>
      <c r="AR433">
        <v>3</v>
      </c>
      <c r="AS433">
        <v>9</v>
      </c>
      <c r="AT433">
        <v>2</v>
      </c>
      <c r="AU433">
        <v>30</v>
      </c>
      <c r="AV433">
        <v>1</v>
      </c>
      <c r="AW433">
        <v>0</v>
      </c>
      <c r="AX433">
        <v>0</v>
      </c>
      <c r="AY433">
        <v>0</v>
      </c>
      <c r="AZ433">
        <v>1</v>
      </c>
      <c r="BA433">
        <v>9</v>
      </c>
      <c r="BB433">
        <v>35</v>
      </c>
      <c r="BC433">
        <v>5</v>
      </c>
      <c r="BD433">
        <v>0</v>
      </c>
      <c r="BE433">
        <v>2</v>
      </c>
      <c r="BF433">
        <v>2</v>
      </c>
      <c r="BG433">
        <v>2</v>
      </c>
      <c r="BH433">
        <v>16</v>
      </c>
      <c r="BI433">
        <v>2</v>
      </c>
      <c r="BJ433">
        <v>44.850640200000001</v>
      </c>
      <c r="BK433">
        <v>11.5881738</v>
      </c>
      <c r="BL433">
        <v>300</v>
      </c>
      <c r="BM433" t="s">
        <v>83</v>
      </c>
      <c r="BN433" t="s">
        <v>84</v>
      </c>
      <c r="BO433" t="s">
        <v>85</v>
      </c>
      <c r="BP433" t="s">
        <v>160</v>
      </c>
      <c r="BQ433" t="s">
        <v>170</v>
      </c>
      <c r="BR433" t="s">
        <v>615</v>
      </c>
      <c r="BS433">
        <v>1165015</v>
      </c>
      <c r="BT433">
        <v>0</v>
      </c>
      <c r="BU433">
        <v>0</v>
      </c>
      <c r="BV433">
        <v>678017</v>
      </c>
      <c r="BW433">
        <v>355418</v>
      </c>
      <c r="BX433">
        <v>121013</v>
      </c>
      <c r="BY433">
        <v>10567</v>
      </c>
      <c r="BZ433">
        <v>1</v>
      </c>
      <c r="CA433" t="s">
        <v>714</v>
      </c>
      <c r="CB433" t="s">
        <v>715</v>
      </c>
      <c r="CC433" s="3">
        <v>46092.557106481479</v>
      </c>
      <c r="CD433" t="s">
        <v>91</v>
      </c>
    </row>
    <row r="434" spans="1:82" ht="16" x14ac:dyDescent="0.2">
      <c r="A434" t="s">
        <v>851</v>
      </c>
      <c r="B434" t="s">
        <v>852</v>
      </c>
      <c r="C434" t="s">
        <v>853</v>
      </c>
      <c r="D434" t="s">
        <v>78</v>
      </c>
      <c r="E434" t="s">
        <v>854</v>
      </c>
      <c r="F434">
        <v>2</v>
      </c>
      <c r="G434">
        <v>300</v>
      </c>
      <c r="H434" t="str">
        <f t="shared" si="43"/>
        <v>2x300</v>
      </c>
      <c r="I434">
        <v>146</v>
      </c>
      <c r="J434" s="4">
        <f t="shared" si="44"/>
        <v>4.055555555555556E-2</v>
      </c>
      <c r="K434">
        <v>220</v>
      </c>
      <c r="L434" s="4">
        <f t="shared" si="45"/>
        <v>6.1111111111111109E-2</v>
      </c>
      <c r="M434">
        <v>334</v>
      </c>
      <c r="N434" s="4">
        <f t="shared" si="46"/>
        <v>9.2777777777777778E-2</v>
      </c>
      <c r="O434">
        <v>667</v>
      </c>
      <c r="P434" s="4">
        <f t="shared" si="47"/>
        <v>0.18527777777777776</v>
      </c>
      <c r="Q434" s="6">
        <f t="shared" si="42"/>
        <v>2035</v>
      </c>
      <c r="R434" s="6">
        <f t="shared" si="48"/>
        <v>4</v>
      </c>
      <c r="S434">
        <v>156</v>
      </c>
      <c r="T434">
        <v>-48</v>
      </c>
      <c r="U434">
        <v>-13</v>
      </c>
      <c r="V434">
        <v>0</v>
      </c>
      <c r="W434">
        <v>9</v>
      </c>
      <c r="X434">
        <v>67</v>
      </c>
      <c r="Y434" s="2" t="s">
        <v>855</v>
      </c>
      <c r="Z434">
        <v>45.908024980413202</v>
      </c>
      <c r="AA434">
        <v>12.3388209779121</v>
      </c>
      <c r="AB434" t="s">
        <v>78</v>
      </c>
      <c r="AC434" t="s">
        <v>81</v>
      </c>
      <c r="AD434" t="s">
        <v>82</v>
      </c>
      <c r="AE434">
        <v>23018</v>
      </c>
      <c r="AF434">
        <v>0</v>
      </c>
      <c r="AG434">
        <v>0</v>
      </c>
      <c r="AH434">
        <v>19978</v>
      </c>
      <c r="AI434">
        <v>0</v>
      </c>
      <c r="AJ434">
        <v>3040</v>
      </c>
      <c r="AK434">
        <v>0</v>
      </c>
      <c r="AL434">
        <v>1809</v>
      </c>
      <c r="AM434">
        <v>6714</v>
      </c>
      <c r="AN434">
        <v>49608</v>
      </c>
      <c r="AO434">
        <v>143404</v>
      </c>
      <c r="AP434">
        <v>1</v>
      </c>
      <c r="AQ434">
        <v>0</v>
      </c>
      <c r="AR434">
        <v>3</v>
      </c>
      <c r="AS434">
        <v>7</v>
      </c>
      <c r="AT434">
        <v>2</v>
      </c>
      <c r="AU434">
        <v>10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23</v>
      </c>
      <c r="BB434">
        <v>25</v>
      </c>
      <c r="BC434">
        <v>9</v>
      </c>
      <c r="BD434">
        <v>2</v>
      </c>
      <c r="BE434">
        <v>0</v>
      </c>
      <c r="BF434">
        <v>2</v>
      </c>
      <c r="BG434">
        <v>0</v>
      </c>
      <c r="BH434">
        <v>2</v>
      </c>
      <c r="BI434">
        <v>0</v>
      </c>
      <c r="BJ434">
        <v>45.907999199999999</v>
      </c>
      <c r="BK434">
        <v>12.3388671</v>
      </c>
      <c r="BL434">
        <v>600</v>
      </c>
      <c r="BM434" t="s">
        <v>83</v>
      </c>
      <c r="BN434" t="s">
        <v>84</v>
      </c>
      <c r="BO434" t="s">
        <v>85</v>
      </c>
      <c r="BP434" t="s">
        <v>160</v>
      </c>
      <c r="BQ434" t="s">
        <v>161</v>
      </c>
      <c r="BR434" t="s">
        <v>428</v>
      </c>
      <c r="BS434">
        <v>460409</v>
      </c>
      <c r="BT434">
        <v>0</v>
      </c>
      <c r="BU434">
        <v>0</v>
      </c>
      <c r="BV434">
        <v>399588</v>
      </c>
      <c r="BW434">
        <v>0</v>
      </c>
      <c r="BX434">
        <v>60821</v>
      </c>
      <c r="BY434">
        <v>0</v>
      </c>
      <c r="BZ434">
        <v>1</v>
      </c>
      <c r="CA434" t="s">
        <v>856</v>
      </c>
      <c r="CB434" t="s">
        <v>857</v>
      </c>
      <c r="CC434" s="3">
        <v>46092.557106481479</v>
      </c>
      <c r="CD434" t="s">
        <v>91</v>
      </c>
    </row>
    <row r="435" spans="1:82" ht="16" x14ac:dyDescent="0.2">
      <c r="A435" t="s">
        <v>1131</v>
      </c>
      <c r="B435" t="s">
        <v>718</v>
      </c>
      <c r="C435" t="s">
        <v>719</v>
      </c>
      <c r="D435" t="s">
        <v>78</v>
      </c>
      <c r="E435" t="s">
        <v>720</v>
      </c>
      <c r="F435">
        <v>2</v>
      </c>
      <c r="G435">
        <v>150</v>
      </c>
      <c r="H435" t="str">
        <f t="shared" si="43"/>
        <v>2x150</v>
      </c>
      <c r="I435">
        <v>145</v>
      </c>
      <c r="J435" s="4">
        <f t="shared" si="44"/>
        <v>4.6474358974358976E-2</v>
      </c>
      <c r="K435">
        <v>220</v>
      </c>
      <c r="L435" s="4">
        <f t="shared" si="45"/>
        <v>7.0512820512820512E-2</v>
      </c>
      <c r="M435">
        <v>333</v>
      </c>
      <c r="N435" s="4">
        <f t="shared" si="46"/>
        <v>0.10673076923076923</v>
      </c>
      <c r="O435">
        <v>664</v>
      </c>
      <c r="P435" s="4">
        <f t="shared" si="47"/>
        <v>0.21282051282051281</v>
      </c>
      <c r="Q435" s="6">
        <f t="shared" si="42"/>
        <v>2035</v>
      </c>
      <c r="R435" s="6">
        <f t="shared" si="48"/>
        <v>4</v>
      </c>
      <c r="S435">
        <v>135</v>
      </c>
      <c r="T435">
        <v>0</v>
      </c>
      <c r="U435">
        <v>-14</v>
      </c>
      <c r="V435">
        <v>-8</v>
      </c>
      <c r="W435">
        <v>2</v>
      </c>
      <c r="X435">
        <v>48</v>
      </c>
      <c r="Y435" s="2" t="s">
        <v>721</v>
      </c>
      <c r="Z435">
        <v>42.771929999999998</v>
      </c>
      <c r="AA435">
        <v>11.10685</v>
      </c>
      <c r="AB435" t="s">
        <v>78</v>
      </c>
      <c r="AC435" t="s">
        <v>81</v>
      </c>
      <c r="AD435" t="s">
        <v>82</v>
      </c>
      <c r="AE435">
        <v>38999</v>
      </c>
      <c r="AF435">
        <v>0</v>
      </c>
      <c r="AG435">
        <v>0</v>
      </c>
      <c r="AH435">
        <v>0</v>
      </c>
      <c r="AI435">
        <v>11590</v>
      </c>
      <c r="AJ435">
        <v>9030</v>
      </c>
      <c r="AK435">
        <v>18379</v>
      </c>
      <c r="AL435">
        <v>21131</v>
      </c>
      <c r="AM435">
        <v>50350</v>
      </c>
      <c r="AN435">
        <v>68210</v>
      </c>
      <c r="AO435">
        <v>75826</v>
      </c>
      <c r="AP435">
        <v>9</v>
      </c>
      <c r="AQ435">
        <v>0</v>
      </c>
      <c r="AR435">
        <v>3</v>
      </c>
      <c r="AS435">
        <v>13</v>
      </c>
      <c r="AT435">
        <v>1</v>
      </c>
      <c r="AU435">
        <v>22</v>
      </c>
      <c r="AV435">
        <v>11</v>
      </c>
      <c r="AW435">
        <v>0</v>
      </c>
      <c r="AX435">
        <v>0</v>
      </c>
      <c r="AY435">
        <v>0</v>
      </c>
      <c r="AZ435">
        <v>1</v>
      </c>
      <c r="BA435">
        <v>13</v>
      </c>
      <c r="BB435">
        <v>40</v>
      </c>
      <c r="BC435">
        <v>6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42.771922699999998</v>
      </c>
      <c r="BK435">
        <v>11.1069043</v>
      </c>
      <c r="BL435">
        <v>300</v>
      </c>
      <c r="BM435" t="s">
        <v>83</v>
      </c>
      <c r="BN435" t="s">
        <v>84</v>
      </c>
      <c r="BO435" t="s">
        <v>85</v>
      </c>
      <c r="BP435" t="s">
        <v>86</v>
      </c>
      <c r="BQ435" t="s">
        <v>212</v>
      </c>
      <c r="BR435" t="s">
        <v>719</v>
      </c>
      <c r="BS435">
        <v>780101</v>
      </c>
      <c r="BT435">
        <v>0</v>
      </c>
      <c r="BU435">
        <v>0</v>
      </c>
      <c r="BV435">
        <v>0</v>
      </c>
      <c r="BW435">
        <v>231817</v>
      </c>
      <c r="BX435">
        <v>180621</v>
      </c>
      <c r="BY435">
        <v>367663</v>
      </c>
      <c r="BZ435">
        <v>1</v>
      </c>
      <c r="CA435" t="s">
        <v>722</v>
      </c>
      <c r="CB435" t="s">
        <v>723</v>
      </c>
      <c r="CC435" s="3">
        <v>46092.557106481479</v>
      </c>
      <c r="CD435" t="s">
        <v>91</v>
      </c>
    </row>
    <row r="436" spans="1:82" ht="16" x14ac:dyDescent="0.2">
      <c r="A436" t="s">
        <v>858</v>
      </c>
      <c r="B436" t="s">
        <v>859</v>
      </c>
      <c r="C436" t="s">
        <v>860</v>
      </c>
      <c r="D436" t="s">
        <v>78</v>
      </c>
      <c r="E436" t="s">
        <v>861</v>
      </c>
      <c r="F436">
        <v>2</v>
      </c>
      <c r="G436">
        <v>300</v>
      </c>
      <c r="H436" t="str">
        <f t="shared" si="43"/>
        <v>2x300</v>
      </c>
      <c r="I436">
        <v>145</v>
      </c>
      <c r="J436" s="4">
        <f t="shared" si="44"/>
        <v>4.027777777777778E-2</v>
      </c>
      <c r="K436">
        <v>219</v>
      </c>
      <c r="L436" s="4">
        <f t="shared" si="45"/>
        <v>6.083333333333333E-2</v>
      </c>
      <c r="M436">
        <v>332</v>
      </c>
      <c r="N436" s="4">
        <f t="shared" si="46"/>
        <v>9.2222222222222219E-2</v>
      </c>
      <c r="O436">
        <v>662</v>
      </c>
      <c r="P436" s="4">
        <f t="shared" si="47"/>
        <v>0.18388888888888888</v>
      </c>
      <c r="Q436" s="6">
        <f t="shared" si="42"/>
        <v>2035</v>
      </c>
      <c r="R436" s="6">
        <f t="shared" si="48"/>
        <v>4</v>
      </c>
      <c r="S436">
        <v>156</v>
      </c>
      <c r="T436">
        <v>-20</v>
      </c>
      <c r="U436">
        <v>-15</v>
      </c>
      <c r="V436">
        <v>-9</v>
      </c>
      <c r="W436">
        <v>1</v>
      </c>
      <c r="X436">
        <v>50</v>
      </c>
      <c r="Y436" s="2" t="s">
        <v>862</v>
      </c>
      <c r="Z436">
        <v>41.968359999999997</v>
      </c>
      <c r="AA436">
        <v>12.710850000000001</v>
      </c>
      <c r="AB436" t="s">
        <v>78</v>
      </c>
      <c r="AC436" t="s">
        <v>81</v>
      </c>
      <c r="AD436" t="s">
        <v>82</v>
      </c>
      <c r="AE436">
        <v>30880</v>
      </c>
      <c r="AF436">
        <v>0</v>
      </c>
      <c r="AG436">
        <v>0</v>
      </c>
      <c r="AH436">
        <v>6425</v>
      </c>
      <c r="AI436">
        <v>0</v>
      </c>
      <c r="AJ436">
        <v>24455</v>
      </c>
      <c r="AK436">
        <v>0</v>
      </c>
      <c r="AL436">
        <v>5813</v>
      </c>
      <c r="AM436">
        <v>20412</v>
      </c>
      <c r="AN436">
        <v>83970</v>
      </c>
      <c r="AO436">
        <v>287240</v>
      </c>
      <c r="AP436">
        <v>1</v>
      </c>
      <c r="AQ436">
        <v>0</v>
      </c>
      <c r="AR436">
        <v>1</v>
      </c>
      <c r="AS436">
        <v>0</v>
      </c>
      <c r="AT436">
        <v>0</v>
      </c>
      <c r="AU436">
        <v>10</v>
      </c>
      <c r="AV436">
        <v>1</v>
      </c>
      <c r="AW436">
        <v>1</v>
      </c>
      <c r="AX436">
        <v>0</v>
      </c>
      <c r="AY436">
        <v>0</v>
      </c>
      <c r="AZ436">
        <v>0</v>
      </c>
      <c r="BA436">
        <v>6</v>
      </c>
      <c r="BB436">
        <v>14</v>
      </c>
      <c r="BC436">
        <v>4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41.968721299999999</v>
      </c>
      <c r="BK436">
        <v>12.7104082</v>
      </c>
      <c r="BL436">
        <v>600</v>
      </c>
      <c r="BM436" t="s">
        <v>83</v>
      </c>
      <c r="BN436" t="s">
        <v>84</v>
      </c>
      <c r="BO436" t="s">
        <v>85</v>
      </c>
      <c r="BP436" t="s">
        <v>86</v>
      </c>
      <c r="BQ436" t="s">
        <v>87</v>
      </c>
      <c r="BR436" t="s">
        <v>88</v>
      </c>
      <c r="BS436">
        <v>617681</v>
      </c>
      <c r="BT436">
        <v>0</v>
      </c>
      <c r="BU436">
        <v>0</v>
      </c>
      <c r="BV436">
        <v>128519</v>
      </c>
      <c r="BW436">
        <v>0</v>
      </c>
      <c r="BX436">
        <v>489162</v>
      </c>
      <c r="BY436">
        <v>0</v>
      </c>
      <c r="BZ436">
        <v>1</v>
      </c>
      <c r="CA436" t="s">
        <v>863</v>
      </c>
      <c r="CB436" t="s">
        <v>864</v>
      </c>
      <c r="CC436" s="3">
        <v>46092.557106481479</v>
      </c>
      <c r="CD436" t="s">
        <v>91</v>
      </c>
    </row>
    <row r="437" spans="1:82" ht="16" x14ac:dyDescent="0.2">
      <c r="A437" t="s">
        <v>865</v>
      </c>
      <c r="B437" t="s">
        <v>866</v>
      </c>
      <c r="C437" t="s">
        <v>867</v>
      </c>
      <c r="D437" t="s">
        <v>78</v>
      </c>
      <c r="E437" t="s">
        <v>868</v>
      </c>
      <c r="F437">
        <v>2</v>
      </c>
      <c r="G437">
        <v>300</v>
      </c>
      <c r="H437" t="str">
        <f t="shared" si="43"/>
        <v>2x300</v>
      </c>
      <c r="I437">
        <v>145</v>
      </c>
      <c r="J437" s="4">
        <f t="shared" si="44"/>
        <v>4.027777777777778E-2</v>
      </c>
      <c r="K437">
        <v>218</v>
      </c>
      <c r="L437" s="4">
        <f t="shared" si="45"/>
        <v>6.0555555555555557E-2</v>
      </c>
      <c r="M437">
        <v>331</v>
      </c>
      <c r="N437" s="4">
        <f t="shared" si="46"/>
        <v>9.194444444444444E-2</v>
      </c>
      <c r="O437">
        <v>661</v>
      </c>
      <c r="P437" s="4">
        <f t="shared" si="47"/>
        <v>0.18361111111111109</v>
      </c>
      <c r="Q437" s="6">
        <f t="shared" si="42"/>
        <v>2035</v>
      </c>
      <c r="R437" s="6">
        <f t="shared" si="48"/>
        <v>4</v>
      </c>
      <c r="S437">
        <v>156</v>
      </c>
      <c r="T437">
        <v>-49</v>
      </c>
      <c r="U437">
        <v>-19</v>
      </c>
      <c r="V437">
        <v>6</v>
      </c>
      <c r="W437">
        <v>10</v>
      </c>
      <c r="X437">
        <v>64</v>
      </c>
      <c r="Y437" s="2" t="s">
        <v>869</v>
      </c>
      <c r="Z437">
        <v>42.767969999999998</v>
      </c>
      <c r="AA437">
        <v>13.955730000000001</v>
      </c>
      <c r="AB437" t="s">
        <v>78</v>
      </c>
      <c r="AC437" t="s">
        <v>81</v>
      </c>
      <c r="AD437" t="s">
        <v>82</v>
      </c>
      <c r="AE437">
        <v>13691</v>
      </c>
      <c r="AF437">
        <v>0</v>
      </c>
      <c r="AG437">
        <v>0</v>
      </c>
      <c r="AH437">
        <v>7149</v>
      </c>
      <c r="AI437">
        <v>0</v>
      </c>
      <c r="AJ437">
        <v>4142</v>
      </c>
      <c r="AK437">
        <v>2400</v>
      </c>
      <c r="AL437">
        <v>2299</v>
      </c>
      <c r="AM437">
        <v>9706</v>
      </c>
      <c r="AN437">
        <v>34208</v>
      </c>
      <c r="AO437">
        <v>71756</v>
      </c>
      <c r="AP437">
        <v>1</v>
      </c>
      <c r="AQ437">
        <v>0</v>
      </c>
      <c r="AR437">
        <v>3</v>
      </c>
      <c r="AS437">
        <v>4</v>
      </c>
      <c r="AT437">
        <v>0</v>
      </c>
      <c r="AU437">
        <v>17</v>
      </c>
      <c r="AV437">
        <v>5</v>
      </c>
      <c r="AW437">
        <v>0</v>
      </c>
      <c r="AX437">
        <v>1</v>
      </c>
      <c r="AY437">
        <v>0</v>
      </c>
      <c r="AZ437">
        <v>0</v>
      </c>
      <c r="BA437">
        <v>2</v>
      </c>
      <c r="BB437">
        <v>6</v>
      </c>
      <c r="BC437">
        <v>1</v>
      </c>
      <c r="BD437">
        <v>2</v>
      </c>
      <c r="BE437">
        <v>0</v>
      </c>
      <c r="BF437">
        <v>2</v>
      </c>
      <c r="BG437">
        <v>0</v>
      </c>
      <c r="BH437">
        <v>2</v>
      </c>
      <c r="BI437">
        <v>0</v>
      </c>
      <c r="BJ437">
        <v>42.767929899999999</v>
      </c>
      <c r="BK437">
        <v>13.95553</v>
      </c>
      <c r="BL437">
        <v>600</v>
      </c>
      <c r="BM437" t="s">
        <v>83</v>
      </c>
      <c r="BN437" t="s">
        <v>84</v>
      </c>
      <c r="BO437" t="s">
        <v>85</v>
      </c>
      <c r="BP437" t="s">
        <v>97</v>
      </c>
      <c r="BQ437" t="s">
        <v>870</v>
      </c>
      <c r="BR437" t="s">
        <v>871</v>
      </c>
      <c r="BS437">
        <v>273879</v>
      </c>
      <c r="BT437">
        <v>0</v>
      </c>
      <c r="BU437">
        <v>0</v>
      </c>
      <c r="BV437">
        <v>142994</v>
      </c>
      <c r="BW437">
        <v>0</v>
      </c>
      <c r="BX437">
        <v>82878</v>
      </c>
      <c r="BY437">
        <v>48007</v>
      </c>
      <c r="BZ437">
        <v>1</v>
      </c>
      <c r="CA437" t="s">
        <v>872</v>
      </c>
      <c r="CB437" t="s">
        <v>873</v>
      </c>
      <c r="CC437" s="3">
        <v>46092.557106481479</v>
      </c>
      <c r="CD437" t="s">
        <v>91</v>
      </c>
    </row>
    <row r="438" spans="1:82" ht="16" x14ac:dyDescent="0.2">
      <c r="A438" t="s">
        <v>1132</v>
      </c>
      <c r="B438" t="s">
        <v>725</v>
      </c>
      <c r="C438" t="s">
        <v>726</v>
      </c>
      <c r="D438" t="s">
        <v>78</v>
      </c>
      <c r="E438" t="s">
        <v>727</v>
      </c>
      <c r="F438">
        <v>2</v>
      </c>
      <c r="G438">
        <v>150</v>
      </c>
      <c r="H438" t="str">
        <f t="shared" si="43"/>
        <v>2x150</v>
      </c>
      <c r="I438">
        <v>144</v>
      </c>
      <c r="J438" s="4">
        <f t="shared" si="44"/>
        <v>4.6153846153846156E-2</v>
      </c>
      <c r="K438">
        <v>218</v>
      </c>
      <c r="L438" s="4">
        <f t="shared" si="45"/>
        <v>6.9871794871794873E-2</v>
      </c>
      <c r="M438">
        <v>330</v>
      </c>
      <c r="N438" s="4">
        <f t="shared" si="46"/>
        <v>0.10576923076923077</v>
      </c>
      <c r="O438">
        <v>659</v>
      </c>
      <c r="P438" s="4">
        <f t="shared" si="47"/>
        <v>0.21121794871794872</v>
      </c>
      <c r="Q438" s="6">
        <f t="shared" si="42"/>
        <v>2035</v>
      </c>
      <c r="R438" s="6">
        <f t="shared" si="48"/>
        <v>4</v>
      </c>
      <c r="S438">
        <v>135</v>
      </c>
      <c r="T438">
        <v>-7</v>
      </c>
      <c r="U438">
        <v>-22</v>
      </c>
      <c r="V438">
        <v>8</v>
      </c>
      <c r="W438">
        <v>3</v>
      </c>
      <c r="X438">
        <v>41</v>
      </c>
      <c r="Y438" s="2" t="s">
        <v>728</v>
      </c>
      <c r="Z438">
        <v>45.538870000000003</v>
      </c>
      <c r="AA438">
        <v>10.53124</v>
      </c>
      <c r="AB438" t="s">
        <v>78</v>
      </c>
      <c r="AC438" t="s">
        <v>81</v>
      </c>
      <c r="AD438" t="s">
        <v>82</v>
      </c>
      <c r="AE438">
        <v>38719</v>
      </c>
      <c r="AF438">
        <v>0</v>
      </c>
      <c r="AG438">
        <v>0</v>
      </c>
      <c r="AH438">
        <v>22915</v>
      </c>
      <c r="AI438">
        <v>0</v>
      </c>
      <c r="AJ438">
        <v>14121</v>
      </c>
      <c r="AK438">
        <v>1683</v>
      </c>
      <c r="AL438">
        <v>1204</v>
      </c>
      <c r="AM438">
        <v>6143</v>
      </c>
      <c r="AN438">
        <v>20881</v>
      </c>
      <c r="AO438">
        <v>111799</v>
      </c>
      <c r="AP438">
        <v>2</v>
      </c>
      <c r="AQ438">
        <v>1</v>
      </c>
      <c r="AR438">
        <v>2</v>
      </c>
      <c r="AS438">
        <v>10</v>
      </c>
      <c r="AT438">
        <v>2</v>
      </c>
      <c r="AU438">
        <v>10</v>
      </c>
      <c r="AV438">
        <v>0</v>
      </c>
      <c r="AW438">
        <v>1</v>
      </c>
      <c r="AX438">
        <v>2</v>
      </c>
      <c r="AY438">
        <v>0</v>
      </c>
      <c r="AZ438">
        <v>0</v>
      </c>
      <c r="BA438">
        <v>4</v>
      </c>
      <c r="BB438">
        <v>24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2</v>
      </c>
      <c r="BI438">
        <v>0</v>
      </c>
      <c r="BJ438">
        <v>45.538974699999997</v>
      </c>
      <c r="BK438">
        <v>10.5311907</v>
      </c>
      <c r="BL438">
        <v>300</v>
      </c>
      <c r="BM438" t="s">
        <v>83</v>
      </c>
      <c r="BN438" t="s">
        <v>84</v>
      </c>
      <c r="BO438" t="s">
        <v>85</v>
      </c>
      <c r="BP438" t="s">
        <v>107</v>
      </c>
      <c r="BQ438" t="s">
        <v>108</v>
      </c>
      <c r="BR438" t="s">
        <v>179</v>
      </c>
      <c r="BS438">
        <v>774451</v>
      </c>
      <c r="BT438">
        <v>0</v>
      </c>
      <c r="BU438">
        <v>0</v>
      </c>
      <c r="BV438">
        <v>458324</v>
      </c>
      <c r="BW438">
        <v>0</v>
      </c>
      <c r="BX438">
        <v>282457</v>
      </c>
      <c r="BY438">
        <v>33670</v>
      </c>
      <c r="BZ438">
        <v>1</v>
      </c>
      <c r="CA438" t="s">
        <v>729</v>
      </c>
      <c r="CB438" t="s">
        <v>730</v>
      </c>
      <c r="CC438" s="3">
        <v>46092.557106481479</v>
      </c>
      <c r="CD438" t="s">
        <v>91</v>
      </c>
    </row>
    <row r="439" spans="1:82" ht="16" x14ac:dyDescent="0.2">
      <c r="A439" t="s">
        <v>1133</v>
      </c>
      <c r="B439" t="s">
        <v>732</v>
      </c>
      <c r="C439" t="s">
        <v>733</v>
      </c>
      <c r="D439" t="s">
        <v>78</v>
      </c>
      <c r="E439" t="s">
        <v>734</v>
      </c>
      <c r="F439">
        <v>2</v>
      </c>
      <c r="G439">
        <v>150</v>
      </c>
      <c r="H439" t="str">
        <f t="shared" si="43"/>
        <v>2x150</v>
      </c>
      <c r="I439">
        <v>144</v>
      </c>
      <c r="J439" s="4">
        <f t="shared" si="44"/>
        <v>4.6153846153846156E-2</v>
      </c>
      <c r="K439">
        <v>217</v>
      </c>
      <c r="L439" s="4">
        <f t="shared" si="45"/>
        <v>6.9551282051282054E-2</v>
      </c>
      <c r="M439">
        <v>329</v>
      </c>
      <c r="N439" s="4">
        <f t="shared" si="46"/>
        <v>0.10544871794871795</v>
      </c>
      <c r="O439">
        <v>657</v>
      </c>
      <c r="P439" s="4">
        <f t="shared" si="47"/>
        <v>0.21057692307692308</v>
      </c>
      <c r="Q439" s="6">
        <f t="shared" si="42"/>
        <v>2035</v>
      </c>
      <c r="R439" s="6">
        <f t="shared" si="48"/>
        <v>4</v>
      </c>
      <c r="S439">
        <v>135</v>
      </c>
      <c r="T439">
        <v>14</v>
      </c>
      <c r="U439">
        <v>-21</v>
      </c>
      <c r="V439">
        <v>-3</v>
      </c>
      <c r="W439">
        <v>-9</v>
      </c>
      <c r="X439">
        <v>50</v>
      </c>
      <c r="Y439" s="2" t="s">
        <v>735</v>
      </c>
      <c r="Z439">
        <v>42.43282</v>
      </c>
      <c r="AA439">
        <v>12.09629</v>
      </c>
      <c r="AB439" t="s">
        <v>78</v>
      </c>
      <c r="AC439" t="s">
        <v>81</v>
      </c>
      <c r="AD439" t="s">
        <v>82</v>
      </c>
      <c r="AE439">
        <v>48619</v>
      </c>
      <c r="AF439">
        <v>0</v>
      </c>
      <c r="AG439">
        <v>16202</v>
      </c>
      <c r="AH439">
        <v>20710</v>
      </c>
      <c r="AI439">
        <v>7144</v>
      </c>
      <c r="AJ439">
        <v>4563</v>
      </c>
      <c r="AK439">
        <v>0</v>
      </c>
      <c r="AL439">
        <v>5781</v>
      </c>
      <c r="AM439">
        <v>25498</v>
      </c>
      <c r="AN439">
        <v>55078</v>
      </c>
      <c r="AO439">
        <v>68984</v>
      </c>
      <c r="AP439">
        <v>0</v>
      </c>
      <c r="AQ439">
        <v>0</v>
      </c>
      <c r="AR439">
        <v>7</v>
      </c>
      <c r="AS439">
        <v>14</v>
      </c>
      <c r="AT439">
        <v>2</v>
      </c>
      <c r="AU439">
        <v>26</v>
      </c>
      <c r="AV439">
        <v>1</v>
      </c>
      <c r="AW439">
        <v>0</v>
      </c>
      <c r="AX439">
        <v>1</v>
      </c>
      <c r="AY439">
        <v>1</v>
      </c>
      <c r="AZ439">
        <v>2</v>
      </c>
      <c r="BA439">
        <v>28</v>
      </c>
      <c r="BB439">
        <v>57</v>
      </c>
      <c r="BC439">
        <v>6</v>
      </c>
      <c r="BD439">
        <v>6</v>
      </c>
      <c r="BE439">
        <v>0</v>
      </c>
      <c r="BF439">
        <v>14</v>
      </c>
      <c r="BG439">
        <v>0</v>
      </c>
      <c r="BH439">
        <v>14</v>
      </c>
      <c r="BI439">
        <v>0</v>
      </c>
      <c r="BJ439">
        <v>42.432845200000003</v>
      </c>
      <c r="BK439">
        <v>12.0963504</v>
      </c>
      <c r="BL439">
        <v>300</v>
      </c>
      <c r="BM439" t="s">
        <v>83</v>
      </c>
      <c r="BN439" t="s">
        <v>84</v>
      </c>
      <c r="BO439" t="s">
        <v>85</v>
      </c>
      <c r="BP439" t="s">
        <v>86</v>
      </c>
      <c r="BQ439" t="s">
        <v>87</v>
      </c>
      <c r="BR439" t="s">
        <v>733</v>
      </c>
      <c r="BS439">
        <v>972474</v>
      </c>
      <c r="BT439">
        <v>0</v>
      </c>
      <c r="BU439">
        <v>324062</v>
      </c>
      <c r="BV439">
        <v>414225</v>
      </c>
      <c r="BW439">
        <v>142909</v>
      </c>
      <c r="BX439">
        <v>91278</v>
      </c>
      <c r="BY439">
        <v>0</v>
      </c>
      <c r="BZ439">
        <v>1</v>
      </c>
      <c r="CA439" t="s">
        <v>736</v>
      </c>
      <c r="CB439" t="s">
        <v>737</v>
      </c>
      <c r="CC439" s="3">
        <v>46092.557106481479</v>
      </c>
      <c r="CD439" t="s">
        <v>91</v>
      </c>
    </row>
    <row r="440" spans="1:82" ht="16" x14ac:dyDescent="0.2">
      <c r="A440" t="s">
        <v>1134</v>
      </c>
      <c r="B440" t="s">
        <v>739</v>
      </c>
      <c r="C440" t="s">
        <v>740</v>
      </c>
      <c r="D440" t="s">
        <v>78</v>
      </c>
      <c r="E440" t="s">
        <v>741</v>
      </c>
      <c r="F440">
        <v>2</v>
      </c>
      <c r="G440">
        <v>150</v>
      </c>
      <c r="H440" t="str">
        <f t="shared" si="43"/>
        <v>2x150</v>
      </c>
      <c r="I440">
        <v>144</v>
      </c>
      <c r="J440" s="4">
        <f t="shared" si="44"/>
        <v>4.6153846153846156E-2</v>
      </c>
      <c r="K440">
        <v>217</v>
      </c>
      <c r="L440" s="4">
        <f t="shared" si="45"/>
        <v>6.9551282051282054E-2</v>
      </c>
      <c r="M440">
        <v>329</v>
      </c>
      <c r="N440" s="4">
        <f t="shared" si="46"/>
        <v>0.10544871794871795</v>
      </c>
      <c r="O440">
        <v>657</v>
      </c>
      <c r="P440" s="4">
        <f t="shared" si="47"/>
        <v>0.21057692307692308</v>
      </c>
      <c r="Q440" s="6">
        <f t="shared" si="42"/>
        <v>2035</v>
      </c>
      <c r="R440" s="6">
        <f t="shared" si="48"/>
        <v>4</v>
      </c>
      <c r="S440">
        <v>135</v>
      </c>
      <c r="T440">
        <v>-14</v>
      </c>
      <c r="U440">
        <v>3</v>
      </c>
      <c r="V440">
        <v>-2</v>
      </c>
      <c r="W440">
        <v>-10</v>
      </c>
      <c r="X440">
        <v>54</v>
      </c>
      <c r="Y440" s="2" t="s">
        <v>742</v>
      </c>
      <c r="Z440">
        <v>41.023249999999997</v>
      </c>
      <c r="AA440">
        <v>14.35951</v>
      </c>
      <c r="AB440" t="s">
        <v>78</v>
      </c>
      <c r="AC440" t="s">
        <v>81</v>
      </c>
      <c r="AD440" t="s">
        <v>82</v>
      </c>
      <c r="AE440">
        <v>35813</v>
      </c>
      <c r="AF440">
        <v>0</v>
      </c>
      <c r="AG440">
        <v>0</v>
      </c>
      <c r="AH440">
        <v>19290</v>
      </c>
      <c r="AI440">
        <v>9571</v>
      </c>
      <c r="AJ440">
        <v>3138</v>
      </c>
      <c r="AK440">
        <v>3814</v>
      </c>
      <c r="AL440">
        <v>258</v>
      </c>
      <c r="AM440">
        <v>10362</v>
      </c>
      <c r="AN440">
        <v>98430</v>
      </c>
      <c r="AO440">
        <v>417907</v>
      </c>
      <c r="AP440">
        <v>0</v>
      </c>
      <c r="AQ440">
        <v>0</v>
      </c>
      <c r="AR440">
        <v>2</v>
      </c>
      <c r="AS440">
        <v>7</v>
      </c>
      <c r="AT440">
        <v>0</v>
      </c>
      <c r="AU440">
        <v>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</v>
      </c>
      <c r="BC440">
        <v>0</v>
      </c>
      <c r="BD440">
        <v>0</v>
      </c>
      <c r="BE440">
        <v>2</v>
      </c>
      <c r="BF440">
        <v>0</v>
      </c>
      <c r="BG440">
        <v>2</v>
      </c>
      <c r="BH440">
        <v>2</v>
      </c>
      <c r="BI440">
        <v>2</v>
      </c>
      <c r="BJ440">
        <v>41.023566199999998</v>
      </c>
      <c r="BK440">
        <v>14.3593285</v>
      </c>
      <c r="BL440">
        <v>300</v>
      </c>
      <c r="BM440" t="s">
        <v>83</v>
      </c>
      <c r="BN440" t="s">
        <v>84</v>
      </c>
      <c r="BO440" t="s">
        <v>85</v>
      </c>
      <c r="BP440" t="s">
        <v>97</v>
      </c>
      <c r="BQ440" t="s">
        <v>98</v>
      </c>
      <c r="BR440" t="s">
        <v>743</v>
      </c>
      <c r="BS440">
        <v>716313</v>
      </c>
      <c r="BT440">
        <v>0</v>
      </c>
      <c r="BU440">
        <v>0</v>
      </c>
      <c r="BV440">
        <v>385816</v>
      </c>
      <c r="BW440">
        <v>191426</v>
      </c>
      <c r="BX440">
        <v>62777</v>
      </c>
      <c r="BY440">
        <v>76294</v>
      </c>
      <c r="BZ440">
        <v>1</v>
      </c>
      <c r="CA440" t="s">
        <v>744</v>
      </c>
      <c r="CB440" t="s">
        <v>745</v>
      </c>
      <c r="CC440" s="3">
        <v>46092.557106481479</v>
      </c>
      <c r="CD440" t="s">
        <v>91</v>
      </c>
    </row>
    <row r="441" spans="1:82" ht="16" x14ac:dyDescent="0.2">
      <c r="A441" t="s">
        <v>874</v>
      </c>
      <c r="B441" t="s">
        <v>875</v>
      </c>
      <c r="C441" t="s">
        <v>876</v>
      </c>
      <c r="D441" t="s">
        <v>78</v>
      </c>
      <c r="E441" t="s">
        <v>877</v>
      </c>
      <c r="F441">
        <v>2</v>
      </c>
      <c r="G441">
        <v>300</v>
      </c>
      <c r="H441" t="str">
        <f t="shared" si="43"/>
        <v>2x300</v>
      </c>
      <c r="I441">
        <v>143</v>
      </c>
      <c r="J441" s="4">
        <f t="shared" si="44"/>
        <v>3.9722222222222221E-2</v>
      </c>
      <c r="K441">
        <v>217</v>
      </c>
      <c r="L441" s="4">
        <f t="shared" si="45"/>
        <v>6.0277777777777784E-2</v>
      </c>
      <c r="M441">
        <v>328</v>
      </c>
      <c r="N441" s="4">
        <f t="shared" si="46"/>
        <v>9.1111111111111101E-2</v>
      </c>
      <c r="O441">
        <v>655</v>
      </c>
      <c r="P441" s="4">
        <f t="shared" si="47"/>
        <v>0.18194444444444444</v>
      </c>
      <c r="Q441" s="6">
        <f t="shared" si="42"/>
        <v>2035</v>
      </c>
      <c r="R441" s="6">
        <f t="shared" si="48"/>
        <v>4</v>
      </c>
      <c r="S441">
        <v>156</v>
      </c>
      <c r="T441">
        <v>-42</v>
      </c>
      <c r="U441">
        <v>3</v>
      </c>
      <c r="V441">
        <v>-4</v>
      </c>
      <c r="W441">
        <v>-9</v>
      </c>
      <c r="X441">
        <v>64</v>
      </c>
      <c r="Y441" s="2" t="s">
        <v>878</v>
      </c>
      <c r="Z441">
        <v>45.430994195353897</v>
      </c>
      <c r="AA441">
        <v>10.518557261578501</v>
      </c>
      <c r="AB441" t="s">
        <v>78</v>
      </c>
      <c r="AC441" t="s">
        <v>81</v>
      </c>
      <c r="AD441" t="s">
        <v>82</v>
      </c>
      <c r="AE441">
        <v>9124</v>
      </c>
      <c r="AF441">
        <v>0</v>
      </c>
      <c r="AG441">
        <v>0</v>
      </c>
      <c r="AH441">
        <v>0</v>
      </c>
      <c r="AI441">
        <v>0</v>
      </c>
      <c r="AJ441">
        <v>9124</v>
      </c>
      <c r="AK441">
        <v>0</v>
      </c>
      <c r="AL441">
        <v>194</v>
      </c>
      <c r="AM441">
        <v>1647</v>
      </c>
      <c r="AN441">
        <v>38176</v>
      </c>
      <c r="AO441">
        <v>117109</v>
      </c>
      <c r="AP441">
        <v>0</v>
      </c>
      <c r="AQ441">
        <v>0</v>
      </c>
      <c r="AR441">
        <v>3</v>
      </c>
      <c r="AS441">
        <v>7</v>
      </c>
      <c r="AT441">
        <v>0</v>
      </c>
      <c r="AU441">
        <v>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12</v>
      </c>
      <c r="BB441">
        <v>16</v>
      </c>
      <c r="BC441">
        <v>10</v>
      </c>
      <c r="BD441">
        <v>0</v>
      </c>
      <c r="BE441">
        <v>5</v>
      </c>
      <c r="BF441">
        <v>0</v>
      </c>
      <c r="BG441">
        <v>5</v>
      </c>
      <c r="BH441">
        <v>0</v>
      </c>
      <c r="BI441">
        <v>5</v>
      </c>
      <c r="BJ441">
        <v>45.430881800000002</v>
      </c>
      <c r="BK441">
        <v>10.5185814</v>
      </c>
      <c r="BL441">
        <v>600</v>
      </c>
      <c r="BM441" t="s">
        <v>83</v>
      </c>
      <c r="BN441" t="s">
        <v>84</v>
      </c>
      <c r="BO441" t="s">
        <v>85</v>
      </c>
      <c r="BP441" t="s">
        <v>107</v>
      </c>
      <c r="BQ441" t="s">
        <v>108</v>
      </c>
      <c r="BR441" t="s">
        <v>179</v>
      </c>
      <c r="BS441">
        <v>182504</v>
      </c>
      <c r="BT441">
        <v>0</v>
      </c>
      <c r="BU441">
        <v>0</v>
      </c>
      <c r="BV441">
        <v>0</v>
      </c>
      <c r="BW441">
        <v>0</v>
      </c>
      <c r="BX441">
        <v>182504</v>
      </c>
      <c r="BY441">
        <v>0</v>
      </c>
      <c r="BZ441">
        <v>1</v>
      </c>
      <c r="CA441" t="s">
        <v>879</v>
      </c>
      <c r="CB441" t="s">
        <v>880</v>
      </c>
      <c r="CC441" s="3">
        <v>46092.557106481479</v>
      </c>
      <c r="CD441" t="s">
        <v>91</v>
      </c>
    </row>
    <row r="442" spans="1:82" ht="16" x14ac:dyDescent="0.2">
      <c r="A442" t="s">
        <v>881</v>
      </c>
      <c r="B442" t="s">
        <v>882</v>
      </c>
      <c r="C442" t="s">
        <v>883</v>
      </c>
      <c r="D442" t="s">
        <v>78</v>
      </c>
      <c r="E442" t="s">
        <v>884</v>
      </c>
      <c r="F442">
        <v>2</v>
      </c>
      <c r="G442">
        <v>300</v>
      </c>
      <c r="H442" t="str">
        <f t="shared" si="43"/>
        <v>2x300</v>
      </c>
      <c r="I442">
        <v>143</v>
      </c>
      <c r="J442" s="4">
        <f t="shared" si="44"/>
        <v>3.9722222222222221E-2</v>
      </c>
      <c r="K442">
        <v>216</v>
      </c>
      <c r="L442" s="4">
        <f t="shared" si="45"/>
        <v>0.06</v>
      </c>
      <c r="M442">
        <v>327</v>
      </c>
      <c r="N442" s="4">
        <f t="shared" si="46"/>
        <v>9.0833333333333335E-2</v>
      </c>
      <c r="O442">
        <v>654</v>
      </c>
      <c r="P442" s="4">
        <f t="shared" si="47"/>
        <v>0.18166666666666667</v>
      </c>
      <c r="Q442" s="6">
        <f t="shared" si="42"/>
        <v>2035</v>
      </c>
      <c r="R442" s="6">
        <f t="shared" si="48"/>
        <v>4</v>
      </c>
      <c r="S442">
        <v>156</v>
      </c>
      <c r="T442">
        <v>-36</v>
      </c>
      <c r="U442">
        <v>-17</v>
      </c>
      <c r="V442">
        <v>-6</v>
      </c>
      <c r="W442">
        <v>8</v>
      </c>
      <c r="X442">
        <v>56</v>
      </c>
      <c r="Y442" s="2" t="s">
        <v>885</v>
      </c>
      <c r="Z442">
        <v>43.859022699999997</v>
      </c>
      <c r="AA442">
        <v>10.763140699999999</v>
      </c>
      <c r="AB442" t="s">
        <v>78</v>
      </c>
      <c r="AC442" t="s">
        <v>81</v>
      </c>
      <c r="AD442" t="s">
        <v>82</v>
      </c>
      <c r="AE442">
        <v>22201</v>
      </c>
      <c r="AF442">
        <v>0</v>
      </c>
      <c r="AG442">
        <v>0</v>
      </c>
      <c r="AH442">
        <v>0</v>
      </c>
      <c r="AI442">
        <v>0</v>
      </c>
      <c r="AJ442">
        <v>22201</v>
      </c>
      <c r="AK442">
        <v>0</v>
      </c>
      <c r="AL442">
        <v>1564</v>
      </c>
      <c r="AM442">
        <v>9855</v>
      </c>
      <c r="AN442">
        <v>73885</v>
      </c>
      <c r="AO442">
        <v>139401</v>
      </c>
      <c r="AP442">
        <v>0</v>
      </c>
      <c r="AQ442">
        <v>0</v>
      </c>
      <c r="AR442">
        <v>1</v>
      </c>
      <c r="AS442">
        <v>7</v>
      </c>
      <c r="AT442">
        <v>0</v>
      </c>
      <c r="AU442">
        <v>17</v>
      </c>
      <c r="AV442">
        <v>1</v>
      </c>
      <c r="AW442">
        <v>0</v>
      </c>
      <c r="AX442">
        <v>0</v>
      </c>
      <c r="AY442">
        <v>0</v>
      </c>
      <c r="AZ442">
        <v>1</v>
      </c>
      <c r="BA442">
        <v>11</v>
      </c>
      <c r="BB442">
        <v>15</v>
      </c>
      <c r="BC442">
        <v>9</v>
      </c>
      <c r="BD442">
        <v>2</v>
      </c>
      <c r="BE442">
        <v>0</v>
      </c>
      <c r="BF442">
        <v>2</v>
      </c>
      <c r="BG442">
        <v>0</v>
      </c>
      <c r="BH442">
        <v>2</v>
      </c>
      <c r="BI442">
        <v>0</v>
      </c>
      <c r="BJ442">
        <v>43.859012300000003</v>
      </c>
      <c r="BK442">
        <v>10.763164700000001</v>
      </c>
      <c r="BL442">
        <v>600</v>
      </c>
      <c r="BM442" t="s">
        <v>83</v>
      </c>
      <c r="BN442" t="s">
        <v>84</v>
      </c>
      <c r="BO442" t="s">
        <v>85</v>
      </c>
      <c r="BP442" t="s">
        <v>86</v>
      </c>
      <c r="BQ442" t="s">
        <v>212</v>
      </c>
      <c r="BR442" t="s">
        <v>886</v>
      </c>
      <c r="BS442">
        <v>444130</v>
      </c>
      <c r="BT442">
        <v>0</v>
      </c>
      <c r="BU442">
        <v>0</v>
      </c>
      <c r="BV442">
        <v>0</v>
      </c>
      <c r="BW442">
        <v>0</v>
      </c>
      <c r="BX442">
        <v>444130</v>
      </c>
      <c r="BY442">
        <v>0</v>
      </c>
      <c r="BZ442">
        <v>1</v>
      </c>
      <c r="CA442" t="s">
        <v>887</v>
      </c>
      <c r="CB442" t="s">
        <v>888</v>
      </c>
      <c r="CC442" s="3">
        <v>46092.557106481479</v>
      </c>
      <c r="CD442" t="s">
        <v>91</v>
      </c>
    </row>
    <row r="443" spans="1:82" ht="16" x14ac:dyDescent="0.2">
      <c r="A443" t="s">
        <v>1135</v>
      </c>
      <c r="B443" t="s">
        <v>747</v>
      </c>
      <c r="C443" t="s">
        <v>748</v>
      </c>
      <c r="D443" t="s">
        <v>78</v>
      </c>
      <c r="E443" t="s">
        <v>749</v>
      </c>
      <c r="F443">
        <v>2</v>
      </c>
      <c r="G443">
        <v>150</v>
      </c>
      <c r="H443" t="str">
        <f t="shared" si="43"/>
        <v>2x150</v>
      </c>
      <c r="I443">
        <v>142</v>
      </c>
      <c r="J443" s="4">
        <f t="shared" si="44"/>
        <v>4.5512820512820511E-2</v>
      </c>
      <c r="K443">
        <v>215</v>
      </c>
      <c r="L443" s="4">
        <f t="shared" si="45"/>
        <v>6.8910256410256401E-2</v>
      </c>
      <c r="M443">
        <v>326</v>
      </c>
      <c r="N443" s="4">
        <f t="shared" si="46"/>
        <v>0.10448717948717949</v>
      </c>
      <c r="O443">
        <v>651</v>
      </c>
      <c r="P443" s="4">
        <f t="shared" si="47"/>
        <v>0.20865384615384616</v>
      </c>
      <c r="Q443" s="6">
        <f t="shared" si="42"/>
        <v>2035</v>
      </c>
      <c r="R443" s="6">
        <f t="shared" si="48"/>
        <v>4</v>
      </c>
      <c r="S443">
        <v>135</v>
      </c>
      <c r="T443">
        <v>-35</v>
      </c>
      <c r="U443">
        <v>6</v>
      </c>
      <c r="V443">
        <v>2</v>
      </c>
      <c r="W443">
        <v>2</v>
      </c>
      <c r="X443">
        <v>54</v>
      </c>
      <c r="Y443" s="2" t="s">
        <v>750</v>
      </c>
      <c r="Z443">
        <v>40.93506</v>
      </c>
      <c r="AA443">
        <v>14.441610000000001</v>
      </c>
      <c r="AB443" t="s">
        <v>78</v>
      </c>
      <c r="AC443" t="s">
        <v>81</v>
      </c>
      <c r="AD443" t="s">
        <v>82</v>
      </c>
      <c r="AE443">
        <v>22043</v>
      </c>
      <c r="AF443">
        <v>0</v>
      </c>
      <c r="AG443">
        <v>0</v>
      </c>
      <c r="AH443">
        <v>0</v>
      </c>
      <c r="AI443">
        <v>10640</v>
      </c>
      <c r="AJ443">
        <v>7042</v>
      </c>
      <c r="AK443">
        <v>4361</v>
      </c>
      <c r="AL443">
        <v>7279</v>
      </c>
      <c r="AM443">
        <v>30169</v>
      </c>
      <c r="AN443">
        <v>100192</v>
      </c>
      <c r="AO443">
        <v>432459</v>
      </c>
      <c r="AP443">
        <v>0</v>
      </c>
      <c r="AQ443">
        <v>0</v>
      </c>
      <c r="AR443">
        <v>2</v>
      </c>
      <c r="AS443">
        <v>2</v>
      </c>
      <c r="AT443">
        <v>0</v>
      </c>
      <c r="AU443">
        <v>10</v>
      </c>
      <c r="AV443">
        <v>5</v>
      </c>
      <c r="AW443">
        <v>0</v>
      </c>
      <c r="AX443">
        <v>0</v>
      </c>
      <c r="AY443">
        <v>0</v>
      </c>
      <c r="AZ443">
        <v>0</v>
      </c>
      <c r="BA443">
        <v>6</v>
      </c>
      <c r="BB443">
        <v>18</v>
      </c>
      <c r="BC443">
        <v>2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40.935041699999999</v>
      </c>
      <c r="BK443">
        <v>14.441605600000001</v>
      </c>
      <c r="BL443">
        <v>300</v>
      </c>
      <c r="BM443" t="s">
        <v>83</v>
      </c>
      <c r="BN443" t="s">
        <v>84</v>
      </c>
      <c r="BO443" t="s">
        <v>85</v>
      </c>
      <c r="BP443" t="s">
        <v>97</v>
      </c>
      <c r="BQ443" t="s">
        <v>98</v>
      </c>
      <c r="BR443" t="s">
        <v>99</v>
      </c>
      <c r="BS443">
        <v>440979</v>
      </c>
      <c r="BT443">
        <v>0</v>
      </c>
      <c r="BU443">
        <v>0</v>
      </c>
      <c r="BV443">
        <v>0</v>
      </c>
      <c r="BW443">
        <v>212811</v>
      </c>
      <c r="BX443">
        <v>140900</v>
      </c>
      <c r="BY443">
        <v>87268</v>
      </c>
      <c r="BZ443">
        <v>1</v>
      </c>
      <c r="CA443" t="s">
        <v>751</v>
      </c>
      <c r="CB443" t="s">
        <v>752</v>
      </c>
      <c r="CC443" s="3">
        <v>46092.557106481479</v>
      </c>
      <c r="CD443" t="s">
        <v>91</v>
      </c>
    </row>
    <row r="444" spans="1:82" ht="16" x14ac:dyDescent="0.2">
      <c r="A444" t="s">
        <v>1136</v>
      </c>
      <c r="B444" t="s">
        <v>754</v>
      </c>
      <c r="C444" t="s">
        <v>755</v>
      </c>
      <c r="D444" t="s">
        <v>78</v>
      </c>
      <c r="E444" t="s">
        <v>756</v>
      </c>
      <c r="F444">
        <v>2</v>
      </c>
      <c r="G444">
        <v>150</v>
      </c>
      <c r="H444" t="str">
        <f t="shared" si="43"/>
        <v>2x150</v>
      </c>
      <c r="I444">
        <v>142</v>
      </c>
      <c r="J444" s="4">
        <f t="shared" si="44"/>
        <v>4.5512820512820511E-2</v>
      </c>
      <c r="K444">
        <v>215</v>
      </c>
      <c r="L444" s="4">
        <f t="shared" si="45"/>
        <v>6.8910256410256401E-2</v>
      </c>
      <c r="M444">
        <v>326</v>
      </c>
      <c r="N444" s="4">
        <f t="shared" si="46"/>
        <v>0.10448717948717949</v>
      </c>
      <c r="O444">
        <v>651</v>
      </c>
      <c r="P444" s="4">
        <f t="shared" si="47"/>
        <v>0.20865384615384616</v>
      </c>
      <c r="Q444" s="6">
        <f t="shared" si="42"/>
        <v>2035</v>
      </c>
      <c r="R444" s="6">
        <f t="shared" si="48"/>
        <v>4</v>
      </c>
      <c r="S444">
        <v>135</v>
      </c>
      <c r="T444">
        <v>31</v>
      </c>
      <c r="U444">
        <v>-23</v>
      </c>
      <c r="V444">
        <v>-17</v>
      </c>
      <c r="W444">
        <v>-18</v>
      </c>
      <c r="X444">
        <v>55</v>
      </c>
      <c r="Y444" s="2" t="s">
        <v>757</v>
      </c>
      <c r="Z444">
        <v>45.74409</v>
      </c>
      <c r="AA444">
        <v>11.739050000000001</v>
      </c>
      <c r="AB444" t="s">
        <v>78</v>
      </c>
      <c r="AC444" t="s">
        <v>81</v>
      </c>
      <c r="AD444" t="s">
        <v>82</v>
      </c>
      <c r="AE444">
        <v>58574</v>
      </c>
      <c r="AF444">
        <v>0</v>
      </c>
      <c r="AG444">
        <v>4853</v>
      </c>
      <c r="AH444">
        <v>8344</v>
      </c>
      <c r="AI444">
        <v>12891</v>
      </c>
      <c r="AJ444">
        <v>27327</v>
      </c>
      <c r="AK444">
        <v>5159</v>
      </c>
      <c r="AL444">
        <v>2592</v>
      </c>
      <c r="AM444">
        <v>16521</v>
      </c>
      <c r="AN444">
        <v>81672</v>
      </c>
      <c r="AO444">
        <v>178557</v>
      </c>
      <c r="AP444">
        <v>3</v>
      </c>
      <c r="AQ444">
        <v>1</v>
      </c>
      <c r="AR444">
        <v>2</v>
      </c>
      <c r="AS444">
        <v>2</v>
      </c>
      <c r="AT444">
        <v>1</v>
      </c>
      <c r="AU444">
        <v>26</v>
      </c>
      <c r="AV444">
        <v>3</v>
      </c>
      <c r="AW444">
        <v>0</v>
      </c>
      <c r="AX444">
        <v>1</v>
      </c>
      <c r="AY444">
        <v>1</v>
      </c>
      <c r="AZ444">
        <v>1</v>
      </c>
      <c r="BA444">
        <v>10</v>
      </c>
      <c r="BB444">
        <v>23</v>
      </c>
      <c r="BC444">
        <v>3</v>
      </c>
      <c r="BD444">
        <v>2</v>
      </c>
      <c r="BE444">
        <v>0</v>
      </c>
      <c r="BF444">
        <v>10</v>
      </c>
      <c r="BG444">
        <v>8</v>
      </c>
      <c r="BH444">
        <v>10</v>
      </c>
      <c r="BI444">
        <v>8</v>
      </c>
      <c r="BJ444">
        <v>45.744082200000001</v>
      </c>
      <c r="BK444">
        <v>11.7389785</v>
      </c>
      <c r="BL444">
        <v>300</v>
      </c>
      <c r="BM444" t="s">
        <v>83</v>
      </c>
      <c r="BN444" t="s">
        <v>84</v>
      </c>
      <c r="BO444" t="s">
        <v>85</v>
      </c>
      <c r="BP444" t="s">
        <v>160</v>
      </c>
      <c r="BQ444" t="s">
        <v>161</v>
      </c>
      <c r="BR444" t="s">
        <v>527</v>
      </c>
      <c r="BS444">
        <v>1059099</v>
      </c>
      <c r="BT444">
        <v>0</v>
      </c>
      <c r="BU444">
        <v>97075</v>
      </c>
      <c r="BV444">
        <v>166890</v>
      </c>
      <c r="BW444">
        <v>257837</v>
      </c>
      <c r="BX444">
        <v>434080</v>
      </c>
      <c r="BY444">
        <v>103217</v>
      </c>
      <c r="BZ444">
        <v>1</v>
      </c>
      <c r="CA444" t="s">
        <v>758</v>
      </c>
      <c r="CB444" t="s">
        <v>759</v>
      </c>
      <c r="CC444" s="3">
        <v>46092.557106481479</v>
      </c>
      <c r="CD444" t="s">
        <v>91</v>
      </c>
    </row>
    <row r="445" spans="1:82" ht="16" x14ac:dyDescent="0.2">
      <c r="A445" t="s">
        <v>1137</v>
      </c>
      <c r="B445" t="s">
        <v>761</v>
      </c>
      <c r="C445" t="s">
        <v>762</v>
      </c>
      <c r="D445" t="s">
        <v>78</v>
      </c>
      <c r="E445" t="s">
        <v>763</v>
      </c>
      <c r="F445">
        <v>2</v>
      </c>
      <c r="G445">
        <v>150</v>
      </c>
      <c r="H445" t="str">
        <f t="shared" si="43"/>
        <v>2x150</v>
      </c>
      <c r="I445">
        <v>142</v>
      </c>
      <c r="J445" s="4">
        <f t="shared" si="44"/>
        <v>4.5512820512820511E-2</v>
      </c>
      <c r="K445">
        <v>214</v>
      </c>
      <c r="L445" s="4">
        <f t="shared" si="45"/>
        <v>6.8589743589743582E-2</v>
      </c>
      <c r="M445">
        <v>324</v>
      </c>
      <c r="N445" s="4">
        <f t="shared" si="46"/>
        <v>0.10384615384615385</v>
      </c>
      <c r="O445">
        <v>647</v>
      </c>
      <c r="P445" s="4">
        <f t="shared" si="47"/>
        <v>0.20737179487179488</v>
      </c>
      <c r="Q445" s="6">
        <f t="shared" si="42"/>
        <v>2035</v>
      </c>
      <c r="R445" s="6">
        <f t="shared" si="48"/>
        <v>4</v>
      </c>
      <c r="S445">
        <v>135</v>
      </c>
      <c r="T445">
        <v>3</v>
      </c>
      <c r="U445">
        <v>-16</v>
      </c>
      <c r="V445">
        <v>-15</v>
      </c>
      <c r="W445">
        <v>0</v>
      </c>
      <c r="X445">
        <v>56</v>
      </c>
      <c r="Y445" s="2" t="s">
        <v>764</v>
      </c>
      <c r="Z445">
        <v>45.417378374500203</v>
      </c>
      <c r="AA445">
        <v>9.4286086085931995</v>
      </c>
      <c r="AB445" t="s">
        <v>78</v>
      </c>
      <c r="AC445" t="s">
        <v>81</v>
      </c>
      <c r="AD445" t="s">
        <v>82</v>
      </c>
      <c r="AE445">
        <v>46868</v>
      </c>
      <c r="AF445">
        <v>0</v>
      </c>
      <c r="AG445">
        <v>0</v>
      </c>
      <c r="AH445">
        <v>35740</v>
      </c>
      <c r="AI445">
        <v>0</v>
      </c>
      <c r="AJ445">
        <v>10720</v>
      </c>
      <c r="AK445">
        <v>408</v>
      </c>
      <c r="AL445">
        <v>3532</v>
      </c>
      <c r="AM445">
        <v>12818</v>
      </c>
      <c r="AN445">
        <v>36512</v>
      </c>
      <c r="AO445">
        <v>154116</v>
      </c>
      <c r="AP445">
        <v>0</v>
      </c>
      <c r="AQ445">
        <v>0</v>
      </c>
      <c r="AR445">
        <v>1</v>
      </c>
      <c r="AS445">
        <v>4</v>
      </c>
      <c r="AT445">
        <v>0</v>
      </c>
      <c r="AU445">
        <v>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4</v>
      </c>
      <c r="BB445">
        <v>10</v>
      </c>
      <c r="BC445">
        <v>4</v>
      </c>
      <c r="BD445">
        <v>0</v>
      </c>
      <c r="BE445">
        <v>0</v>
      </c>
      <c r="BF445">
        <v>0</v>
      </c>
      <c r="BG445">
        <v>0</v>
      </c>
      <c r="BH445">
        <v>2</v>
      </c>
      <c r="BI445">
        <v>0</v>
      </c>
      <c r="BJ445">
        <v>45.417318899999998</v>
      </c>
      <c r="BK445">
        <v>9.4285596999999992</v>
      </c>
      <c r="BL445">
        <v>300</v>
      </c>
      <c r="BM445" t="s">
        <v>83</v>
      </c>
      <c r="BN445" t="s">
        <v>84</v>
      </c>
      <c r="BO445" t="s">
        <v>85</v>
      </c>
      <c r="BP445" t="s">
        <v>107</v>
      </c>
      <c r="BQ445" t="s">
        <v>108</v>
      </c>
      <c r="BR445" t="s">
        <v>539</v>
      </c>
      <c r="BS445">
        <v>937470</v>
      </c>
      <c r="BT445">
        <v>0</v>
      </c>
      <c r="BU445">
        <v>0</v>
      </c>
      <c r="BV445">
        <v>714839</v>
      </c>
      <c r="BW445">
        <v>0</v>
      </c>
      <c r="BX445">
        <v>214452</v>
      </c>
      <c r="BY445">
        <v>8179</v>
      </c>
      <c r="BZ445">
        <v>1</v>
      </c>
      <c r="CA445" t="s">
        <v>765</v>
      </c>
      <c r="CB445" t="s">
        <v>766</v>
      </c>
      <c r="CC445" s="3">
        <v>46092.557106481479</v>
      </c>
      <c r="CD445" t="s">
        <v>91</v>
      </c>
    </row>
    <row r="446" spans="1:82" ht="16" x14ac:dyDescent="0.2">
      <c r="A446" t="s">
        <v>889</v>
      </c>
      <c r="B446" t="s">
        <v>890</v>
      </c>
      <c r="C446" t="s">
        <v>891</v>
      </c>
      <c r="D446" t="s">
        <v>78</v>
      </c>
      <c r="E446" t="s">
        <v>892</v>
      </c>
      <c r="F446">
        <v>2</v>
      </c>
      <c r="G446">
        <v>300</v>
      </c>
      <c r="H446" t="str">
        <f t="shared" si="43"/>
        <v>2x300</v>
      </c>
      <c r="I446">
        <v>141</v>
      </c>
      <c r="J446" s="4">
        <f t="shared" si="44"/>
        <v>3.9166666666666662E-2</v>
      </c>
      <c r="K446">
        <v>213</v>
      </c>
      <c r="L446" s="4">
        <f t="shared" si="45"/>
        <v>5.9166666666666666E-2</v>
      </c>
      <c r="M446">
        <v>322</v>
      </c>
      <c r="N446" s="4">
        <f t="shared" si="46"/>
        <v>8.9444444444444438E-2</v>
      </c>
      <c r="O446">
        <v>643</v>
      </c>
      <c r="P446" s="4">
        <f t="shared" si="47"/>
        <v>0.17861111111111114</v>
      </c>
      <c r="Q446" s="6">
        <f t="shared" si="42"/>
        <v>2035</v>
      </c>
      <c r="R446" s="6">
        <f t="shared" si="48"/>
        <v>4</v>
      </c>
      <c r="S446">
        <v>156</v>
      </c>
      <c r="T446">
        <v>-19</v>
      </c>
      <c r="U446">
        <v>-20</v>
      </c>
      <c r="V446">
        <v>-6</v>
      </c>
      <c r="W446">
        <v>-11</v>
      </c>
      <c r="X446">
        <v>67</v>
      </c>
      <c r="Y446" s="2" t="s">
        <v>893</v>
      </c>
      <c r="Z446">
        <v>43.720547000000003</v>
      </c>
      <c r="AA446">
        <v>10.979559200000001</v>
      </c>
      <c r="AB446" t="s">
        <v>78</v>
      </c>
      <c r="AC446" t="s">
        <v>81</v>
      </c>
      <c r="AD446" t="s">
        <v>82</v>
      </c>
      <c r="AE446">
        <v>75237</v>
      </c>
      <c r="AF446">
        <v>0</v>
      </c>
      <c r="AG446">
        <v>0</v>
      </c>
      <c r="AH446">
        <v>51717</v>
      </c>
      <c r="AI446">
        <v>9416</v>
      </c>
      <c r="AJ446">
        <v>13711</v>
      </c>
      <c r="AK446">
        <v>393</v>
      </c>
      <c r="AL446">
        <v>1146</v>
      </c>
      <c r="AM446">
        <v>13848</v>
      </c>
      <c r="AN446">
        <v>69024</v>
      </c>
      <c r="AO446">
        <v>108694</v>
      </c>
      <c r="AP446">
        <v>0</v>
      </c>
      <c r="AQ446">
        <v>0</v>
      </c>
      <c r="AR446">
        <v>1</v>
      </c>
      <c r="AS446">
        <v>8</v>
      </c>
      <c r="AT446">
        <v>0</v>
      </c>
      <c r="AU446">
        <v>12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10</v>
      </c>
      <c r="BB446">
        <v>12</v>
      </c>
      <c r="BC446">
        <v>6</v>
      </c>
      <c r="BD446">
        <v>0</v>
      </c>
      <c r="BE446">
        <v>2</v>
      </c>
      <c r="BF446">
        <v>0</v>
      </c>
      <c r="BG446">
        <v>2</v>
      </c>
      <c r="BH446">
        <v>0</v>
      </c>
      <c r="BI446">
        <v>2</v>
      </c>
      <c r="BJ446">
        <v>43.720489999999998</v>
      </c>
      <c r="BK446">
        <v>10.979579899999999</v>
      </c>
      <c r="BL446">
        <v>600</v>
      </c>
      <c r="BM446" t="s">
        <v>83</v>
      </c>
      <c r="BN446" t="s">
        <v>84</v>
      </c>
      <c r="BO446" t="s">
        <v>85</v>
      </c>
      <c r="BP446" t="s">
        <v>86</v>
      </c>
      <c r="BQ446" t="s">
        <v>212</v>
      </c>
      <c r="BR446" t="s">
        <v>213</v>
      </c>
      <c r="BS446">
        <v>1793196</v>
      </c>
      <c r="BT446">
        <v>0</v>
      </c>
      <c r="BU446">
        <v>0</v>
      </c>
      <c r="BV446">
        <v>1344686</v>
      </c>
      <c r="BW446">
        <v>188336</v>
      </c>
      <c r="BX446">
        <v>252291</v>
      </c>
      <c r="BY446">
        <v>7883</v>
      </c>
      <c r="BZ446">
        <v>1</v>
      </c>
      <c r="CA446" t="s">
        <v>894</v>
      </c>
      <c r="CB446" t="s">
        <v>895</v>
      </c>
      <c r="CC446" s="3">
        <v>46092.557106481479</v>
      </c>
      <c r="CD446" t="s">
        <v>91</v>
      </c>
    </row>
    <row r="447" spans="1:82" ht="16" x14ac:dyDescent="0.2">
      <c r="A447" t="s">
        <v>1138</v>
      </c>
      <c r="B447" t="s">
        <v>768</v>
      </c>
      <c r="C447" t="s">
        <v>769</v>
      </c>
      <c r="D447" t="s">
        <v>78</v>
      </c>
      <c r="E447" t="s">
        <v>770</v>
      </c>
      <c r="F447">
        <v>2</v>
      </c>
      <c r="G447">
        <v>150</v>
      </c>
      <c r="H447" t="str">
        <f t="shared" si="43"/>
        <v>2x150</v>
      </c>
      <c r="I447">
        <v>140</v>
      </c>
      <c r="J447" s="4">
        <f t="shared" si="44"/>
        <v>4.4871794871794872E-2</v>
      </c>
      <c r="K447">
        <v>212</v>
      </c>
      <c r="L447" s="4">
        <f t="shared" si="45"/>
        <v>6.7948717948717943E-2</v>
      </c>
      <c r="M447">
        <v>321</v>
      </c>
      <c r="N447" s="4">
        <f t="shared" si="46"/>
        <v>0.10288461538461539</v>
      </c>
      <c r="O447">
        <v>641</v>
      </c>
      <c r="P447" s="4">
        <f t="shared" si="47"/>
        <v>0.20544871794871797</v>
      </c>
      <c r="Q447" s="6">
        <f t="shared" si="42"/>
        <v>2035</v>
      </c>
      <c r="R447" s="6">
        <f t="shared" si="48"/>
        <v>4</v>
      </c>
      <c r="S447">
        <v>135</v>
      </c>
      <c r="T447">
        <v>-37</v>
      </c>
      <c r="U447">
        <v>-15</v>
      </c>
      <c r="V447">
        <v>13</v>
      </c>
      <c r="W447">
        <v>9</v>
      </c>
      <c r="X447">
        <v>56</v>
      </c>
      <c r="Y447" s="2" t="s">
        <v>771</v>
      </c>
      <c r="Z447">
        <v>41.35801</v>
      </c>
      <c r="AA447">
        <v>13.41455</v>
      </c>
      <c r="AB447" t="s">
        <v>78</v>
      </c>
      <c r="AC447" t="s">
        <v>81</v>
      </c>
      <c r="AD447" t="s">
        <v>82</v>
      </c>
      <c r="AE447">
        <v>13443</v>
      </c>
      <c r="AF447">
        <v>0</v>
      </c>
      <c r="AG447">
        <v>0</v>
      </c>
      <c r="AH447">
        <v>0</v>
      </c>
      <c r="AI447">
        <v>4408</v>
      </c>
      <c r="AJ447">
        <v>5281</v>
      </c>
      <c r="AK447">
        <v>3754</v>
      </c>
      <c r="AL447">
        <v>7552</v>
      </c>
      <c r="AM447">
        <v>22842</v>
      </c>
      <c r="AN447">
        <v>36433</v>
      </c>
      <c r="AO447">
        <v>51830</v>
      </c>
      <c r="AP447">
        <v>1</v>
      </c>
      <c r="AQ447">
        <v>0</v>
      </c>
      <c r="AR447">
        <v>3</v>
      </c>
      <c r="AS447">
        <v>13</v>
      </c>
      <c r="AT447">
        <v>0</v>
      </c>
      <c r="AU447">
        <v>16</v>
      </c>
      <c r="AV447">
        <v>0</v>
      </c>
      <c r="AW447">
        <v>1</v>
      </c>
      <c r="AX447">
        <v>2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2</v>
      </c>
      <c r="BE447">
        <v>0</v>
      </c>
      <c r="BF447">
        <v>2</v>
      </c>
      <c r="BG447">
        <v>0</v>
      </c>
      <c r="BH447">
        <v>2</v>
      </c>
      <c r="BI447">
        <v>0</v>
      </c>
      <c r="BJ447">
        <v>41.358293699999997</v>
      </c>
      <c r="BK447">
        <v>13.414480599999999</v>
      </c>
      <c r="BL447">
        <v>300</v>
      </c>
      <c r="BM447" t="s">
        <v>83</v>
      </c>
      <c r="BN447" t="s">
        <v>84</v>
      </c>
      <c r="BO447" t="s">
        <v>85</v>
      </c>
      <c r="BP447" t="s">
        <v>86</v>
      </c>
      <c r="BQ447" t="s">
        <v>87</v>
      </c>
      <c r="BR447" t="s">
        <v>772</v>
      </c>
      <c r="BS447">
        <v>269021</v>
      </c>
      <c r="BT447">
        <v>0</v>
      </c>
      <c r="BU447">
        <v>0</v>
      </c>
      <c r="BV447">
        <v>0</v>
      </c>
      <c r="BW447">
        <v>88175</v>
      </c>
      <c r="BX447">
        <v>105718</v>
      </c>
      <c r="BY447">
        <v>75128</v>
      </c>
      <c r="BZ447">
        <v>1</v>
      </c>
      <c r="CA447" t="s">
        <v>773</v>
      </c>
      <c r="CB447" t="s">
        <v>774</v>
      </c>
      <c r="CC447" s="3">
        <v>46092.557106481479</v>
      </c>
      <c r="CD447" t="s">
        <v>91</v>
      </c>
    </row>
    <row r="448" spans="1:82" ht="16" x14ac:dyDescent="0.2">
      <c r="A448" t="s">
        <v>1139</v>
      </c>
      <c r="B448" t="s">
        <v>776</v>
      </c>
      <c r="C448" t="s">
        <v>777</v>
      </c>
      <c r="D448" t="s">
        <v>78</v>
      </c>
      <c r="E448" t="s">
        <v>778</v>
      </c>
      <c r="F448">
        <v>2</v>
      </c>
      <c r="G448">
        <v>150</v>
      </c>
      <c r="H448" t="str">
        <f t="shared" si="43"/>
        <v>2x150</v>
      </c>
      <c r="I448">
        <v>140</v>
      </c>
      <c r="J448" s="4">
        <f t="shared" si="44"/>
        <v>4.4871794871794872E-2</v>
      </c>
      <c r="K448">
        <v>211</v>
      </c>
      <c r="L448" s="4">
        <f t="shared" si="45"/>
        <v>6.7628205128205124E-2</v>
      </c>
      <c r="M448">
        <v>320</v>
      </c>
      <c r="N448" s="4">
        <f t="shared" si="46"/>
        <v>0.10256410256410257</v>
      </c>
      <c r="O448">
        <v>638</v>
      </c>
      <c r="P448" s="4">
        <f t="shared" si="47"/>
        <v>0.20448717948717951</v>
      </c>
      <c r="Q448" s="6">
        <f t="shared" si="42"/>
        <v>2035</v>
      </c>
      <c r="R448" s="6">
        <f t="shared" si="48"/>
        <v>4</v>
      </c>
      <c r="S448">
        <v>135</v>
      </c>
      <c r="T448">
        <v>16</v>
      </c>
      <c r="U448">
        <v>-19</v>
      </c>
      <c r="V448">
        <v>1</v>
      </c>
      <c r="W448">
        <v>-17</v>
      </c>
      <c r="X448">
        <v>45</v>
      </c>
      <c r="Y448" s="2" t="s">
        <v>779</v>
      </c>
      <c r="Z448">
        <v>45.502467249499198</v>
      </c>
      <c r="AA448">
        <v>9.6300387932526892</v>
      </c>
      <c r="AB448" t="s">
        <v>78</v>
      </c>
      <c r="AC448" t="s">
        <v>81</v>
      </c>
      <c r="AD448" t="s">
        <v>82</v>
      </c>
      <c r="AE448">
        <v>70183</v>
      </c>
      <c r="AF448">
        <v>49055</v>
      </c>
      <c r="AG448">
        <v>0</v>
      </c>
      <c r="AH448">
        <v>11876</v>
      </c>
      <c r="AI448">
        <v>0</v>
      </c>
      <c r="AJ448">
        <v>9252</v>
      </c>
      <c r="AK448">
        <v>0</v>
      </c>
      <c r="AL448">
        <v>4457</v>
      </c>
      <c r="AM448">
        <v>13351</v>
      </c>
      <c r="AN448">
        <v>61214</v>
      </c>
      <c r="AO448">
        <v>167022</v>
      </c>
      <c r="AP448">
        <v>1</v>
      </c>
      <c r="AQ448">
        <v>1</v>
      </c>
      <c r="AR448">
        <v>6</v>
      </c>
      <c r="AS448">
        <v>20</v>
      </c>
      <c r="AT448">
        <v>2</v>
      </c>
      <c r="AU448">
        <v>28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1</v>
      </c>
      <c r="BB448">
        <v>8</v>
      </c>
      <c r="BC448">
        <v>0</v>
      </c>
      <c r="BD448">
        <v>0</v>
      </c>
      <c r="BE448">
        <v>0</v>
      </c>
      <c r="BF448">
        <v>2</v>
      </c>
      <c r="BG448">
        <v>0</v>
      </c>
      <c r="BH448">
        <v>8</v>
      </c>
      <c r="BI448">
        <v>16</v>
      </c>
      <c r="BJ448">
        <v>45.502499999999998</v>
      </c>
      <c r="BK448">
        <v>9.6300898999999998</v>
      </c>
      <c r="BL448">
        <v>300</v>
      </c>
      <c r="BM448" t="s">
        <v>83</v>
      </c>
      <c r="BN448" t="s">
        <v>84</v>
      </c>
      <c r="BO448" t="s">
        <v>85</v>
      </c>
      <c r="BP448" t="s">
        <v>107</v>
      </c>
      <c r="BQ448" t="s">
        <v>108</v>
      </c>
      <c r="BR448" t="s">
        <v>297</v>
      </c>
      <c r="BS448">
        <v>1698135</v>
      </c>
      <c r="BT448">
        <v>1275454</v>
      </c>
      <c r="BU448">
        <v>0</v>
      </c>
      <c r="BV448">
        <v>237548</v>
      </c>
      <c r="BW448">
        <v>0</v>
      </c>
      <c r="BX448">
        <v>185133</v>
      </c>
      <c r="BY448">
        <v>0</v>
      </c>
      <c r="BZ448">
        <v>1</v>
      </c>
      <c r="CA448" t="s">
        <v>780</v>
      </c>
      <c r="CB448" t="s">
        <v>781</v>
      </c>
      <c r="CC448" s="3">
        <v>46092.557106481479</v>
      </c>
      <c r="CD448" t="s">
        <v>91</v>
      </c>
    </row>
    <row r="449" spans="1:82" ht="16" x14ac:dyDescent="0.2">
      <c r="A449" t="s">
        <v>898</v>
      </c>
      <c r="B449" t="s">
        <v>899</v>
      </c>
      <c r="C449" t="s">
        <v>900</v>
      </c>
      <c r="D449" t="s">
        <v>78</v>
      </c>
      <c r="E449" t="s">
        <v>901</v>
      </c>
      <c r="F449">
        <v>2</v>
      </c>
      <c r="G449">
        <v>300</v>
      </c>
      <c r="H449" t="str">
        <f t="shared" si="43"/>
        <v>2x300</v>
      </c>
      <c r="I449">
        <v>140</v>
      </c>
      <c r="J449" s="4">
        <f t="shared" si="44"/>
        <v>3.888888888888889E-2</v>
      </c>
      <c r="K449">
        <v>211</v>
      </c>
      <c r="L449" s="4">
        <f t="shared" si="45"/>
        <v>5.8611111111111114E-2</v>
      </c>
      <c r="M449">
        <v>319</v>
      </c>
      <c r="N449" s="4">
        <f t="shared" si="46"/>
        <v>8.8611111111111099E-2</v>
      </c>
      <c r="O449">
        <v>638</v>
      </c>
      <c r="P449" s="4">
        <f t="shared" si="47"/>
        <v>0.1772222222222222</v>
      </c>
      <c r="Q449" s="6">
        <f t="shared" si="42"/>
        <v>2035</v>
      </c>
      <c r="R449" s="6">
        <f t="shared" si="48"/>
        <v>4</v>
      </c>
      <c r="S449">
        <v>156</v>
      </c>
      <c r="T449">
        <v>-46</v>
      </c>
      <c r="U449">
        <v>-15</v>
      </c>
      <c r="V449">
        <v>4</v>
      </c>
      <c r="W449">
        <v>6</v>
      </c>
      <c r="X449">
        <v>60</v>
      </c>
      <c r="Y449" s="2" t="s">
        <v>902</v>
      </c>
      <c r="Z449">
        <v>45.033625767784002</v>
      </c>
      <c r="AA449">
        <v>11.7774479355824</v>
      </c>
      <c r="AB449" t="s">
        <v>78</v>
      </c>
      <c r="AC449" t="s">
        <v>81</v>
      </c>
      <c r="AD449" t="s">
        <v>82</v>
      </c>
      <c r="AE449">
        <v>15439</v>
      </c>
      <c r="AF449">
        <v>0</v>
      </c>
      <c r="AG449">
        <v>0</v>
      </c>
      <c r="AH449">
        <v>8055</v>
      </c>
      <c r="AI449">
        <v>0</v>
      </c>
      <c r="AJ449">
        <v>7384</v>
      </c>
      <c r="AK449">
        <v>0</v>
      </c>
      <c r="AL449">
        <v>546</v>
      </c>
      <c r="AM449">
        <v>3668</v>
      </c>
      <c r="AN449">
        <v>37187</v>
      </c>
      <c r="AO449">
        <v>76687</v>
      </c>
      <c r="AP449">
        <v>1</v>
      </c>
      <c r="AQ449">
        <v>0</v>
      </c>
      <c r="AR449">
        <v>12</v>
      </c>
      <c r="AS449">
        <v>13</v>
      </c>
      <c r="AT449">
        <v>0</v>
      </c>
      <c r="AU449">
        <v>25</v>
      </c>
      <c r="AV449">
        <v>2</v>
      </c>
      <c r="AW449">
        <v>0</v>
      </c>
      <c r="AX449">
        <v>0</v>
      </c>
      <c r="AY449">
        <v>0</v>
      </c>
      <c r="AZ449">
        <v>0</v>
      </c>
      <c r="BA449">
        <v>4</v>
      </c>
      <c r="BB449">
        <v>7</v>
      </c>
      <c r="BC449">
        <v>4</v>
      </c>
      <c r="BD449">
        <v>2</v>
      </c>
      <c r="BE449">
        <v>0</v>
      </c>
      <c r="BF449">
        <v>2</v>
      </c>
      <c r="BG449">
        <v>0</v>
      </c>
      <c r="BH449">
        <v>2</v>
      </c>
      <c r="BI449">
        <v>0</v>
      </c>
      <c r="BJ449">
        <v>45.033762600000003</v>
      </c>
      <c r="BK449">
        <v>11.7775178</v>
      </c>
      <c r="BL449">
        <v>600</v>
      </c>
      <c r="BM449" t="s">
        <v>83</v>
      </c>
      <c r="BN449" t="s">
        <v>84</v>
      </c>
      <c r="BO449" t="s">
        <v>85</v>
      </c>
      <c r="BP449" t="s">
        <v>160</v>
      </c>
      <c r="BQ449" t="s">
        <v>161</v>
      </c>
      <c r="BR449" t="s">
        <v>900</v>
      </c>
      <c r="BS449">
        <v>292820</v>
      </c>
      <c r="BT449">
        <v>0</v>
      </c>
      <c r="BU449">
        <v>0</v>
      </c>
      <c r="BV449">
        <v>161105</v>
      </c>
      <c r="BW449">
        <v>0</v>
      </c>
      <c r="BX449">
        <v>131715</v>
      </c>
      <c r="BY449">
        <v>0</v>
      </c>
      <c r="BZ449">
        <v>1</v>
      </c>
      <c r="CA449" t="s">
        <v>903</v>
      </c>
      <c r="CB449" t="s">
        <v>904</v>
      </c>
      <c r="CC449" s="3">
        <v>46092.557106481479</v>
      </c>
      <c r="CD449" t="s">
        <v>91</v>
      </c>
    </row>
    <row r="450" spans="1:82" ht="16" x14ac:dyDescent="0.2">
      <c r="A450" t="s">
        <v>1140</v>
      </c>
      <c r="B450" t="s">
        <v>783</v>
      </c>
      <c r="C450" t="s">
        <v>784</v>
      </c>
      <c r="D450" t="s">
        <v>78</v>
      </c>
      <c r="E450" t="s">
        <v>785</v>
      </c>
      <c r="F450">
        <v>2</v>
      </c>
      <c r="G450">
        <v>150</v>
      </c>
      <c r="H450" t="str">
        <f t="shared" si="43"/>
        <v>2x150</v>
      </c>
      <c r="I450">
        <v>139</v>
      </c>
      <c r="J450" s="4">
        <f t="shared" si="44"/>
        <v>4.4551282051282053E-2</v>
      </c>
      <c r="K450">
        <v>209</v>
      </c>
      <c r="L450" s="4">
        <f t="shared" si="45"/>
        <v>6.6987179487179485E-2</v>
      </c>
      <c r="M450">
        <v>317</v>
      </c>
      <c r="N450" s="4">
        <f t="shared" si="46"/>
        <v>0.10160256410256412</v>
      </c>
      <c r="O450">
        <v>633</v>
      </c>
      <c r="P450" s="4">
        <f t="shared" si="47"/>
        <v>0.20288461538461536</v>
      </c>
      <c r="Q450" s="6">
        <f t="shared" ref="Q450:Q513" si="49">IF(J450&gt;=0.13,2026,IF(L450&gt;=0.14,2027,IF(N450&gt;=0.14,2030,IF(P450&gt;=0.14,2035,"later"))))</f>
        <v>2035</v>
      </c>
      <c r="R450" s="6">
        <f t="shared" si="48"/>
        <v>4</v>
      </c>
      <c r="S450">
        <v>135</v>
      </c>
      <c r="T450">
        <v>13</v>
      </c>
      <c r="U450">
        <v>-18</v>
      </c>
      <c r="V450">
        <v>-4</v>
      </c>
      <c r="W450">
        <v>-20</v>
      </c>
      <c r="X450">
        <v>52</v>
      </c>
      <c r="Y450" s="2" t="s">
        <v>786</v>
      </c>
      <c r="Z450">
        <v>45.18929</v>
      </c>
      <c r="AA450">
        <v>7.6367900000000004</v>
      </c>
      <c r="AB450" t="s">
        <v>78</v>
      </c>
      <c r="AC450" t="s">
        <v>81</v>
      </c>
      <c r="AD450" t="s">
        <v>82</v>
      </c>
      <c r="AE450">
        <v>37967</v>
      </c>
      <c r="AF450">
        <v>17307</v>
      </c>
      <c r="AG450">
        <v>0</v>
      </c>
      <c r="AH450">
        <v>0</v>
      </c>
      <c r="AI450">
        <v>14286</v>
      </c>
      <c r="AJ450">
        <v>6374</v>
      </c>
      <c r="AK450">
        <v>0</v>
      </c>
      <c r="AL450">
        <v>1307</v>
      </c>
      <c r="AM450">
        <v>11484</v>
      </c>
      <c r="AN450">
        <v>44628</v>
      </c>
      <c r="AO450">
        <v>222309</v>
      </c>
      <c r="AP450">
        <v>0</v>
      </c>
      <c r="AQ450">
        <v>0</v>
      </c>
      <c r="AR450">
        <v>3</v>
      </c>
      <c r="AS450">
        <v>1</v>
      </c>
      <c r="AT450">
        <v>0</v>
      </c>
      <c r="AU450">
        <v>8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24</v>
      </c>
      <c r="BB450">
        <v>38</v>
      </c>
      <c r="BC450">
        <v>6</v>
      </c>
      <c r="BD450">
        <v>0</v>
      </c>
      <c r="BE450">
        <v>0</v>
      </c>
      <c r="BF450">
        <v>4</v>
      </c>
      <c r="BG450">
        <v>6</v>
      </c>
      <c r="BH450">
        <v>12</v>
      </c>
      <c r="BI450">
        <v>6</v>
      </c>
      <c r="BJ450">
        <v>45.189247000000002</v>
      </c>
      <c r="BK450">
        <v>7.6367756</v>
      </c>
      <c r="BL450">
        <v>300</v>
      </c>
      <c r="BM450" t="s">
        <v>83</v>
      </c>
      <c r="BN450" t="s">
        <v>84</v>
      </c>
      <c r="BO450" t="s">
        <v>85</v>
      </c>
      <c r="BP450" t="s">
        <v>107</v>
      </c>
      <c r="BQ450" t="s">
        <v>203</v>
      </c>
      <c r="BR450" t="s">
        <v>204</v>
      </c>
      <c r="BS450">
        <v>759418</v>
      </c>
      <c r="BT450">
        <v>346143</v>
      </c>
      <c r="BU450">
        <v>0</v>
      </c>
      <c r="BV450">
        <v>0</v>
      </c>
      <c r="BW450">
        <v>285740</v>
      </c>
      <c r="BX450">
        <v>127535</v>
      </c>
      <c r="BY450">
        <v>0</v>
      </c>
      <c r="BZ450">
        <v>1</v>
      </c>
      <c r="CA450" t="s">
        <v>787</v>
      </c>
      <c r="CB450" t="s">
        <v>788</v>
      </c>
      <c r="CC450" s="3">
        <v>46092.557106481479</v>
      </c>
      <c r="CD450" t="s">
        <v>91</v>
      </c>
    </row>
    <row r="451" spans="1:82" ht="16" x14ac:dyDescent="0.2">
      <c r="A451" t="s">
        <v>905</v>
      </c>
      <c r="B451" t="s">
        <v>906</v>
      </c>
      <c r="C451" t="s">
        <v>907</v>
      </c>
      <c r="D451" t="s">
        <v>78</v>
      </c>
      <c r="E451" t="s">
        <v>908</v>
      </c>
      <c r="F451">
        <v>2</v>
      </c>
      <c r="G451">
        <v>300</v>
      </c>
      <c r="H451" t="str">
        <f t="shared" ref="H451:H514" si="50">F451&amp;"x"&amp;G451</f>
        <v>2x300</v>
      </c>
      <c r="I451">
        <v>137</v>
      </c>
      <c r="J451" s="4">
        <f t="shared" ref="J451:J514" si="51">IF($G451=300,I451/75/$F451/24,IF($G451=150,I451/65/$F451/24,I451/40/$F451/24))</f>
        <v>3.8055555555555558E-2</v>
      </c>
      <c r="K451">
        <v>206</v>
      </c>
      <c r="L451" s="4">
        <f t="shared" ref="L451:L514" si="52">IF($G451=300,K451/75/$F451/24,IF($G451=150,K451/65/$F451/24,K451/40/$F451/24))</f>
        <v>5.7222222222222223E-2</v>
      </c>
      <c r="M451">
        <v>313</v>
      </c>
      <c r="N451" s="4">
        <f t="shared" ref="N451:N514" si="53">IF($G451=300,M451/75/$F451/24,IF($G451=150,M451/65/$F451/24,M451/40/$F451/24))</f>
        <v>8.6944444444444435E-2</v>
      </c>
      <c r="O451">
        <v>624</v>
      </c>
      <c r="P451" s="4">
        <f t="shared" ref="P451:P514" si="54">IF($G451=300,O451/75/$F451/24,IF($G451=150,O451/65/$F451/24,O451/40/$F451/24))</f>
        <v>0.17333333333333334</v>
      </c>
      <c r="Q451" s="6">
        <f t="shared" si="49"/>
        <v>2035</v>
      </c>
      <c r="R451" s="6">
        <f t="shared" ref="R451:R514" si="55">IF(Q451=2026,1,IF(Q451=2027,2,IF(Q451=2030,3,IF(Q451=2035,4,666))))</f>
        <v>4</v>
      </c>
      <c r="S451">
        <v>156</v>
      </c>
      <c r="T451">
        <v>-43</v>
      </c>
      <c r="U451">
        <v>-15</v>
      </c>
      <c r="V451">
        <v>4</v>
      </c>
      <c r="W451">
        <v>-2</v>
      </c>
      <c r="X451">
        <v>58</v>
      </c>
      <c r="Y451" s="2" t="s">
        <v>909</v>
      </c>
      <c r="Z451">
        <v>42.348129999999998</v>
      </c>
      <c r="AA451">
        <v>13.351430000000001</v>
      </c>
      <c r="AB451" t="s">
        <v>78</v>
      </c>
      <c r="AC451" t="s">
        <v>81</v>
      </c>
      <c r="AD451" t="s">
        <v>82</v>
      </c>
      <c r="AE451">
        <v>1928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1928</v>
      </c>
      <c r="AL451">
        <v>254</v>
      </c>
      <c r="AM451">
        <v>2747</v>
      </c>
      <c r="AN451">
        <v>35329</v>
      </c>
      <c r="AO451">
        <v>75093</v>
      </c>
      <c r="AP451">
        <v>1</v>
      </c>
      <c r="AQ451">
        <v>0</v>
      </c>
      <c r="AR451">
        <v>4</v>
      </c>
      <c r="AS451">
        <v>14</v>
      </c>
      <c r="AT451">
        <v>1</v>
      </c>
      <c r="AU451">
        <v>15</v>
      </c>
      <c r="AV451">
        <v>1</v>
      </c>
      <c r="AW451">
        <v>0</v>
      </c>
      <c r="AX451">
        <v>0</v>
      </c>
      <c r="AY451">
        <v>1</v>
      </c>
      <c r="AZ451">
        <v>3</v>
      </c>
      <c r="BA451">
        <v>6</v>
      </c>
      <c r="BB451">
        <v>10</v>
      </c>
      <c r="BC451">
        <v>2</v>
      </c>
      <c r="BD451">
        <v>4</v>
      </c>
      <c r="BE451">
        <v>0</v>
      </c>
      <c r="BF451">
        <v>4</v>
      </c>
      <c r="BG451">
        <v>0</v>
      </c>
      <c r="BH451">
        <v>4</v>
      </c>
      <c r="BI451">
        <v>0</v>
      </c>
      <c r="BJ451">
        <v>42.348097500000002</v>
      </c>
      <c r="BK451">
        <v>13.351402800000001</v>
      </c>
      <c r="BL451">
        <v>600</v>
      </c>
      <c r="BM451" t="s">
        <v>83</v>
      </c>
      <c r="BN451" t="s">
        <v>84</v>
      </c>
      <c r="BO451" t="s">
        <v>85</v>
      </c>
      <c r="BP451" t="s">
        <v>97</v>
      </c>
      <c r="BQ451" t="s">
        <v>870</v>
      </c>
      <c r="BR451" t="s">
        <v>910</v>
      </c>
      <c r="BS451">
        <v>38573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38573</v>
      </c>
      <c r="BZ451">
        <v>1</v>
      </c>
      <c r="CA451" t="s">
        <v>911</v>
      </c>
      <c r="CB451" t="s">
        <v>912</v>
      </c>
      <c r="CC451" s="3">
        <v>46092.557106481479</v>
      </c>
      <c r="CD451" t="s">
        <v>91</v>
      </c>
    </row>
    <row r="452" spans="1:82" ht="16" x14ac:dyDescent="0.2">
      <c r="A452" t="s">
        <v>913</v>
      </c>
      <c r="B452" t="s">
        <v>914</v>
      </c>
      <c r="C452" t="s">
        <v>915</v>
      </c>
      <c r="D452" t="s">
        <v>78</v>
      </c>
      <c r="E452" t="s">
        <v>916</v>
      </c>
      <c r="F452">
        <v>2</v>
      </c>
      <c r="G452">
        <v>300</v>
      </c>
      <c r="H452" t="str">
        <f t="shared" si="50"/>
        <v>2x300</v>
      </c>
      <c r="I452">
        <v>136</v>
      </c>
      <c r="J452" s="4">
        <f t="shared" si="51"/>
        <v>3.7777777777777778E-2</v>
      </c>
      <c r="K452">
        <v>206</v>
      </c>
      <c r="L452" s="4">
        <f t="shared" si="52"/>
        <v>5.7222222222222223E-2</v>
      </c>
      <c r="M452">
        <v>312</v>
      </c>
      <c r="N452" s="4">
        <f t="shared" si="53"/>
        <v>8.666666666666667E-2</v>
      </c>
      <c r="O452">
        <v>622</v>
      </c>
      <c r="P452" s="4">
        <f t="shared" si="54"/>
        <v>0.17277777777777778</v>
      </c>
      <c r="Q452" s="6">
        <f t="shared" si="49"/>
        <v>2035</v>
      </c>
      <c r="R452" s="6">
        <f t="shared" si="55"/>
        <v>4</v>
      </c>
      <c r="S452">
        <v>156</v>
      </c>
      <c r="T452">
        <v>-28</v>
      </c>
      <c r="U452">
        <v>-19</v>
      </c>
      <c r="V452">
        <v>7</v>
      </c>
      <c r="W452">
        <v>-16</v>
      </c>
      <c r="X452">
        <v>59</v>
      </c>
      <c r="Y452" s="2" t="s">
        <v>917</v>
      </c>
      <c r="Z452">
        <v>40.953808000000002</v>
      </c>
      <c r="AA452">
        <v>9.4968459999999997</v>
      </c>
      <c r="AB452" t="s">
        <v>78</v>
      </c>
      <c r="AC452" t="s">
        <v>81</v>
      </c>
      <c r="AD452" t="s">
        <v>82</v>
      </c>
      <c r="AE452">
        <v>20002</v>
      </c>
      <c r="AF452">
        <v>0</v>
      </c>
      <c r="AG452">
        <v>18988</v>
      </c>
      <c r="AH452">
        <v>0</v>
      </c>
      <c r="AI452">
        <v>0</v>
      </c>
      <c r="AJ452">
        <v>1014</v>
      </c>
      <c r="AK452">
        <v>0</v>
      </c>
      <c r="AL452">
        <v>2107</v>
      </c>
      <c r="AM452">
        <v>7799</v>
      </c>
      <c r="AN452">
        <v>43421</v>
      </c>
      <c r="AO452">
        <v>51734</v>
      </c>
      <c r="AP452">
        <v>1</v>
      </c>
      <c r="AQ452">
        <v>2</v>
      </c>
      <c r="AR452">
        <v>4</v>
      </c>
      <c r="AS452">
        <v>3</v>
      </c>
      <c r="AT452">
        <v>2</v>
      </c>
      <c r="AU452">
        <v>20</v>
      </c>
      <c r="AV452">
        <v>4</v>
      </c>
      <c r="AW452">
        <v>0</v>
      </c>
      <c r="AX452">
        <v>2</v>
      </c>
      <c r="AY452">
        <v>0</v>
      </c>
      <c r="AZ452">
        <v>4</v>
      </c>
      <c r="BA452">
        <v>10</v>
      </c>
      <c r="BB452">
        <v>28</v>
      </c>
      <c r="BC452">
        <v>8</v>
      </c>
      <c r="BD452">
        <v>0</v>
      </c>
      <c r="BE452">
        <v>0</v>
      </c>
      <c r="BF452">
        <v>8</v>
      </c>
      <c r="BG452">
        <v>0</v>
      </c>
      <c r="BH452">
        <v>12</v>
      </c>
      <c r="BI452">
        <v>0</v>
      </c>
      <c r="BJ452">
        <v>40.953898199999998</v>
      </c>
      <c r="BK452">
        <v>9.4970441000000001</v>
      </c>
      <c r="BL452">
        <v>600</v>
      </c>
      <c r="BM452" t="s">
        <v>83</v>
      </c>
      <c r="BN452" t="s">
        <v>84</v>
      </c>
      <c r="BO452" t="s">
        <v>85</v>
      </c>
      <c r="BP452" t="s">
        <v>242</v>
      </c>
      <c r="BQ452" t="s">
        <v>335</v>
      </c>
      <c r="BR452" t="s">
        <v>918</v>
      </c>
      <c r="BS452">
        <v>385997</v>
      </c>
      <c r="BT452">
        <v>0</v>
      </c>
      <c r="BU452">
        <v>365704</v>
      </c>
      <c r="BV452">
        <v>0</v>
      </c>
      <c r="BW452">
        <v>0</v>
      </c>
      <c r="BX452">
        <v>20293</v>
      </c>
      <c r="BY452">
        <v>0</v>
      </c>
      <c r="BZ452">
        <v>1</v>
      </c>
      <c r="CA452" t="s">
        <v>919</v>
      </c>
      <c r="CB452" t="s">
        <v>920</v>
      </c>
      <c r="CC452" s="3">
        <v>46092.557106481479</v>
      </c>
      <c r="CD452" t="s">
        <v>91</v>
      </c>
    </row>
    <row r="453" spans="1:82" ht="16" x14ac:dyDescent="0.2">
      <c r="A453" t="s">
        <v>1141</v>
      </c>
      <c r="B453" t="s">
        <v>790</v>
      </c>
      <c r="C453" t="s">
        <v>791</v>
      </c>
      <c r="D453" t="s">
        <v>78</v>
      </c>
      <c r="E453" t="s">
        <v>792</v>
      </c>
      <c r="F453">
        <v>2</v>
      </c>
      <c r="G453">
        <v>150</v>
      </c>
      <c r="H453" t="str">
        <f t="shared" si="50"/>
        <v>2x150</v>
      </c>
      <c r="I453">
        <v>136</v>
      </c>
      <c r="J453" s="4">
        <f t="shared" si="51"/>
        <v>4.3589743589743594E-2</v>
      </c>
      <c r="K453">
        <v>205</v>
      </c>
      <c r="L453" s="4">
        <f t="shared" si="52"/>
        <v>6.5705128205128208E-2</v>
      </c>
      <c r="M453">
        <v>311</v>
      </c>
      <c r="N453" s="4">
        <f t="shared" si="53"/>
        <v>9.9679487179487172E-2</v>
      </c>
      <c r="O453">
        <v>622</v>
      </c>
      <c r="P453" s="4">
        <f t="shared" si="54"/>
        <v>0.19935897435897434</v>
      </c>
      <c r="Q453" s="6">
        <f t="shared" si="49"/>
        <v>2035</v>
      </c>
      <c r="R453" s="6">
        <f t="shared" si="55"/>
        <v>4</v>
      </c>
      <c r="S453">
        <v>135</v>
      </c>
      <c r="T453">
        <v>19</v>
      </c>
      <c r="U453">
        <v>-21</v>
      </c>
      <c r="V453">
        <v>-7</v>
      </c>
      <c r="W453">
        <v>-19</v>
      </c>
      <c r="X453">
        <v>46</v>
      </c>
      <c r="Y453" s="2" t="s">
        <v>793</v>
      </c>
      <c r="Z453">
        <v>46.086127612709298</v>
      </c>
      <c r="AA453">
        <v>11.1180209355824</v>
      </c>
      <c r="AB453" t="s">
        <v>78</v>
      </c>
      <c r="AC453" t="s">
        <v>81</v>
      </c>
      <c r="AD453" t="s">
        <v>82</v>
      </c>
      <c r="AE453">
        <v>64671</v>
      </c>
      <c r="AF453">
        <v>0</v>
      </c>
      <c r="AG453">
        <v>20781</v>
      </c>
      <c r="AH453">
        <v>7492</v>
      </c>
      <c r="AI453">
        <v>0</v>
      </c>
      <c r="AJ453">
        <v>31808</v>
      </c>
      <c r="AK453">
        <v>4590</v>
      </c>
      <c r="AL453">
        <v>10279</v>
      </c>
      <c r="AM453">
        <v>31214</v>
      </c>
      <c r="AN453">
        <v>98782</v>
      </c>
      <c r="AO453">
        <v>157068</v>
      </c>
      <c r="AP453">
        <v>6</v>
      </c>
      <c r="AQ453">
        <v>0</v>
      </c>
      <c r="AR453">
        <v>4</v>
      </c>
      <c r="AS453">
        <v>13</v>
      </c>
      <c r="AT453">
        <v>1</v>
      </c>
      <c r="AU453">
        <v>29</v>
      </c>
      <c r="AV453">
        <v>6</v>
      </c>
      <c r="AW453">
        <v>0</v>
      </c>
      <c r="AX453">
        <v>0</v>
      </c>
      <c r="AY453">
        <v>0</v>
      </c>
      <c r="AZ453">
        <v>1</v>
      </c>
      <c r="BA453">
        <v>14</v>
      </c>
      <c r="BB453">
        <v>36</v>
      </c>
      <c r="BC453">
        <v>8</v>
      </c>
      <c r="BD453">
        <v>2</v>
      </c>
      <c r="BE453">
        <v>0</v>
      </c>
      <c r="BF453">
        <v>6</v>
      </c>
      <c r="BG453">
        <v>6</v>
      </c>
      <c r="BH453">
        <v>7</v>
      </c>
      <c r="BI453">
        <v>6</v>
      </c>
      <c r="BJ453">
        <v>46.08625</v>
      </c>
      <c r="BK453">
        <v>11.1184999</v>
      </c>
      <c r="BL453">
        <v>300</v>
      </c>
      <c r="BM453" t="s">
        <v>83</v>
      </c>
      <c r="BN453" t="s">
        <v>84</v>
      </c>
      <c r="BO453" t="s">
        <v>85</v>
      </c>
      <c r="BP453" t="s">
        <v>160</v>
      </c>
      <c r="BQ453" t="s">
        <v>794</v>
      </c>
      <c r="BR453" t="s">
        <v>791</v>
      </c>
      <c r="BS453">
        <v>1293541</v>
      </c>
      <c r="BT453">
        <v>0</v>
      </c>
      <c r="BU453">
        <v>415630</v>
      </c>
      <c r="BV453">
        <v>149852</v>
      </c>
      <c r="BW453">
        <v>0</v>
      </c>
      <c r="BX453">
        <v>636222</v>
      </c>
      <c r="BY453">
        <v>91837</v>
      </c>
      <c r="BZ453">
        <v>1</v>
      </c>
      <c r="CA453" t="s">
        <v>795</v>
      </c>
      <c r="CB453" t="s">
        <v>796</v>
      </c>
      <c r="CC453" s="3">
        <v>46092.557106481479</v>
      </c>
      <c r="CD453" t="s">
        <v>91</v>
      </c>
    </row>
    <row r="454" spans="1:82" ht="16" x14ac:dyDescent="0.2">
      <c r="A454" t="s">
        <v>921</v>
      </c>
      <c r="B454" t="s">
        <v>922</v>
      </c>
      <c r="C454" t="s">
        <v>923</v>
      </c>
      <c r="D454" t="s">
        <v>78</v>
      </c>
      <c r="E454" t="s">
        <v>924</v>
      </c>
      <c r="F454">
        <v>2</v>
      </c>
      <c r="G454">
        <v>300</v>
      </c>
      <c r="H454" t="str">
        <f t="shared" si="50"/>
        <v>2x300</v>
      </c>
      <c r="I454">
        <v>135</v>
      </c>
      <c r="J454" s="4">
        <f t="shared" si="51"/>
        <v>3.7499999999999999E-2</v>
      </c>
      <c r="K454">
        <v>205</v>
      </c>
      <c r="L454" s="4">
        <f t="shared" si="52"/>
        <v>5.6944444444444443E-2</v>
      </c>
      <c r="M454">
        <v>310</v>
      </c>
      <c r="N454" s="4">
        <f t="shared" si="53"/>
        <v>8.6111111111111124E-2</v>
      </c>
      <c r="O454">
        <v>619</v>
      </c>
      <c r="P454" s="4">
        <f t="shared" si="54"/>
        <v>0.17194444444444446</v>
      </c>
      <c r="Q454" s="6">
        <f t="shared" si="49"/>
        <v>2035</v>
      </c>
      <c r="R454" s="6">
        <f t="shared" si="55"/>
        <v>4</v>
      </c>
      <c r="S454">
        <v>156</v>
      </c>
      <c r="T454">
        <v>-42</v>
      </c>
      <c r="U454">
        <v>-16</v>
      </c>
      <c r="V454">
        <v>0</v>
      </c>
      <c r="W454">
        <v>-1</v>
      </c>
      <c r="X454">
        <v>62</v>
      </c>
      <c r="Y454" s="2" t="s">
        <v>925</v>
      </c>
      <c r="Z454">
        <v>43.7368691033315</v>
      </c>
      <c r="AA454">
        <v>10.803782449077</v>
      </c>
      <c r="AB454" t="s">
        <v>78</v>
      </c>
      <c r="AC454" t="s">
        <v>81</v>
      </c>
      <c r="AD454" t="s">
        <v>82</v>
      </c>
      <c r="AE454">
        <v>25230</v>
      </c>
      <c r="AF454">
        <v>0</v>
      </c>
      <c r="AG454">
        <v>0</v>
      </c>
      <c r="AH454">
        <v>0</v>
      </c>
      <c r="AI454">
        <v>10953</v>
      </c>
      <c r="AJ454">
        <v>11891</v>
      </c>
      <c r="AK454">
        <v>2386</v>
      </c>
      <c r="AL454">
        <v>6009</v>
      </c>
      <c r="AM454">
        <v>14149</v>
      </c>
      <c r="AN454">
        <v>39112</v>
      </c>
      <c r="AO454">
        <v>113675</v>
      </c>
      <c r="AP454">
        <v>7</v>
      </c>
      <c r="AQ454">
        <v>0</v>
      </c>
      <c r="AR454">
        <v>3</v>
      </c>
      <c r="AS454">
        <v>2</v>
      </c>
      <c r="AT454">
        <v>0</v>
      </c>
      <c r="AU454">
        <v>15</v>
      </c>
      <c r="AV454">
        <v>3</v>
      </c>
      <c r="AW454">
        <v>0</v>
      </c>
      <c r="AX454">
        <v>0</v>
      </c>
      <c r="AY454">
        <v>0</v>
      </c>
      <c r="AZ454">
        <v>4</v>
      </c>
      <c r="BA454">
        <v>0</v>
      </c>
      <c r="BB454">
        <v>4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43.736789899999998</v>
      </c>
      <c r="BK454">
        <v>10.8037999</v>
      </c>
      <c r="BL454">
        <v>600</v>
      </c>
      <c r="BM454" t="s">
        <v>83</v>
      </c>
      <c r="BN454" t="s">
        <v>84</v>
      </c>
      <c r="BO454" t="s">
        <v>85</v>
      </c>
      <c r="BP454" t="s">
        <v>86</v>
      </c>
      <c r="BQ454" t="s">
        <v>212</v>
      </c>
      <c r="BR454" t="s">
        <v>213</v>
      </c>
      <c r="BS454">
        <v>504692</v>
      </c>
      <c r="BT454">
        <v>0</v>
      </c>
      <c r="BU454">
        <v>0</v>
      </c>
      <c r="BV454">
        <v>0</v>
      </c>
      <c r="BW454">
        <v>219083</v>
      </c>
      <c r="BX454">
        <v>237844</v>
      </c>
      <c r="BY454">
        <v>47765</v>
      </c>
      <c r="BZ454">
        <v>1</v>
      </c>
      <c r="CA454" t="s">
        <v>926</v>
      </c>
      <c r="CB454" t="s">
        <v>927</v>
      </c>
      <c r="CC454" s="3">
        <v>46092.557106481479</v>
      </c>
      <c r="CD454" t="s">
        <v>91</v>
      </c>
    </row>
    <row r="455" spans="1:82" ht="16" x14ac:dyDescent="0.2">
      <c r="A455" t="s">
        <v>928</v>
      </c>
      <c r="B455" t="s">
        <v>929</v>
      </c>
      <c r="C455" t="s">
        <v>930</v>
      </c>
      <c r="D455" t="s">
        <v>78</v>
      </c>
      <c r="E455" t="s">
        <v>931</v>
      </c>
      <c r="F455">
        <v>2</v>
      </c>
      <c r="G455">
        <v>300</v>
      </c>
      <c r="H455" t="str">
        <f t="shared" si="50"/>
        <v>2x300</v>
      </c>
      <c r="I455">
        <v>135</v>
      </c>
      <c r="J455" s="4">
        <f t="shared" si="51"/>
        <v>3.7499999999999999E-2</v>
      </c>
      <c r="K455">
        <v>204</v>
      </c>
      <c r="L455" s="4">
        <f t="shared" si="52"/>
        <v>5.6666666666666671E-2</v>
      </c>
      <c r="M455">
        <v>309</v>
      </c>
      <c r="N455" s="4">
        <f t="shared" si="53"/>
        <v>8.5833333333333331E-2</v>
      </c>
      <c r="O455">
        <v>617</v>
      </c>
      <c r="P455" s="4">
        <f t="shared" si="54"/>
        <v>0.1713888888888889</v>
      </c>
      <c r="Q455" s="6">
        <f t="shared" si="49"/>
        <v>2035</v>
      </c>
      <c r="R455" s="6">
        <f t="shared" si="55"/>
        <v>4</v>
      </c>
      <c r="S455">
        <v>156</v>
      </c>
      <c r="T455">
        <v>-52</v>
      </c>
      <c r="U455">
        <v>-19</v>
      </c>
      <c r="V455">
        <v>10</v>
      </c>
      <c r="W455">
        <v>1</v>
      </c>
      <c r="X455">
        <v>63</v>
      </c>
      <c r="Y455" s="2" t="s">
        <v>932</v>
      </c>
      <c r="Z455">
        <v>43.879240000000003</v>
      </c>
      <c r="AA455">
        <v>8.0056799999999999</v>
      </c>
      <c r="AB455" t="s">
        <v>78</v>
      </c>
      <c r="AC455" t="s">
        <v>81</v>
      </c>
      <c r="AD455" t="s">
        <v>82</v>
      </c>
      <c r="AE455">
        <v>20088</v>
      </c>
      <c r="AF455">
        <v>0</v>
      </c>
      <c r="AG455">
        <v>0</v>
      </c>
      <c r="AH455">
        <v>18821</v>
      </c>
      <c r="AI455">
        <v>0</v>
      </c>
      <c r="AJ455">
        <v>1138</v>
      </c>
      <c r="AK455">
        <v>129</v>
      </c>
      <c r="AL455">
        <v>7487</v>
      </c>
      <c r="AM455">
        <v>16661</v>
      </c>
      <c r="AN455">
        <v>44436</v>
      </c>
      <c r="AO455">
        <v>66441</v>
      </c>
      <c r="AP455">
        <v>3</v>
      </c>
      <c r="AQ455">
        <v>0</v>
      </c>
      <c r="AR455">
        <v>2</v>
      </c>
      <c r="AS455">
        <v>10</v>
      </c>
      <c r="AT455">
        <v>0</v>
      </c>
      <c r="AU455">
        <v>18</v>
      </c>
      <c r="AV455">
        <v>0</v>
      </c>
      <c r="AW455">
        <v>0</v>
      </c>
      <c r="AX455">
        <v>3</v>
      </c>
      <c r="AY455">
        <v>0</v>
      </c>
      <c r="AZ455">
        <v>1</v>
      </c>
      <c r="BA455">
        <v>6</v>
      </c>
      <c r="BB455">
        <v>11</v>
      </c>
      <c r="BC455">
        <v>1</v>
      </c>
      <c r="BD455">
        <v>2</v>
      </c>
      <c r="BE455">
        <v>0</v>
      </c>
      <c r="BF455">
        <v>4</v>
      </c>
      <c r="BG455">
        <v>0</v>
      </c>
      <c r="BH455">
        <v>4</v>
      </c>
      <c r="BI455">
        <v>0</v>
      </c>
      <c r="BJ455">
        <v>43.879238399999998</v>
      </c>
      <c r="BK455">
        <v>8.0056733999999992</v>
      </c>
      <c r="BL455">
        <v>600</v>
      </c>
      <c r="BM455" t="s">
        <v>83</v>
      </c>
      <c r="BN455" t="s">
        <v>84</v>
      </c>
      <c r="BO455" t="s">
        <v>85</v>
      </c>
      <c r="BP455" t="s">
        <v>107</v>
      </c>
      <c r="BQ455" t="s">
        <v>569</v>
      </c>
      <c r="BR455" t="s">
        <v>930</v>
      </c>
      <c r="BS455">
        <v>401795</v>
      </c>
      <c r="BT455">
        <v>0</v>
      </c>
      <c r="BU455">
        <v>0</v>
      </c>
      <c r="BV455">
        <v>376434</v>
      </c>
      <c r="BW455">
        <v>0</v>
      </c>
      <c r="BX455">
        <v>22769</v>
      </c>
      <c r="BY455">
        <v>2592</v>
      </c>
      <c r="BZ455">
        <v>1</v>
      </c>
      <c r="CA455" t="s">
        <v>933</v>
      </c>
      <c r="CB455" t="s">
        <v>934</v>
      </c>
      <c r="CC455" s="3">
        <v>46092.557106481479</v>
      </c>
      <c r="CD455" t="s">
        <v>91</v>
      </c>
    </row>
    <row r="456" spans="1:82" ht="16" x14ac:dyDescent="0.2">
      <c r="A456" t="s">
        <v>935</v>
      </c>
      <c r="B456" t="s">
        <v>936</v>
      </c>
      <c r="C456" t="s">
        <v>937</v>
      </c>
      <c r="D456" t="s">
        <v>78</v>
      </c>
      <c r="E456" t="s">
        <v>938</v>
      </c>
      <c r="F456">
        <v>2</v>
      </c>
      <c r="G456">
        <v>300</v>
      </c>
      <c r="H456" t="str">
        <f t="shared" si="50"/>
        <v>2x300</v>
      </c>
      <c r="I456">
        <v>135</v>
      </c>
      <c r="J456" s="4">
        <f t="shared" si="51"/>
        <v>3.7499999999999999E-2</v>
      </c>
      <c r="K456">
        <v>203</v>
      </c>
      <c r="L456" s="4">
        <f t="shared" si="52"/>
        <v>5.6388888888888884E-2</v>
      </c>
      <c r="M456">
        <v>309</v>
      </c>
      <c r="N456" s="4">
        <f t="shared" si="53"/>
        <v>8.5833333333333331E-2</v>
      </c>
      <c r="O456">
        <v>616</v>
      </c>
      <c r="P456" s="4">
        <f t="shared" si="54"/>
        <v>0.1711111111111111</v>
      </c>
      <c r="Q456" s="6">
        <f t="shared" si="49"/>
        <v>2035</v>
      </c>
      <c r="R456" s="6">
        <f t="shared" si="55"/>
        <v>4</v>
      </c>
      <c r="S456">
        <v>156</v>
      </c>
      <c r="T456">
        <v>-42</v>
      </c>
      <c r="U456">
        <v>-15</v>
      </c>
      <c r="V456">
        <v>-4</v>
      </c>
      <c r="W456">
        <v>1</v>
      </c>
      <c r="X456">
        <v>63</v>
      </c>
      <c r="Y456" s="2" t="s">
        <v>939</v>
      </c>
      <c r="Z456">
        <v>45.1772572587208</v>
      </c>
      <c r="AA456">
        <v>9.6325682644175608</v>
      </c>
      <c r="AB456" t="s">
        <v>78</v>
      </c>
      <c r="AC456" t="s">
        <v>81</v>
      </c>
      <c r="AD456" t="s">
        <v>82</v>
      </c>
      <c r="AE456">
        <v>16167</v>
      </c>
      <c r="AF456">
        <v>0</v>
      </c>
      <c r="AG456">
        <v>0</v>
      </c>
      <c r="AH456">
        <v>0</v>
      </c>
      <c r="AI456">
        <v>10960</v>
      </c>
      <c r="AJ456">
        <v>3781</v>
      </c>
      <c r="AK456">
        <v>1426</v>
      </c>
      <c r="AL456">
        <v>3443</v>
      </c>
      <c r="AM456">
        <v>12794</v>
      </c>
      <c r="AN456">
        <v>25198</v>
      </c>
      <c r="AO456">
        <v>69509</v>
      </c>
      <c r="AP456">
        <v>1</v>
      </c>
      <c r="AQ456">
        <v>0</v>
      </c>
      <c r="AR456">
        <v>1</v>
      </c>
      <c r="AS456">
        <v>7</v>
      </c>
      <c r="AT456">
        <v>0</v>
      </c>
      <c r="AU456">
        <v>15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3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45.1774171</v>
      </c>
      <c r="BK456">
        <v>9.6324953999999998</v>
      </c>
      <c r="BL456">
        <v>600</v>
      </c>
      <c r="BM456" t="s">
        <v>83</v>
      </c>
      <c r="BN456" t="s">
        <v>84</v>
      </c>
      <c r="BO456" t="s">
        <v>85</v>
      </c>
      <c r="BP456" t="s">
        <v>107</v>
      </c>
      <c r="BQ456" t="s">
        <v>108</v>
      </c>
      <c r="BR456" t="s">
        <v>539</v>
      </c>
      <c r="BS456">
        <v>323461</v>
      </c>
      <c r="BT456">
        <v>0</v>
      </c>
      <c r="BU456">
        <v>0</v>
      </c>
      <c r="BV456">
        <v>0</v>
      </c>
      <c r="BW456">
        <v>219222</v>
      </c>
      <c r="BX456">
        <v>75698</v>
      </c>
      <c r="BY456">
        <v>28541</v>
      </c>
      <c r="BZ456">
        <v>1</v>
      </c>
      <c r="CA456" t="s">
        <v>940</v>
      </c>
      <c r="CB456" t="s">
        <v>941</v>
      </c>
      <c r="CC456" s="3">
        <v>46092.557106481479</v>
      </c>
      <c r="CD456" t="s">
        <v>91</v>
      </c>
    </row>
    <row r="457" spans="1:82" ht="16" x14ac:dyDescent="0.2">
      <c r="A457" t="s">
        <v>942</v>
      </c>
      <c r="B457" t="s">
        <v>943</v>
      </c>
      <c r="C457" t="s">
        <v>944</v>
      </c>
      <c r="D457" t="s">
        <v>78</v>
      </c>
      <c r="E457" t="s">
        <v>945</v>
      </c>
      <c r="F457">
        <v>2</v>
      </c>
      <c r="G457">
        <v>300</v>
      </c>
      <c r="H457" t="str">
        <f t="shared" si="50"/>
        <v>2x300</v>
      </c>
      <c r="I457">
        <v>134</v>
      </c>
      <c r="J457" s="4">
        <f t="shared" si="51"/>
        <v>3.7222222222222219E-2</v>
      </c>
      <c r="K457">
        <v>202</v>
      </c>
      <c r="L457" s="4">
        <f t="shared" si="52"/>
        <v>5.6111111111111112E-2</v>
      </c>
      <c r="M457">
        <v>307</v>
      </c>
      <c r="N457" s="4">
        <f t="shared" si="53"/>
        <v>8.5277777777777786E-2</v>
      </c>
      <c r="O457">
        <v>612</v>
      </c>
      <c r="P457" s="4">
        <f t="shared" si="54"/>
        <v>0.17</v>
      </c>
      <c r="Q457" s="6">
        <f t="shared" si="49"/>
        <v>2035</v>
      </c>
      <c r="R457" s="6">
        <f t="shared" si="55"/>
        <v>4</v>
      </c>
      <c r="S457">
        <v>156</v>
      </c>
      <c r="T457">
        <v>-45</v>
      </c>
      <c r="U457">
        <v>-16</v>
      </c>
      <c r="V457">
        <v>14</v>
      </c>
      <c r="W457">
        <v>-7</v>
      </c>
      <c r="X457">
        <v>55</v>
      </c>
      <c r="Y457" s="2" t="s">
        <v>946</v>
      </c>
      <c r="Z457">
        <v>42.03931</v>
      </c>
      <c r="AA457">
        <v>13.42216</v>
      </c>
      <c r="AB457" t="s">
        <v>78</v>
      </c>
      <c r="AC457" t="s">
        <v>81</v>
      </c>
      <c r="AD457" t="s">
        <v>82</v>
      </c>
      <c r="AE457">
        <v>16751</v>
      </c>
      <c r="AF457">
        <v>0</v>
      </c>
      <c r="AG457">
        <v>0</v>
      </c>
      <c r="AH457">
        <v>12529</v>
      </c>
      <c r="AI457">
        <v>0</v>
      </c>
      <c r="AJ457">
        <v>0</v>
      </c>
      <c r="AK457">
        <v>4222</v>
      </c>
      <c r="AL457">
        <v>12259</v>
      </c>
      <c r="AM457">
        <v>30237</v>
      </c>
      <c r="AN457">
        <v>41746</v>
      </c>
      <c r="AO457">
        <v>61317</v>
      </c>
      <c r="AP457">
        <v>7</v>
      </c>
      <c r="AQ457">
        <v>0</v>
      </c>
      <c r="AR457">
        <v>7</v>
      </c>
      <c r="AS457">
        <v>6</v>
      </c>
      <c r="AT457">
        <v>1</v>
      </c>
      <c r="AU457">
        <v>27</v>
      </c>
      <c r="AV457">
        <v>8</v>
      </c>
      <c r="AW457">
        <v>1</v>
      </c>
      <c r="AX457">
        <v>0</v>
      </c>
      <c r="AY457">
        <v>1</v>
      </c>
      <c r="AZ457">
        <v>2</v>
      </c>
      <c r="BA457">
        <v>6</v>
      </c>
      <c r="BB457">
        <v>14</v>
      </c>
      <c r="BC457">
        <v>1</v>
      </c>
      <c r="BD457">
        <v>2</v>
      </c>
      <c r="BE457">
        <v>0</v>
      </c>
      <c r="BF457">
        <v>4</v>
      </c>
      <c r="BG457">
        <v>0</v>
      </c>
      <c r="BH457">
        <v>8</v>
      </c>
      <c r="BI457">
        <v>0</v>
      </c>
      <c r="BJ457">
        <v>42.039415499999997</v>
      </c>
      <c r="BK457">
        <v>13.422079699999999</v>
      </c>
      <c r="BL457">
        <v>600</v>
      </c>
      <c r="BM457" t="s">
        <v>83</v>
      </c>
      <c r="BN457" t="s">
        <v>84</v>
      </c>
      <c r="BO457" t="s">
        <v>85</v>
      </c>
      <c r="BP457" t="s">
        <v>97</v>
      </c>
      <c r="BQ457" t="s">
        <v>870</v>
      </c>
      <c r="BR457" t="s">
        <v>910</v>
      </c>
      <c r="BS457">
        <v>299077</v>
      </c>
      <c r="BT457">
        <v>0</v>
      </c>
      <c r="BU457">
        <v>0</v>
      </c>
      <c r="BV457">
        <v>214629</v>
      </c>
      <c r="BW457">
        <v>0</v>
      </c>
      <c r="BX457">
        <v>0</v>
      </c>
      <c r="BY457">
        <v>84448</v>
      </c>
      <c r="BZ457">
        <v>1</v>
      </c>
      <c r="CA457" t="s">
        <v>947</v>
      </c>
      <c r="CB457" t="s">
        <v>948</v>
      </c>
      <c r="CC457" s="3">
        <v>46092.557106481479</v>
      </c>
      <c r="CD457" t="s">
        <v>91</v>
      </c>
    </row>
    <row r="458" spans="1:82" ht="16" x14ac:dyDescent="0.2">
      <c r="A458" t="s">
        <v>1144</v>
      </c>
      <c r="B458" t="s">
        <v>800</v>
      </c>
      <c r="C458" t="s">
        <v>801</v>
      </c>
      <c r="D458" t="s">
        <v>78</v>
      </c>
      <c r="E458" t="s">
        <v>802</v>
      </c>
      <c r="F458">
        <v>2</v>
      </c>
      <c r="G458">
        <v>150</v>
      </c>
      <c r="H458" t="str">
        <f t="shared" si="50"/>
        <v>2x150</v>
      </c>
      <c r="I458">
        <v>134</v>
      </c>
      <c r="J458" s="4">
        <f t="shared" si="51"/>
        <v>4.2948717948717942E-2</v>
      </c>
      <c r="K458">
        <v>202</v>
      </c>
      <c r="L458" s="4">
        <f t="shared" si="52"/>
        <v>6.4743589743589749E-2</v>
      </c>
      <c r="M458">
        <v>306</v>
      </c>
      <c r="N458" s="4">
        <f t="shared" si="53"/>
        <v>9.8076923076923075E-2</v>
      </c>
      <c r="O458">
        <v>611</v>
      </c>
      <c r="P458" s="4">
        <f t="shared" si="54"/>
        <v>0.19583333333333333</v>
      </c>
      <c r="Q458" s="6">
        <f t="shared" si="49"/>
        <v>2035</v>
      </c>
      <c r="R458" s="6">
        <f t="shared" si="55"/>
        <v>4</v>
      </c>
      <c r="S458">
        <v>135</v>
      </c>
      <c r="T458">
        <v>-43</v>
      </c>
      <c r="U458">
        <v>-14</v>
      </c>
      <c r="V458">
        <v>24</v>
      </c>
      <c r="W458">
        <v>2</v>
      </c>
      <c r="X458">
        <v>49</v>
      </c>
      <c r="Y458" s="2" t="s">
        <v>803</v>
      </c>
      <c r="Z458">
        <v>41.118589999999998</v>
      </c>
      <c r="AA458">
        <v>14.758330000000001</v>
      </c>
      <c r="AB458" t="s">
        <v>78</v>
      </c>
      <c r="AC458" t="s">
        <v>81</v>
      </c>
      <c r="AD458" t="s">
        <v>82</v>
      </c>
      <c r="AE458">
        <v>20302</v>
      </c>
      <c r="AF458">
        <v>0</v>
      </c>
      <c r="AG458">
        <v>0</v>
      </c>
      <c r="AH458">
        <v>10969</v>
      </c>
      <c r="AI458">
        <v>1395</v>
      </c>
      <c r="AJ458">
        <v>7938</v>
      </c>
      <c r="AK458">
        <v>0</v>
      </c>
      <c r="AL458">
        <v>3497</v>
      </c>
      <c r="AM458">
        <v>19520</v>
      </c>
      <c r="AN458">
        <v>59709</v>
      </c>
      <c r="AO458">
        <v>95627</v>
      </c>
      <c r="AP458">
        <v>0</v>
      </c>
      <c r="AQ458">
        <v>0</v>
      </c>
      <c r="AR458">
        <v>2</v>
      </c>
      <c r="AS458">
        <v>44</v>
      </c>
      <c r="AT458">
        <v>0</v>
      </c>
      <c r="AU458">
        <v>12</v>
      </c>
      <c r="AV458">
        <v>1</v>
      </c>
      <c r="AW458">
        <v>0</v>
      </c>
      <c r="AX458">
        <v>0</v>
      </c>
      <c r="AY458">
        <v>0</v>
      </c>
      <c r="AZ458">
        <v>1</v>
      </c>
      <c r="BA458">
        <v>2</v>
      </c>
      <c r="BB458">
        <v>7</v>
      </c>
      <c r="BC458">
        <v>2</v>
      </c>
      <c r="BD458">
        <v>0</v>
      </c>
      <c r="BE458">
        <v>0</v>
      </c>
      <c r="BF458">
        <v>0</v>
      </c>
      <c r="BG458">
        <v>0</v>
      </c>
      <c r="BH458">
        <v>2</v>
      </c>
      <c r="BI458">
        <v>0</v>
      </c>
      <c r="BJ458">
        <v>41.118693299999997</v>
      </c>
      <c r="BK458">
        <v>14.7582954</v>
      </c>
      <c r="BL458">
        <v>300</v>
      </c>
      <c r="BM458" t="s">
        <v>83</v>
      </c>
      <c r="BN458" t="s">
        <v>84</v>
      </c>
      <c r="BO458" t="s">
        <v>85</v>
      </c>
      <c r="BP458" t="s">
        <v>97</v>
      </c>
      <c r="BQ458" t="s">
        <v>98</v>
      </c>
      <c r="BR458" t="s">
        <v>801</v>
      </c>
      <c r="BS458">
        <v>354726</v>
      </c>
      <c r="BT458">
        <v>0</v>
      </c>
      <c r="BU458">
        <v>0</v>
      </c>
      <c r="BV458">
        <v>219401</v>
      </c>
      <c r="BW458">
        <v>27918</v>
      </c>
      <c r="BX458">
        <v>107407</v>
      </c>
      <c r="BY458">
        <v>0</v>
      </c>
      <c r="BZ458">
        <v>1</v>
      </c>
      <c r="CA458" t="s">
        <v>804</v>
      </c>
      <c r="CB458" t="s">
        <v>805</v>
      </c>
      <c r="CC458" s="3">
        <v>46092.557106481479</v>
      </c>
      <c r="CD458" t="s">
        <v>91</v>
      </c>
    </row>
    <row r="459" spans="1:82" ht="16" x14ac:dyDescent="0.2">
      <c r="A459" t="s">
        <v>949</v>
      </c>
      <c r="B459" t="s">
        <v>950</v>
      </c>
      <c r="C459" t="s">
        <v>951</v>
      </c>
      <c r="D459" t="s">
        <v>78</v>
      </c>
      <c r="E459" t="s">
        <v>952</v>
      </c>
      <c r="F459">
        <v>2</v>
      </c>
      <c r="G459">
        <v>300</v>
      </c>
      <c r="H459" t="str">
        <f t="shared" si="50"/>
        <v>2x300</v>
      </c>
      <c r="I459">
        <v>132</v>
      </c>
      <c r="J459" s="4">
        <f t="shared" si="51"/>
        <v>3.6666666666666667E-2</v>
      </c>
      <c r="K459">
        <v>199</v>
      </c>
      <c r="L459" s="4">
        <f t="shared" si="52"/>
        <v>5.527777777777778E-2</v>
      </c>
      <c r="M459">
        <v>302</v>
      </c>
      <c r="N459" s="4">
        <f t="shared" si="53"/>
        <v>8.3888888888888888E-2</v>
      </c>
      <c r="O459">
        <v>602</v>
      </c>
      <c r="P459" s="4">
        <f t="shared" si="54"/>
        <v>0.16722222222222224</v>
      </c>
      <c r="Q459" s="6">
        <f t="shared" si="49"/>
        <v>2035</v>
      </c>
      <c r="R459" s="6">
        <f t="shared" si="55"/>
        <v>4</v>
      </c>
      <c r="S459">
        <v>156</v>
      </c>
      <c r="T459">
        <v>-41</v>
      </c>
      <c r="U459">
        <v>-16</v>
      </c>
      <c r="V459">
        <v>-8</v>
      </c>
      <c r="W459">
        <v>1</v>
      </c>
      <c r="X459">
        <v>63</v>
      </c>
      <c r="Y459" s="2" t="s">
        <v>953</v>
      </c>
      <c r="Z459">
        <v>38.838334926692298</v>
      </c>
      <c r="AA459">
        <v>16.640370562761401</v>
      </c>
      <c r="AB459" t="s">
        <v>78</v>
      </c>
      <c r="AC459" t="s">
        <v>81</v>
      </c>
      <c r="AD459" t="s">
        <v>82</v>
      </c>
      <c r="AE459">
        <v>10796</v>
      </c>
      <c r="AF459">
        <v>0</v>
      </c>
      <c r="AG459">
        <v>0</v>
      </c>
      <c r="AH459">
        <v>0</v>
      </c>
      <c r="AI459">
        <v>9733</v>
      </c>
      <c r="AJ459">
        <v>0</v>
      </c>
      <c r="AK459">
        <v>1063</v>
      </c>
      <c r="AL459">
        <v>2282</v>
      </c>
      <c r="AM459">
        <v>8685</v>
      </c>
      <c r="AN459">
        <v>32808</v>
      </c>
      <c r="AO459">
        <v>75805</v>
      </c>
      <c r="AP459">
        <v>0</v>
      </c>
      <c r="AQ459">
        <v>0</v>
      </c>
      <c r="AR459">
        <v>1</v>
      </c>
      <c r="AS459">
        <v>2</v>
      </c>
      <c r="AT459">
        <v>1</v>
      </c>
      <c r="AU459">
        <v>8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10</v>
      </c>
      <c r="BB459">
        <v>17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38.838475000000003</v>
      </c>
      <c r="BK459">
        <v>16.640216299999999</v>
      </c>
      <c r="BL459">
        <v>600</v>
      </c>
      <c r="BM459" t="s">
        <v>83</v>
      </c>
      <c r="BN459" t="s">
        <v>84</v>
      </c>
      <c r="BO459" t="s">
        <v>85</v>
      </c>
      <c r="BP459" t="s">
        <v>97</v>
      </c>
      <c r="BQ459" t="s">
        <v>954</v>
      </c>
      <c r="BR459" t="s">
        <v>955</v>
      </c>
      <c r="BS459">
        <v>215955</v>
      </c>
      <c r="BT459">
        <v>0</v>
      </c>
      <c r="BU459">
        <v>0</v>
      </c>
      <c r="BV459">
        <v>0</v>
      </c>
      <c r="BW459">
        <v>194684</v>
      </c>
      <c r="BX459">
        <v>0</v>
      </c>
      <c r="BY459">
        <v>21271</v>
      </c>
      <c r="BZ459">
        <v>1</v>
      </c>
      <c r="CA459" t="s">
        <v>956</v>
      </c>
      <c r="CB459" t="s">
        <v>957</v>
      </c>
      <c r="CC459" s="3">
        <v>46092.557106481479</v>
      </c>
      <c r="CD459" t="s">
        <v>91</v>
      </c>
    </row>
    <row r="460" spans="1:82" ht="16" x14ac:dyDescent="0.2">
      <c r="A460" t="s">
        <v>1146</v>
      </c>
      <c r="B460" t="s">
        <v>808</v>
      </c>
      <c r="C460" t="s">
        <v>809</v>
      </c>
      <c r="D460" t="s">
        <v>78</v>
      </c>
      <c r="E460" t="s">
        <v>810</v>
      </c>
      <c r="F460">
        <v>2</v>
      </c>
      <c r="G460">
        <v>150</v>
      </c>
      <c r="H460" t="str">
        <f t="shared" si="50"/>
        <v>2x150</v>
      </c>
      <c r="I460">
        <v>129</v>
      </c>
      <c r="J460" s="4">
        <f t="shared" si="51"/>
        <v>4.1346153846153845E-2</v>
      </c>
      <c r="K460">
        <v>195</v>
      </c>
      <c r="L460" s="4">
        <f t="shared" si="52"/>
        <v>6.25E-2</v>
      </c>
      <c r="M460">
        <v>295</v>
      </c>
      <c r="N460" s="4">
        <f t="shared" si="53"/>
        <v>9.4551282051282048E-2</v>
      </c>
      <c r="O460">
        <v>590</v>
      </c>
      <c r="P460" s="4">
        <f t="shared" si="54"/>
        <v>0.1891025641025641</v>
      </c>
      <c r="Q460" s="6">
        <f t="shared" si="49"/>
        <v>2035</v>
      </c>
      <c r="R460" s="6">
        <f t="shared" si="55"/>
        <v>4</v>
      </c>
      <c r="S460">
        <v>135</v>
      </c>
      <c r="T460">
        <v>-38</v>
      </c>
      <c r="U460">
        <v>-14</v>
      </c>
      <c r="V460">
        <v>2</v>
      </c>
      <c r="W460">
        <v>7</v>
      </c>
      <c r="X460">
        <v>59</v>
      </c>
      <c r="Y460" s="2" t="s">
        <v>811</v>
      </c>
      <c r="Z460">
        <v>45.515509999999999</v>
      </c>
      <c r="AA460">
        <v>10.137890000000001</v>
      </c>
      <c r="AB460" t="s">
        <v>78</v>
      </c>
      <c r="AC460" t="s">
        <v>81</v>
      </c>
      <c r="AD460" t="s">
        <v>82</v>
      </c>
      <c r="AE460">
        <v>24425</v>
      </c>
      <c r="AF460">
        <v>0</v>
      </c>
      <c r="AG460">
        <v>0</v>
      </c>
      <c r="AH460">
        <v>0</v>
      </c>
      <c r="AI460">
        <v>14930</v>
      </c>
      <c r="AJ460">
        <v>9495</v>
      </c>
      <c r="AK460">
        <v>0</v>
      </c>
      <c r="AL460">
        <v>3465</v>
      </c>
      <c r="AM460">
        <v>15840</v>
      </c>
      <c r="AN460">
        <v>74333</v>
      </c>
      <c r="AO460">
        <v>337026</v>
      </c>
      <c r="AP460">
        <v>0</v>
      </c>
      <c r="AQ460">
        <v>0</v>
      </c>
      <c r="AR460">
        <v>4</v>
      </c>
      <c r="AS460">
        <v>10</v>
      </c>
      <c r="AT460">
        <v>0</v>
      </c>
      <c r="AU460">
        <v>12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2</v>
      </c>
      <c r="BB460">
        <v>10</v>
      </c>
      <c r="BC460">
        <v>2</v>
      </c>
      <c r="BD460">
        <v>2</v>
      </c>
      <c r="BE460">
        <v>0</v>
      </c>
      <c r="BF460">
        <v>2</v>
      </c>
      <c r="BG460">
        <v>0</v>
      </c>
      <c r="BH460">
        <v>2</v>
      </c>
      <c r="BI460">
        <v>0</v>
      </c>
      <c r="BJ460">
        <v>45.515450000000001</v>
      </c>
      <c r="BK460">
        <v>10.1379</v>
      </c>
      <c r="BL460">
        <v>300</v>
      </c>
      <c r="BM460" t="s">
        <v>83</v>
      </c>
      <c r="BN460" t="s">
        <v>84</v>
      </c>
      <c r="BO460" t="s">
        <v>85</v>
      </c>
      <c r="BP460" t="s">
        <v>107</v>
      </c>
      <c r="BQ460" t="s">
        <v>108</v>
      </c>
      <c r="BR460" t="s">
        <v>179</v>
      </c>
      <c r="BS460">
        <v>354055</v>
      </c>
      <c r="BT460">
        <v>0</v>
      </c>
      <c r="BU460">
        <v>0</v>
      </c>
      <c r="BV460">
        <v>0</v>
      </c>
      <c r="BW460">
        <v>164127</v>
      </c>
      <c r="BX460">
        <v>189928</v>
      </c>
      <c r="BY460">
        <v>0</v>
      </c>
      <c r="BZ460">
        <v>1</v>
      </c>
      <c r="CA460" t="s">
        <v>812</v>
      </c>
      <c r="CB460" t="s">
        <v>813</v>
      </c>
      <c r="CC460" s="3">
        <v>46092.557106481479</v>
      </c>
      <c r="CD460" t="s">
        <v>91</v>
      </c>
    </row>
    <row r="461" spans="1:82" ht="16" x14ac:dyDescent="0.2">
      <c r="A461" t="s">
        <v>1147</v>
      </c>
      <c r="B461" t="s">
        <v>815</v>
      </c>
      <c r="C461" t="s">
        <v>816</v>
      </c>
      <c r="D461" t="s">
        <v>78</v>
      </c>
      <c r="E461" t="s">
        <v>817</v>
      </c>
      <c r="F461">
        <v>2</v>
      </c>
      <c r="G461">
        <v>150</v>
      </c>
      <c r="H461" t="str">
        <f t="shared" si="50"/>
        <v>2x150</v>
      </c>
      <c r="I461">
        <v>129</v>
      </c>
      <c r="J461" s="4">
        <f t="shared" si="51"/>
        <v>4.1346153846153845E-2</v>
      </c>
      <c r="K461">
        <v>194</v>
      </c>
      <c r="L461" s="4">
        <f t="shared" si="52"/>
        <v>6.2179487179487181E-2</v>
      </c>
      <c r="M461">
        <v>294</v>
      </c>
      <c r="N461" s="4">
        <f t="shared" si="53"/>
        <v>9.4230769230769229E-2</v>
      </c>
      <c r="O461">
        <v>588</v>
      </c>
      <c r="P461" s="4">
        <f t="shared" si="54"/>
        <v>0.18846153846153846</v>
      </c>
      <c r="Q461" s="6">
        <f t="shared" si="49"/>
        <v>2035</v>
      </c>
      <c r="R461" s="6">
        <f t="shared" si="55"/>
        <v>4</v>
      </c>
      <c r="S461">
        <v>135</v>
      </c>
      <c r="T461">
        <v>-23</v>
      </c>
      <c r="U461">
        <v>-17</v>
      </c>
      <c r="V461">
        <v>3</v>
      </c>
      <c r="W461">
        <v>0</v>
      </c>
      <c r="X461">
        <v>50</v>
      </c>
      <c r="Y461" s="2" t="s">
        <v>818</v>
      </c>
      <c r="Z461">
        <v>45.928421193010401</v>
      </c>
      <c r="AA461">
        <v>8.5559556033571909</v>
      </c>
      <c r="AB461" t="s">
        <v>78</v>
      </c>
      <c r="AC461" t="s">
        <v>81</v>
      </c>
      <c r="AD461" t="s">
        <v>82</v>
      </c>
      <c r="AE461">
        <v>30869</v>
      </c>
      <c r="AF461">
        <v>0</v>
      </c>
      <c r="AG461">
        <v>0</v>
      </c>
      <c r="AH461">
        <v>18337</v>
      </c>
      <c r="AI461">
        <v>0</v>
      </c>
      <c r="AJ461">
        <v>11733</v>
      </c>
      <c r="AK461">
        <v>799</v>
      </c>
      <c r="AL461">
        <v>8561</v>
      </c>
      <c r="AM461">
        <v>19307</v>
      </c>
      <c r="AN461">
        <v>43075</v>
      </c>
      <c r="AO461">
        <v>83800</v>
      </c>
      <c r="AP461">
        <v>6</v>
      </c>
      <c r="AQ461">
        <v>0</v>
      </c>
      <c r="AR461">
        <v>4</v>
      </c>
      <c r="AS461">
        <v>8</v>
      </c>
      <c r="AT461">
        <v>0</v>
      </c>
      <c r="AU461">
        <v>28</v>
      </c>
      <c r="AV461">
        <v>5</v>
      </c>
      <c r="AW461">
        <v>1</v>
      </c>
      <c r="AX461">
        <v>3</v>
      </c>
      <c r="AY461">
        <v>0</v>
      </c>
      <c r="AZ461">
        <v>5</v>
      </c>
      <c r="BA461">
        <v>15</v>
      </c>
      <c r="BB461">
        <v>22</v>
      </c>
      <c r="BC461">
        <v>9</v>
      </c>
      <c r="BD461">
        <v>2</v>
      </c>
      <c r="BE461">
        <v>0</v>
      </c>
      <c r="BF461">
        <v>4</v>
      </c>
      <c r="BG461">
        <v>0</v>
      </c>
      <c r="BH461">
        <v>6</v>
      </c>
      <c r="BI461">
        <v>0</v>
      </c>
      <c r="BJ461">
        <v>45.928179900000003</v>
      </c>
      <c r="BK461">
        <v>8.5558700000000005</v>
      </c>
      <c r="BL461">
        <v>300</v>
      </c>
      <c r="BM461" t="s">
        <v>83</v>
      </c>
      <c r="BN461" t="s">
        <v>84</v>
      </c>
      <c r="BO461" t="s">
        <v>85</v>
      </c>
      <c r="BP461" t="s">
        <v>107</v>
      </c>
      <c r="BQ461" t="s">
        <v>203</v>
      </c>
      <c r="BR461" t="s">
        <v>819</v>
      </c>
      <c r="BS461">
        <v>617470</v>
      </c>
      <c r="BT461">
        <v>0</v>
      </c>
      <c r="BU461">
        <v>0</v>
      </c>
      <c r="BV461">
        <v>366768</v>
      </c>
      <c r="BW461">
        <v>0</v>
      </c>
      <c r="BX461">
        <v>234703</v>
      </c>
      <c r="BY461">
        <v>15999</v>
      </c>
      <c r="BZ461">
        <v>1</v>
      </c>
      <c r="CA461" t="s">
        <v>820</v>
      </c>
      <c r="CB461" t="s">
        <v>821</v>
      </c>
      <c r="CC461" s="3">
        <v>46092.557106481479</v>
      </c>
      <c r="CD461" t="s">
        <v>91</v>
      </c>
    </row>
    <row r="462" spans="1:82" ht="16" x14ac:dyDescent="0.2">
      <c r="A462" t="s">
        <v>1148</v>
      </c>
      <c r="B462" t="s">
        <v>823</v>
      </c>
      <c r="C462" t="s">
        <v>824</v>
      </c>
      <c r="D462" t="s">
        <v>78</v>
      </c>
      <c r="E462" t="s">
        <v>825</v>
      </c>
      <c r="F462">
        <v>2</v>
      </c>
      <c r="G462">
        <v>150</v>
      </c>
      <c r="H462" t="str">
        <f t="shared" si="50"/>
        <v>2x150</v>
      </c>
      <c r="I462">
        <v>128</v>
      </c>
      <c r="J462" s="4">
        <f t="shared" si="51"/>
        <v>4.1025641025641026E-2</v>
      </c>
      <c r="K462">
        <v>194</v>
      </c>
      <c r="L462" s="4">
        <f t="shared" si="52"/>
        <v>6.2179487179487181E-2</v>
      </c>
      <c r="M462">
        <v>294</v>
      </c>
      <c r="N462" s="4">
        <f t="shared" si="53"/>
        <v>9.4230769230769229E-2</v>
      </c>
      <c r="O462">
        <v>587</v>
      </c>
      <c r="P462" s="4">
        <f t="shared" si="54"/>
        <v>0.18814102564102564</v>
      </c>
      <c r="Q462" s="6">
        <f t="shared" si="49"/>
        <v>2035</v>
      </c>
      <c r="R462" s="6">
        <f t="shared" si="55"/>
        <v>4</v>
      </c>
      <c r="S462">
        <v>135</v>
      </c>
      <c r="T462">
        <v>-22</v>
      </c>
      <c r="U462">
        <v>-15</v>
      </c>
      <c r="V462">
        <v>-3</v>
      </c>
      <c r="W462">
        <v>2</v>
      </c>
      <c r="X462">
        <v>53</v>
      </c>
      <c r="Y462" s="2" t="s">
        <v>826</v>
      </c>
      <c r="Z462">
        <v>45.647728303697697</v>
      </c>
      <c r="AA462">
        <v>12.5471903509229</v>
      </c>
      <c r="AB462" t="s">
        <v>78</v>
      </c>
      <c r="AC462" t="s">
        <v>81</v>
      </c>
      <c r="AD462" t="s">
        <v>82</v>
      </c>
      <c r="AE462">
        <v>33558</v>
      </c>
      <c r="AF462">
        <v>0</v>
      </c>
      <c r="AG462">
        <v>0</v>
      </c>
      <c r="AH462">
        <v>10223</v>
      </c>
      <c r="AI462">
        <v>9827</v>
      </c>
      <c r="AJ462">
        <v>8828</v>
      </c>
      <c r="AK462">
        <v>4680</v>
      </c>
      <c r="AL462">
        <v>4242</v>
      </c>
      <c r="AM462">
        <v>15551</v>
      </c>
      <c r="AN462">
        <v>57063</v>
      </c>
      <c r="AO462">
        <v>98126</v>
      </c>
      <c r="AP462">
        <v>0</v>
      </c>
      <c r="AQ462">
        <v>0</v>
      </c>
      <c r="AR462">
        <v>2</v>
      </c>
      <c r="AS462">
        <v>3</v>
      </c>
      <c r="AT462">
        <v>1</v>
      </c>
      <c r="AU462">
        <v>7</v>
      </c>
      <c r="AV462">
        <v>1</v>
      </c>
      <c r="AW462">
        <v>1</v>
      </c>
      <c r="AX462">
        <v>0</v>
      </c>
      <c r="AY462">
        <v>0</v>
      </c>
      <c r="AZ462">
        <v>0</v>
      </c>
      <c r="BA462">
        <v>4</v>
      </c>
      <c r="BB462">
        <v>17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45.647742800000003</v>
      </c>
      <c r="BK462">
        <v>12.5471804</v>
      </c>
      <c r="BL462">
        <v>300</v>
      </c>
      <c r="BM462" t="s">
        <v>83</v>
      </c>
      <c r="BN462" t="s">
        <v>84</v>
      </c>
      <c r="BO462" t="s">
        <v>85</v>
      </c>
      <c r="BP462" t="s">
        <v>160</v>
      </c>
      <c r="BQ462" t="s">
        <v>161</v>
      </c>
      <c r="BR462" t="s">
        <v>343</v>
      </c>
      <c r="BS462">
        <v>671309</v>
      </c>
      <c r="BT462">
        <v>0</v>
      </c>
      <c r="BU462">
        <v>0</v>
      </c>
      <c r="BV462">
        <v>204464</v>
      </c>
      <c r="BW462">
        <v>196554</v>
      </c>
      <c r="BX462">
        <v>176648</v>
      </c>
      <c r="BY462">
        <v>93643</v>
      </c>
      <c r="BZ462">
        <v>1</v>
      </c>
      <c r="CA462" t="s">
        <v>827</v>
      </c>
      <c r="CB462" t="s">
        <v>828</v>
      </c>
      <c r="CC462" s="3">
        <v>46092.557106481479</v>
      </c>
      <c r="CD462" t="s">
        <v>91</v>
      </c>
    </row>
    <row r="463" spans="1:82" ht="16" x14ac:dyDescent="0.2">
      <c r="A463" t="s">
        <v>1149</v>
      </c>
      <c r="B463" t="s">
        <v>830</v>
      </c>
      <c r="C463" t="s">
        <v>831</v>
      </c>
      <c r="D463" t="s">
        <v>78</v>
      </c>
      <c r="E463" t="s">
        <v>832</v>
      </c>
      <c r="F463">
        <v>2</v>
      </c>
      <c r="G463">
        <v>150</v>
      </c>
      <c r="H463" t="str">
        <f t="shared" si="50"/>
        <v>2x150</v>
      </c>
      <c r="I463">
        <v>128</v>
      </c>
      <c r="J463" s="4">
        <f t="shared" si="51"/>
        <v>4.1025641025641026E-2</v>
      </c>
      <c r="K463">
        <v>194</v>
      </c>
      <c r="L463" s="4">
        <f t="shared" si="52"/>
        <v>6.2179487179487181E-2</v>
      </c>
      <c r="M463">
        <v>294</v>
      </c>
      <c r="N463" s="4">
        <f t="shared" si="53"/>
        <v>9.4230769230769229E-2</v>
      </c>
      <c r="O463">
        <v>587</v>
      </c>
      <c r="P463" s="4">
        <f t="shared" si="54"/>
        <v>0.18814102564102564</v>
      </c>
      <c r="Q463" s="6">
        <f t="shared" si="49"/>
        <v>2035</v>
      </c>
      <c r="R463" s="6">
        <f t="shared" si="55"/>
        <v>4</v>
      </c>
      <c r="S463">
        <v>135</v>
      </c>
      <c r="T463">
        <v>-13</v>
      </c>
      <c r="U463">
        <v>-15</v>
      </c>
      <c r="V463">
        <v>-6</v>
      </c>
      <c r="W463">
        <v>-6</v>
      </c>
      <c r="X463">
        <v>53</v>
      </c>
      <c r="Y463" s="2" t="s">
        <v>833</v>
      </c>
      <c r="Z463">
        <v>45.872947749679298</v>
      </c>
      <c r="AA463">
        <v>11.021234777912101</v>
      </c>
      <c r="AB463" t="s">
        <v>78</v>
      </c>
      <c r="AC463" t="s">
        <v>81</v>
      </c>
      <c r="AD463" t="s">
        <v>82</v>
      </c>
      <c r="AE463">
        <v>34913</v>
      </c>
      <c r="AF463">
        <v>0</v>
      </c>
      <c r="AG463">
        <v>0</v>
      </c>
      <c r="AH463">
        <v>20436</v>
      </c>
      <c r="AI463">
        <v>1858</v>
      </c>
      <c r="AJ463">
        <v>11468</v>
      </c>
      <c r="AK463">
        <v>1151</v>
      </c>
      <c r="AL463">
        <v>3395</v>
      </c>
      <c r="AM463">
        <v>17249</v>
      </c>
      <c r="AN463">
        <v>54861</v>
      </c>
      <c r="AO463">
        <v>79745</v>
      </c>
      <c r="AP463">
        <v>0</v>
      </c>
      <c r="AQ463">
        <v>1</v>
      </c>
      <c r="AR463">
        <v>2</v>
      </c>
      <c r="AS463">
        <v>2</v>
      </c>
      <c r="AT463">
        <v>1</v>
      </c>
      <c r="AU463">
        <v>8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2</v>
      </c>
      <c r="BB463">
        <v>8</v>
      </c>
      <c r="BC463">
        <v>2</v>
      </c>
      <c r="BD463">
        <v>2</v>
      </c>
      <c r="BE463">
        <v>0</v>
      </c>
      <c r="BF463">
        <v>2</v>
      </c>
      <c r="BG463">
        <v>0</v>
      </c>
      <c r="BH463">
        <v>6</v>
      </c>
      <c r="BI463">
        <v>0</v>
      </c>
      <c r="BJ463">
        <v>45.8731133</v>
      </c>
      <c r="BK463">
        <v>11.020969900000001</v>
      </c>
      <c r="BL463">
        <v>300</v>
      </c>
      <c r="BM463" t="s">
        <v>83</v>
      </c>
      <c r="BN463" t="s">
        <v>84</v>
      </c>
      <c r="BO463" t="s">
        <v>85</v>
      </c>
      <c r="BP463" t="s">
        <v>160</v>
      </c>
      <c r="BQ463" t="s">
        <v>794</v>
      </c>
      <c r="BR463" t="s">
        <v>791</v>
      </c>
      <c r="BS463">
        <v>698353</v>
      </c>
      <c r="BT463">
        <v>0</v>
      </c>
      <c r="BU463">
        <v>0</v>
      </c>
      <c r="BV463">
        <v>408767</v>
      </c>
      <c r="BW463">
        <v>37161</v>
      </c>
      <c r="BX463">
        <v>229386</v>
      </c>
      <c r="BY463">
        <v>23039</v>
      </c>
      <c r="BZ463">
        <v>1</v>
      </c>
      <c r="CA463" t="s">
        <v>834</v>
      </c>
      <c r="CB463" t="s">
        <v>835</v>
      </c>
      <c r="CC463" s="3">
        <v>46092.557106481479</v>
      </c>
      <c r="CD463" t="s">
        <v>91</v>
      </c>
    </row>
    <row r="464" spans="1:82" ht="16" x14ac:dyDescent="0.2">
      <c r="A464" t="s">
        <v>1150</v>
      </c>
      <c r="B464" t="s">
        <v>838</v>
      </c>
      <c r="C464" t="s">
        <v>839</v>
      </c>
      <c r="D464" t="s">
        <v>78</v>
      </c>
      <c r="E464" t="s">
        <v>840</v>
      </c>
      <c r="F464">
        <v>2</v>
      </c>
      <c r="G464">
        <v>150</v>
      </c>
      <c r="H464" t="str">
        <f t="shared" si="50"/>
        <v>2x150</v>
      </c>
      <c r="I464">
        <v>128</v>
      </c>
      <c r="J464" s="4">
        <f t="shared" si="51"/>
        <v>4.1025641025641026E-2</v>
      </c>
      <c r="K464">
        <v>193</v>
      </c>
      <c r="L464" s="4">
        <f t="shared" si="52"/>
        <v>6.1858974358974361E-2</v>
      </c>
      <c r="M464">
        <v>292</v>
      </c>
      <c r="N464" s="4">
        <f t="shared" si="53"/>
        <v>9.358974358974359E-2</v>
      </c>
      <c r="O464">
        <v>584</v>
      </c>
      <c r="P464" s="4">
        <f t="shared" si="54"/>
        <v>0.18717948717948718</v>
      </c>
      <c r="Q464" s="6">
        <f t="shared" si="49"/>
        <v>2035</v>
      </c>
      <c r="R464" s="6">
        <f t="shared" si="55"/>
        <v>4</v>
      </c>
      <c r="S464">
        <v>135</v>
      </c>
      <c r="T464">
        <v>-32</v>
      </c>
      <c r="U464">
        <v>-14</v>
      </c>
      <c r="V464">
        <v>1</v>
      </c>
      <c r="W464">
        <v>8</v>
      </c>
      <c r="X464">
        <v>45</v>
      </c>
      <c r="Y464" s="2" t="s">
        <v>841</v>
      </c>
      <c r="Z464">
        <v>45.645789710492402</v>
      </c>
      <c r="AA464">
        <v>9.9373671779121793</v>
      </c>
      <c r="AB464" t="s">
        <v>78</v>
      </c>
      <c r="AC464" t="s">
        <v>81</v>
      </c>
      <c r="AD464" t="s">
        <v>82</v>
      </c>
      <c r="AE464">
        <v>21743</v>
      </c>
      <c r="AF464">
        <v>0</v>
      </c>
      <c r="AG464">
        <v>0</v>
      </c>
      <c r="AH464">
        <v>0</v>
      </c>
      <c r="AI464">
        <v>0</v>
      </c>
      <c r="AJ464">
        <v>21743</v>
      </c>
      <c r="AK464">
        <v>0</v>
      </c>
      <c r="AL464">
        <v>4505</v>
      </c>
      <c r="AM464">
        <v>14707</v>
      </c>
      <c r="AN464">
        <v>61846</v>
      </c>
      <c r="AO464">
        <v>189054</v>
      </c>
      <c r="AP464">
        <v>1</v>
      </c>
      <c r="AQ464">
        <v>0</v>
      </c>
      <c r="AR464">
        <v>2</v>
      </c>
      <c r="AS464">
        <v>11</v>
      </c>
      <c r="AT464">
        <v>0</v>
      </c>
      <c r="AU464">
        <v>9</v>
      </c>
      <c r="AV464">
        <v>5</v>
      </c>
      <c r="AW464">
        <v>0</v>
      </c>
      <c r="AX464">
        <v>0</v>
      </c>
      <c r="AY464">
        <v>0</v>
      </c>
      <c r="AZ464">
        <v>0</v>
      </c>
      <c r="BA464">
        <v>5</v>
      </c>
      <c r="BB464">
        <v>19</v>
      </c>
      <c r="BC464">
        <v>3</v>
      </c>
      <c r="BD464">
        <v>3</v>
      </c>
      <c r="BE464">
        <v>0</v>
      </c>
      <c r="BF464">
        <v>3</v>
      </c>
      <c r="BG464">
        <v>0</v>
      </c>
      <c r="BH464">
        <v>3</v>
      </c>
      <c r="BI464">
        <v>0</v>
      </c>
      <c r="BJ464">
        <v>45.645777699999996</v>
      </c>
      <c r="BK464">
        <v>9.9373764999999992</v>
      </c>
      <c r="BL464">
        <v>300</v>
      </c>
      <c r="BM464" t="s">
        <v>83</v>
      </c>
      <c r="BN464" t="s">
        <v>84</v>
      </c>
      <c r="BO464" t="s">
        <v>85</v>
      </c>
      <c r="BP464" t="s">
        <v>107</v>
      </c>
      <c r="BQ464" t="s">
        <v>108</v>
      </c>
      <c r="BR464" t="s">
        <v>179</v>
      </c>
      <c r="BS464">
        <v>434926</v>
      </c>
      <c r="BT464">
        <v>0</v>
      </c>
      <c r="BU464">
        <v>0</v>
      </c>
      <c r="BV464">
        <v>0</v>
      </c>
      <c r="BW464">
        <v>0</v>
      </c>
      <c r="BX464">
        <v>434926</v>
      </c>
      <c r="BY464">
        <v>0</v>
      </c>
      <c r="BZ464">
        <v>1</v>
      </c>
      <c r="CA464" t="s">
        <v>842</v>
      </c>
      <c r="CB464" t="s">
        <v>843</v>
      </c>
      <c r="CC464" s="3">
        <v>46092.557106481479</v>
      </c>
      <c r="CD464" t="s">
        <v>91</v>
      </c>
    </row>
    <row r="465" spans="1:82" ht="16" x14ac:dyDescent="0.2">
      <c r="A465" t="s">
        <v>961</v>
      </c>
      <c r="B465" t="s">
        <v>962</v>
      </c>
      <c r="C465" t="s">
        <v>963</v>
      </c>
      <c r="D465" t="s">
        <v>78</v>
      </c>
      <c r="E465" t="s">
        <v>964</v>
      </c>
      <c r="F465">
        <v>2</v>
      </c>
      <c r="G465">
        <v>300</v>
      </c>
      <c r="H465" t="str">
        <f t="shared" si="50"/>
        <v>2x300</v>
      </c>
      <c r="I465">
        <v>127</v>
      </c>
      <c r="J465" s="4">
        <f t="shared" si="51"/>
        <v>3.5277777777777776E-2</v>
      </c>
      <c r="K465">
        <v>192</v>
      </c>
      <c r="L465" s="4">
        <f t="shared" si="52"/>
        <v>5.3333333333333337E-2</v>
      </c>
      <c r="M465">
        <v>292</v>
      </c>
      <c r="N465" s="4">
        <f t="shared" si="53"/>
        <v>8.111111111111112E-2</v>
      </c>
      <c r="O465">
        <v>582</v>
      </c>
      <c r="P465" s="4">
        <f t="shared" si="54"/>
        <v>0.16166666666666665</v>
      </c>
      <c r="Q465" s="6">
        <f t="shared" si="49"/>
        <v>2035</v>
      </c>
      <c r="R465" s="6">
        <f t="shared" si="55"/>
        <v>4</v>
      </c>
      <c r="S465">
        <v>156</v>
      </c>
      <c r="T465">
        <v>-47</v>
      </c>
      <c r="U465">
        <v>-13</v>
      </c>
      <c r="V465">
        <v>-5</v>
      </c>
      <c r="W465">
        <v>-3</v>
      </c>
      <c r="X465">
        <v>63</v>
      </c>
      <c r="Y465" s="2" t="s">
        <v>965</v>
      </c>
      <c r="Z465">
        <v>44.083342999999999</v>
      </c>
      <c r="AA465">
        <v>8.2232869999999991</v>
      </c>
      <c r="AB465" t="s">
        <v>78</v>
      </c>
      <c r="AC465" t="s">
        <v>81</v>
      </c>
      <c r="AD465" t="s">
        <v>82</v>
      </c>
      <c r="AE465">
        <v>11277</v>
      </c>
      <c r="AF465">
        <v>0</v>
      </c>
      <c r="AG465">
        <v>0</v>
      </c>
      <c r="AH465">
        <v>8255</v>
      </c>
      <c r="AI465">
        <v>0</v>
      </c>
      <c r="AJ465">
        <v>970</v>
      </c>
      <c r="AK465">
        <v>2052</v>
      </c>
      <c r="AL465">
        <v>2303</v>
      </c>
      <c r="AM465">
        <v>6108</v>
      </c>
      <c r="AN465">
        <v>36530</v>
      </c>
      <c r="AO465">
        <v>72328</v>
      </c>
      <c r="AP465">
        <v>0</v>
      </c>
      <c r="AQ465">
        <v>0</v>
      </c>
      <c r="AR465">
        <v>2</v>
      </c>
      <c r="AS465">
        <v>8</v>
      </c>
      <c r="AT465">
        <v>0</v>
      </c>
      <c r="AU465">
        <v>8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4</v>
      </c>
      <c r="BB465">
        <v>7</v>
      </c>
      <c r="BC465">
        <v>4</v>
      </c>
      <c r="BD465">
        <v>1</v>
      </c>
      <c r="BE465">
        <v>0</v>
      </c>
      <c r="BF465">
        <v>1</v>
      </c>
      <c r="BG465">
        <v>0</v>
      </c>
      <c r="BH465">
        <v>3</v>
      </c>
      <c r="BI465">
        <v>6</v>
      </c>
      <c r="BJ465">
        <v>44.0833491</v>
      </c>
      <c r="BK465">
        <v>8.2232892999999994</v>
      </c>
      <c r="BL465">
        <v>600</v>
      </c>
      <c r="BM465" t="s">
        <v>83</v>
      </c>
      <c r="BN465" t="s">
        <v>84</v>
      </c>
      <c r="BO465" t="s">
        <v>85</v>
      </c>
      <c r="BP465" t="s">
        <v>107</v>
      </c>
      <c r="BQ465" t="s">
        <v>569</v>
      </c>
      <c r="BR465" t="s">
        <v>966</v>
      </c>
      <c r="BS465">
        <v>225590</v>
      </c>
      <c r="BT465">
        <v>0</v>
      </c>
      <c r="BU465">
        <v>0</v>
      </c>
      <c r="BV465">
        <v>165105</v>
      </c>
      <c r="BW465">
        <v>0</v>
      </c>
      <c r="BX465">
        <v>19418</v>
      </c>
      <c r="BY465">
        <v>41067</v>
      </c>
      <c r="BZ465">
        <v>1</v>
      </c>
      <c r="CA465" t="s">
        <v>967</v>
      </c>
      <c r="CB465" t="s">
        <v>968</v>
      </c>
      <c r="CC465" s="3">
        <v>46092.557106481479</v>
      </c>
      <c r="CD465" t="s">
        <v>91</v>
      </c>
    </row>
    <row r="466" spans="1:82" ht="16" x14ac:dyDescent="0.2">
      <c r="A466" t="s">
        <v>1151</v>
      </c>
      <c r="B466" t="s">
        <v>845</v>
      </c>
      <c r="C466" t="s">
        <v>846</v>
      </c>
      <c r="D466" t="s">
        <v>78</v>
      </c>
      <c r="E466" t="s">
        <v>847</v>
      </c>
      <c r="F466">
        <v>2</v>
      </c>
      <c r="G466">
        <v>150</v>
      </c>
      <c r="H466" t="str">
        <f t="shared" si="50"/>
        <v>2x150</v>
      </c>
      <c r="I466">
        <v>127</v>
      </c>
      <c r="J466" s="4">
        <f t="shared" si="51"/>
        <v>4.0705128205128206E-2</v>
      </c>
      <c r="K466">
        <v>192</v>
      </c>
      <c r="L466" s="4">
        <f t="shared" si="52"/>
        <v>6.1538461538461542E-2</v>
      </c>
      <c r="M466">
        <v>291</v>
      </c>
      <c r="N466" s="4">
        <f t="shared" si="53"/>
        <v>9.3269230769230771E-2</v>
      </c>
      <c r="O466">
        <v>580</v>
      </c>
      <c r="P466" s="4">
        <f t="shared" si="54"/>
        <v>0.1858974358974359</v>
      </c>
      <c r="Q466" s="6">
        <f t="shared" si="49"/>
        <v>2035</v>
      </c>
      <c r="R466" s="6">
        <f t="shared" si="55"/>
        <v>4</v>
      </c>
      <c r="S466">
        <v>135</v>
      </c>
      <c r="T466">
        <v>-38</v>
      </c>
      <c r="U466">
        <v>7</v>
      </c>
      <c r="V466">
        <v>2</v>
      </c>
      <c r="W466">
        <v>-11</v>
      </c>
      <c r="X466">
        <v>54</v>
      </c>
      <c r="Y466" s="2" t="s">
        <v>848</v>
      </c>
      <c r="Z466">
        <v>45.692720000000001</v>
      </c>
      <c r="AA466">
        <v>8.8024799999999992</v>
      </c>
      <c r="AB466" t="s">
        <v>78</v>
      </c>
      <c r="AC466" t="s">
        <v>81</v>
      </c>
      <c r="AD466" t="s">
        <v>82</v>
      </c>
      <c r="AE466">
        <v>22226</v>
      </c>
      <c r="AF466">
        <v>0</v>
      </c>
      <c r="AG466">
        <v>0</v>
      </c>
      <c r="AH466">
        <v>0</v>
      </c>
      <c r="AI466">
        <v>9345</v>
      </c>
      <c r="AJ466">
        <v>11534</v>
      </c>
      <c r="AK466">
        <v>1347</v>
      </c>
      <c r="AL466">
        <v>7049</v>
      </c>
      <c r="AM466">
        <v>19870</v>
      </c>
      <c r="AN466">
        <v>120504</v>
      </c>
      <c r="AO466">
        <v>362629</v>
      </c>
      <c r="AP466">
        <v>0</v>
      </c>
      <c r="AQ466">
        <v>0</v>
      </c>
      <c r="AR466">
        <v>2</v>
      </c>
      <c r="AS466">
        <v>6</v>
      </c>
      <c r="AT466">
        <v>0</v>
      </c>
      <c r="AU466">
        <v>15</v>
      </c>
      <c r="AV466">
        <v>3</v>
      </c>
      <c r="AW466">
        <v>0</v>
      </c>
      <c r="AX466">
        <v>0</v>
      </c>
      <c r="AY466">
        <v>3</v>
      </c>
      <c r="AZ466">
        <v>0</v>
      </c>
      <c r="BA466">
        <v>9</v>
      </c>
      <c r="BB466">
        <v>18</v>
      </c>
      <c r="BC466">
        <v>5</v>
      </c>
      <c r="BD466">
        <v>3</v>
      </c>
      <c r="BE466">
        <v>0</v>
      </c>
      <c r="BF466">
        <v>3</v>
      </c>
      <c r="BG466">
        <v>0</v>
      </c>
      <c r="BH466">
        <v>6</v>
      </c>
      <c r="BI466">
        <v>3</v>
      </c>
      <c r="BJ466">
        <v>45.692724900000002</v>
      </c>
      <c r="BK466">
        <v>8.8024316000000002</v>
      </c>
      <c r="BL466">
        <v>300</v>
      </c>
      <c r="BM466" t="s">
        <v>83</v>
      </c>
      <c r="BN466" t="s">
        <v>84</v>
      </c>
      <c r="BO466" t="s">
        <v>85</v>
      </c>
      <c r="BP466" t="s">
        <v>107</v>
      </c>
      <c r="BQ466" t="s">
        <v>108</v>
      </c>
      <c r="BR466" t="s">
        <v>305</v>
      </c>
      <c r="BS466">
        <v>444622</v>
      </c>
      <c r="BT466">
        <v>0</v>
      </c>
      <c r="BU466">
        <v>0</v>
      </c>
      <c r="BV466">
        <v>0</v>
      </c>
      <c r="BW466">
        <v>186930</v>
      </c>
      <c r="BX466">
        <v>230716</v>
      </c>
      <c r="BY466">
        <v>26976</v>
      </c>
      <c r="BZ466">
        <v>1</v>
      </c>
      <c r="CA466" t="s">
        <v>849</v>
      </c>
      <c r="CB466" t="s">
        <v>850</v>
      </c>
      <c r="CC466" s="3">
        <v>46092.557106481479</v>
      </c>
      <c r="CD466" t="s">
        <v>91</v>
      </c>
    </row>
    <row r="467" spans="1:82" ht="16" x14ac:dyDescent="0.2">
      <c r="A467" t="s">
        <v>1152</v>
      </c>
      <c r="B467" t="s">
        <v>852</v>
      </c>
      <c r="C467" t="s">
        <v>853</v>
      </c>
      <c r="D467" t="s">
        <v>78</v>
      </c>
      <c r="E467" t="s">
        <v>854</v>
      </c>
      <c r="F467">
        <v>2</v>
      </c>
      <c r="G467">
        <v>150</v>
      </c>
      <c r="H467" t="str">
        <f t="shared" si="50"/>
        <v>2x150</v>
      </c>
      <c r="I467">
        <v>126</v>
      </c>
      <c r="J467" s="4">
        <f t="shared" si="51"/>
        <v>4.0384615384615387E-2</v>
      </c>
      <c r="K467">
        <v>190</v>
      </c>
      <c r="L467" s="4">
        <f t="shared" si="52"/>
        <v>6.0897435897435896E-2</v>
      </c>
      <c r="M467">
        <v>288</v>
      </c>
      <c r="N467" s="4">
        <f t="shared" si="53"/>
        <v>9.2307692307692313E-2</v>
      </c>
      <c r="O467">
        <v>575</v>
      </c>
      <c r="P467" s="4">
        <f t="shared" si="54"/>
        <v>0.18429487179487181</v>
      </c>
      <c r="Q467" s="6">
        <f t="shared" si="49"/>
        <v>2035</v>
      </c>
      <c r="R467" s="6">
        <f t="shared" si="55"/>
        <v>4</v>
      </c>
      <c r="S467">
        <v>135</v>
      </c>
      <c r="T467">
        <v>-41</v>
      </c>
      <c r="U467">
        <v>-11</v>
      </c>
      <c r="V467">
        <v>0</v>
      </c>
      <c r="W467">
        <v>8</v>
      </c>
      <c r="X467">
        <v>58</v>
      </c>
      <c r="Y467" s="2" t="s">
        <v>855</v>
      </c>
      <c r="Z467">
        <v>45.908024980413202</v>
      </c>
      <c r="AA467">
        <v>12.3388209779121</v>
      </c>
      <c r="AB467" t="s">
        <v>78</v>
      </c>
      <c r="AC467" t="s">
        <v>81</v>
      </c>
      <c r="AD467" t="s">
        <v>82</v>
      </c>
      <c r="AE467">
        <v>23018</v>
      </c>
      <c r="AF467">
        <v>0</v>
      </c>
      <c r="AG467">
        <v>0</v>
      </c>
      <c r="AH467">
        <v>19978</v>
      </c>
      <c r="AI467">
        <v>0</v>
      </c>
      <c r="AJ467">
        <v>3040</v>
      </c>
      <c r="AK467">
        <v>0</v>
      </c>
      <c r="AL467">
        <v>1809</v>
      </c>
      <c r="AM467">
        <v>6714</v>
      </c>
      <c r="AN467">
        <v>49608</v>
      </c>
      <c r="AO467">
        <v>143404</v>
      </c>
      <c r="AP467">
        <v>1</v>
      </c>
      <c r="AQ467">
        <v>0</v>
      </c>
      <c r="AR467">
        <v>3</v>
      </c>
      <c r="AS467">
        <v>7</v>
      </c>
      <c r="AT467">
        <v>2</v>
      </c>
      <c r="AU467">
        <v>10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23</v>
      </c>
      <c r="BB467">
        <v>25</v>
      </c>
      <c r="BC467">
        <v>9</v>
      </c>
      <c r="BD467">
        <v>2</v>
      </c>
      <c r="BE467">
        <v>0</v>
      </c>
      <c r="BF467">
        <v>2</v>
      </c>
      <c r="BG467">
        <v>0</v>
      </c>
      <c r="BH467">
        <v>2</v>
      </c>
      <c r="BI467">
        <v>0</v>
      </c>
      <c r="BJ467">
        <v>45.907999199999999</v>
      </c>
      <c r="BK467">
        <v>12.3388671</v>
      </c>
      <c r="BL467">
        <v>300</v>
      </c>
      <c r="BM467" t="s">
        <v>83</v>
      </c>
      <c r="BN467" t="s">
        <v>84</v>
      </c>
      <c r="BO467" t="s">
        <v>85</v>
      </c>
      <c r="BP467" t="s">
        <v>160</v>
      </c>
      <c r="BQ467" t="s">
        <v>161</v>
      </c>
      <c r="BR467" t="s">
        <v>428</v>
      </c>
      <c r="BS467">
        <v>460409</v>
      </c>
      <c r="BT467">
        <v>0</v>
      </c>
      <c r="BU467">
        <v>0</v>
      </c>
      <c r="BV467">
        <v>399588</v>
      </c>
      <c r="BW467">
        <v>0</v>
      </c>
      <c r="BX467">
        <v>60821</v>
      </c>
      <c r="BY467">
        <v>0</v>
      </c>
      <c r="BZ467">
        <v>1</v>
      </c>
      <c r="CA467" t="s">
        <v>856</v>
      </c>
      <c r="CB467" t="s">
        <v>857</v>
      </c>
      <c r="CC467" s="3">
        <v>46092.557106481479</v>
      </c>
      <c r="CD467" t="s">
        <v>91</v>
      </c>
    </row>
    <row r="468" spans="1:82" ht="16" x14ac:dyDescent="0.2">
      <c r="A468" t="s">
        <v>971</v>
      </c>
      <c r="B468" t="s">
        <v>972</v>
      </c>
      <c r="C468" t="s">
        <v>973</v>
      </c>
      <c r="D468" t="s">
        <v>78</v>
      </c>
      <c r="E468" t="s">
        <v>974</v>
      </c>
      <c r="F468">
        <v>2</v>
      </c>
      <c r="G468">
        <v>300</v>
      </c>
      <c r="H468" t="str">
        <f t="shared" si="50"/>
        <v>2x300</v>
      </c>
      <c r="I468">
        <v>125</v>
      </c>
      <c r="J468" s="4">
        <f t="shared" si="51"/>
        <v>3.4722222222222224E-2</v>
      </c>
      <c r="K468">
        <v>189</v>
      </c>
      <c r="L468" s="4">
        <f t="shared" si="52"/>
        <v>5.2499999999999998E-2</v>
      </c>
      <c r="M468">
        <v>287</v>
      </c>
      <c r="N468" s="4">
        <f t="shared" si="53"/>
        <v>7.9722222222222222E-2</v>
      </c>
      <c r="O468">
        <v>572</v>
      </c>
      <c r="P468" s="4">
        <f t="shared" si="54"/>
        <v>0.15888888888888889</v>
      </c>
      <c r="Q468" s="6">
        <f t="shared" si="49"/>
        <v>2035</v>
      </c>
      <c r="R468" s="6">
        <f t="shared" si="55"/>
        <v>4</v>
      </c>
      <c r="S468">
        <v>156</v>
      </c>
      <c r="T468">
        <v>-47</v>
      </c>
      <c r="U468">
        <v>-16</v>
      </c>
      <c r="V468">
        <v>-3</v>
      </c>
      <c r="W468">
        <v>-3</v>
      </c>
      <c r="X468">
        <v>61</v>
      </c>
      <c r="Y468" s="2" t="s">
        <v>975</v>
      </c>
      <c r="Z468">
        <v>45.122408</v>
      </c>
      <c r="AA468">
        <v>8.4636069999999997</v>
      </c>
      <c r="AB468" t="s">
        <v>78</v>
      </c>
      <c r="AC468" t="s">
        <v>81</v>
      </c>
      <c r="AD468" t="s">
        <v>82</v>
      </c>
      <c r="AE468">
        <v>11013</v>
      </c>
      <c r="AF468">
        <v>0</v>
      </c>
      <c r="AG468">
        <v>0</v>
      </c>
      <c r="AH468">
        <v>3704</v>
      </c>
      <c r="AI468">
        <v>0</v>
      </c>
      <c r="AJ468">
        <v>0</v>
      </c>
      <c r="AK468">
        <v>7309</v>
      </c>
      <c r="AL468">
        <v>2690</v>
      </c>
      <c r="AM468">
        <v>18322</v>
      </c>
      <c r="AN468">
        <v>33303</v>
      </c>
      <c r="AO468">
        <v>52942</v>
      </c>
      <c r="AP468">
        <v>0</v>
      </c>
      <c r="AQ468">
        <v>0</v>
      </c>
      <c r="AR468">
        <v>2</v>
      </c>
      <c r="AS468">
        <v>2</v>
      </c>
      <c r="AT468">
        <v>0</v>
      </c>
      <c r="AU468">
        <v>16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11</v>
      </c>
      <c r="BB468">
        <v>27</v>
      </c>
      <c r="BC468">
        <v>9</v>
      </c>
      <c r="BD468">
        <v>2</v>
      </c>
      <c r="BE468">
        <v>0</v>
      </c>
      <c r="BF468">
        <v>2</v>
      </c>
      <c r="BG468">
        <v>0</v>
      </c>
      <c r="BH468">
        <v>5</v>
      </c>
      <c r="BI468">
        <v>0</v>
      </c>
      <c r="BJ468">
        <v>45.122407699999997</v>
      </c>
      <c r="BK468">
        <v>8.4638810000000007</v>
      </c>
      <c r="BL468">
        <v>600</v>
      </c>
      <c r="BM468" t="s">
        <v>83</v>
      </c>
      <c r="BN468" t="s">
        <v>84</v>
      </c>
      <c r="BO468" t="s">
        <v>85</v>
      </c>
      <c r="BP468" t="s">
        <v>107</v>
      </c>
      <c r="BQ468" t="s">
        <v>203</v>
      </c>
      <c r="BR468" t="s">
        <v>671</v>
      </c>
      <c r="BS468">
        <v>220292</v>
      </c>
      <c r="BT468">
        <v>0</v>
      </c>
      <c r="BU468">
        <v>0</v>
      </c>
      <c r="BV468">
        <v>74094</v>
      </c>
      <c r="BW468">
        <v>0</v>
      </c>
      <c r="BX468">
        <v>0</v>
      </c>
      <c r="BY468">
        <v>146198</v>
      </c>
      <c r="BZ468">
        <v>1</v>
      </c>
      <c r="CA468" t="s">
        <v>976</v>
      </c>
      <c r="CB468" t="s">
        <v>977</v>
      </c>
      <c r="CC468" s="3">
        <v>46092.557106481479</v>
      </c>
      <c r="CD468" t="s">
        <v>91</v>
      </c>
    </row>
    <row r="469" spans="1:82" ht="16" x14ac:dyDescent="0.2">
      <c r="A469" t="s">
        <v>1153</v>
      </c>
      <c r="B469" t="s">
        <v>859</v>
      </c>
      <c r="C469" t="s">
        <v>860</v>
      </c>
      <c r="D469" t="s">
        <v>78</v>
      </c>
      <c r="E469" t="s">
        <v>861</v>
      </c>
      <c r="F469">
        <v>2</v>
      </c>
      <c r="G469">
        <v>150</v>
      </c>
      <c r="H469" t="str">
        <f t="shared" si="50"/>
        <v>2x150</v>
      </c>
      <c r="I469">
        <v>125</v>
      </c>
      <c r="J469" s="4">
        <f t="shared" si="51"/>
        <v>4.0064102564102567E-2</v>
      </c>
      <c r="K469">
        <v>188</v>
      </c>
      <c r="L469" s="4">
        <f t="shared" si="52"/>
        <v>6.0256410256410257E-2</v>
      </c>
      <c r="M469">
        <v>286</v>
      </c>
      <c r="N469" s="4">
        <f t="shared" si="53"/>
        <v>9.1666666666666674E-2</v>
      </c>
      <c r="O469">
        <v>570</v>
      </c>
      <c r="P469" s="4">
        <f t="shared" si="54"/>
        <v>0.18269230769230771</v>
      </c>
      <c r="Q469" s="6">
        <f t="shared" si="49"/>
        <v>2035</v>
      </c>
      <c r="R469" s="6">
        <f t="shared" si="55"/>
        <v>4</v>
      </c>
      <c r="S469">
        <v>135</v>
      </c>
      <c r="T469">
        <v>-17</v>
      </c>
      <c r="U469">
        <v>-13</v>
      </c>
      <c r="V469">
        <v>-8</v>
      </c>
      <c r="W469">
        <v>1</v>
      </c>
      <c r="X469">
        <v>43</v>
      </c>
      <c r="Y469" s="2" t="s">
        <v>862</v>
      </c>
      <c r="Z469">
        <v>41.968359999999997</v>
      </c>
      <c r="AA469">
        <v>12.710850000000001</v>
      </c>
      <c r="AB469" t="s">
        <v>78</v>
      </c>
      <c r="AC469" t="s">
        <v>81</v>
      </c>
      <c r="AD469" t="s">
        <v>82</v>
      </c>
      <c r="AE469">
        <v>30880</v>
      </c>
      <c r="AF469">
        <v>0</v>
      </c>
      <c r="AG469">
        <v>0</v>
      </c>
      <c r="AH469">
        <v>6425</v>
      </c>
      <c r="AI469">
        <v>0</v>
      </c>
      <c r="AJ469">
        <v>24455</v>
      </c>
      <c r="AK469">
        <v>0</v>
      </c>
      <c r="AL469">
        <v>5813</v>
      </c>
      <c r="AM469">
        <v>20412</v>
      </c>
      <c r="AN469">
        <v>83970</v>
      </c>
      <c r="AO469">
        <v>287240</v>
      </c>
      <c r="AP469">
        <v>1</v>
      </c>
      <c r="AQ469">
        <v>0</v>
      </c>
      <c r="AR469">
        <v>1</v>
      </c>
      <c r="AS469">
        <v>0</v>
      </c>
      <c r="AT469">
        <v>0</v>
      </c>
      <c r="AU469">
        <v>10</v>
      </c>
      <c r="AV469">
        <v>1</v>
      </c>
      <c r="AW469">
        <v>1</v>
      </c>
      <c r="AX469">
        <v>0</v>
      </c>
      <c r="AY469">
        <v>0</v>
      </c>
      <c r="AZ469">
        <v>0</v>
      </c>
      <c r="BA469">
        <v>6</v>
      </c>
      <c r="BB469">
        <v>14</v>
      </c>
      <c r="BC469">
        <v>4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41.968721299999999</v>
      </c>
      <c r="BK469">
        <v>12.7104082</v>
      </c>
      <c r="BL469">
        <v>300</v>
      </c>
      <c r="BM469" t="s">
        <v>83</v>
      </c>
      <c r="BN469" t="s">
        <v>84</v>
      </c>
      <c r="BO469" t="s">
        <v>85</v>
      </c>
      <c r="BP469" t="s">
        <v>86</v>
      </c>
      <c r="BQ469" t="s">
        <v>87</v>
      </c>
      <c r="BR469" t="s">
        <v>88</v>
      </c>
      <c r="BS469">
        <v>617681</v>
      </c>
      <c r="BT469">
        <v>0</v>
      </c>
      <c r="BU469">
        <v>0</v>
      </c>
      <c r="BV469">
        <v>128519</v>
      </c>
      <c r="BW469">
        <v>0</v>
      </c>
      <c r="BX469">
        <v>489162</v>
      </c>
      <c r="BY469">
        <v>0</v>
      </c>
      <c r="BZ469">
        <v>1</v>
      </c>
      <c r="CA469" t="s">
        <v>863</v>
      </c>
      <c r="CB469" t="s">
        <v>864</v>
      </c>
      <c r="CC469" s="3">
        <v>46092.557106481479</v>
      </c>
      <c r="CD469" t="s">
        <v>91</v>
      </c>
    </row>
    <row r="470" spans="1:82" ht="16" x14ac:dyDescent="0.2">
      <c r="A470" t="s">
        <v>1155</v>
      </c>
      <c r="B470" t="s">
        <v>866</v>
      </c>
      <c r="C470" t="s">
        <v>867</v>
      </c>
      <c r="D470" t="s">
        <v>78</v>
      </c>
      <c r="E470" t="s">
        <v>868</v>
      </c>
      <c r="F470">
        <v>2</v>
      </c>
      <c r="G470">
        <v>150</v>
      </c>
      <c r="H470" t="str">
        <f t="shared" si="50"/>
        <v>2x150</v>
      </c>
      <c r="I470">
        <v>125</v>
      </c>
      <c r="J470" s="4">
        <f t="shared" si="51"/>
        <v>4.0064102564102567E-2</v>
      </c>
      <c r="K470">
        <v>188</v>
      </c>
      <c r="L470" s="4">
        <f t="shared" si="52"/>
        <v>6.0256410256410257E-2</v>
      </c>
      <c r="M470">
        <v>285</v>
      </c>
      <c r="N470" s="4">
        <f t="shared" si="53"/>
        <v>9.1346153846153855E-2</v>
      </c>
      <c r="O470">
        <v>570</v>
      </c>
      <c r="P470" s="4">
        <f t="shared" si="54"/>
        <v>0.18269230769230771</v>
      </c>
      <c r="Q470" s="6">
        <f t="shared" si="49"/>
        <v>2035</v>
      </c>
      <c r="R470" s="6">
        <f t="shared" si="55"/>
        <v>4</v>
      </c>
      <c r="S470">
        <v>135</v>
      </c>
      <c r="T470">
        <v>-42</v>
      </c>
      <c r="U470">
        <v>-16</v>
      </c>
      <c r="V470">
        <v>5</v>
      </c>
      <c r="W470">
        <v>8</v>
      </c>
      <c r="X470">
        <v>56</v>
      </c>
      <c r="Y470" s="2" t="s">
        <v>869</v>
      </c>
      <c r="Z470">
        <v>42.767969999999998</v>
      </c>
      <c r="AA470">
        <v>13.955730000000001</v>
      </c>
      <c r="AB470" t="s">
        <v>78</v>
      </c>
      <c r="AC470" t="s">
        <v>81</v>
      </c>
      <c r="AD470" t="s">
        <v>82</v>
      </c>
      <c r="AE470">
        <v>13691</v>
      </c>
      <c r="AF470">
        <v>0</v>
      </c>
      <c r="AG470">
        <v>0</v>
      </c>
      <c r="AH470">
        <v>7149</v>
      </c>
      <c r="AI470">
        <v>0</v>
      </c>
      <c r="AJ470">
        <v>4142</v>
      </c>
      <c r="AK470">
        <v>2400</v>
      </c>
      <c r="AL470">
        <v>2299</v>
      </c>
      <c r="AM470">
        <v>9706</v>
      </c>
      <c r="AN470">
        <v>34208</v>
      </c>
      <c r="AO470">
        <v>71756</v>
      </c>
      <c r="AP470">
        <v>1</v>
      </c>
      <c r="AQ470">
        <v>0</v>
      </c>
      <c r="AR470">
        <v>3</v>
      </c>
      <c r="AS470">
        <v>4</v>
      </c>
      <c r="AT470">
        <v>0</v>
      </c>
      <c r="AU470">
        <v>17</v>
      </c>
      <c r="AV470">
        <v>5</v>
      </c>
      <c r="AW470">
        <v>0</v>
      </c>
      <c r="AX470">
        <v>1</v>
      </c>
      <c r="AY470">
        <v>0</v>
      </c>
      <c r="AZ470">
        <v>0</v>
      </c>
      <c r="BA470">
        <v>2</v>
      </c>
      <c r="BB470">
        <v>6</v>
      </c>
      <c r="BC470">
        <v>1</v>
      </c>
      <c r="BD470">
        <v>2</v>
      </c>
      <c r="BE470">
        <v>0</v>
      </c>
      <c r="BF470">
        <v>2</v>
      </c>
      <c r="BG470">
        <v>0</v>
      </c>
      <c r="BH470">
        <v>2</v>
      </c>
      <c r="BI470">
        <v>0</v>
      </c>
      <c r="BJ470">
        <v>42.767929899999999</v>
      </c>
      <c r="BK470">
        <v>13.95553</v>
      </c>
      <c r="BL470">
        <v>300</v>
      </c>
      <c r="BM470" t="s">
        <v>83</v>
      </c>
      <c r="BN470" t="s">
        <v>84</v>
      </c>
      <c r="BO470" t="s">
        <v>85</v>
      </c>
      <c r="BP470" t="s">
        <v>97</v>
      </c>
      <c r="BQ470" t="s">
        <v>870</v>
      </c>
      <c r="BR470" t="s">
        <v>871</v>
      </c>
      <c r="BS470">
        <v>273879</v>
      </c>
      <c r="BT470">
        <v>0</v>
      </c>
      <c r="BU470">
        <v>0</v>
      </c>
      <c r="BV470">
        <v>142994</v>
      </c>
      <c r="BW470">
        <v>0</v>
      </c>
      <c r="BX470">
        <v>82878</v>
      </c>
      <c r="BY470">
        <v>48007</v>
      </c>
      <c r="BZ470">
        <v>1</v>
      </c>
      <c r="CA470" t="s">
        <v>872</v>
      </c>
      <c r="CB470" t="s">
        <v>873</v>
      </c>
      <c r="CC470" s="3">
        <v>46092.557106481479</v>
      </c>
      <c r="CD470" t="s">
        <v>91</v>
      </c>
    </row>
    <row r="471" spans="1:82" ht="16" x14ac:dyDescent="0.2">
      <c r="A471" t="s">
        <v>1156</v>
      </c>
      <c r="B471" t="s">
        <v>875</v>
      </c>
      <c r="C471" t="s">
        <v>876</v>
      </c>
      <c r="D471" t="s">
        <v>78</v>
      </c>
      <c r="E471" t="s">
        <v>877</v>
      </c>
      <c r="F471">
        <v>2</v>
      </c>
      <c r="G471">
        <v>150</v>
      </c>
      <c r="H471" t="str">
        <f t="shared" si="50"/>
        <v>2x150</v>
      </c>
      <c r="I471">
        <v>124</v>
      </c>
      <c r="J471" s="4">
        <f t="shared" si="51"/>
        <v>3.9743589743589748E-2</v>
      </c>
      <c r="K471">
        <v>187</v>
      </c>
      <c r="L471" s="4">
        <f t="shared" si="52"/>
        <v>5.9935897435897438E-2</v>
      </c>
      <c r="M471">
        <v>283</v>
      </c>
      <c r="N471" s="4">
        <f t="shared" si="53"/>
        <v>9.0705128205128202E-2</v>
      </c>
      <c r="O471">
        <v>565</v>
      </c>
      <c r="P471" s="4">
        <f t="shared" si="54"/>
        <v>0.18108974358974358</v>
      </c>
      <c r="Q471" s="6">
        <f t="shared" si="49"/>
        <v>2035</v>
      </c>
      <c r="R471" s="6">
        <f t="shared" si="55"/>
        <v>4</v>
      </c>
      <c r="S471">
        <v>135</v>
      </c>
      <c r="T471">
        <v>-36</v>
      </c>
      <c r="U471">
        <v>2</v>
      </c>
      <c r="V471">
        <v>-3</v>
      </c>
      <c r="W471">
        <v>-8</v>
      </c>
      <c r="X471">
        <v>55</v>
      </c>
      <c r="Y471" s="2" t="s">
        <v>878</v>
      </c>
      <c r="Z471">
        <v>45.430994195353897</v>
      </c>
      <c r="AA471">
        <v>10.518557261578501</v>
      </c>
      <c r="AB471" t="s">
        <v>78</v>
      </c>
      <c r="AC471" t="s">
        <v>81</v>
      </c>
      <c r="AD471" t="s">
        <v>82</v>
      </c>
      <c r="AE471">
        <v>9124</v>
      </c>
      <c r="AF471">
        <v>0</v>
      </c>
      <c r="AG471">
        <v>0</v>
      </c>
      <c r="AH471">
        <v>0</v>
      </c>
      <c r="AI471">
        <v>0</v>
      </c>
      <c r="AJ471">
        <v>9124</v>
      </c>
      <c r="AK471">
        <v>0</v>
      </c>
      <c r="AL471">
        <v>194</v>
      </c>
      <c r="AM471">
        <v>1647</v>
      </c>
      <c r="AN471">
        <v>38176</v>
      </c>
      <c r="AO471">
        <v>117109</v>
      </c>
      <c r="AP471">
        <v>0</v>
      </c>
      <c r="AQ471">
        <v>0</v>
      </c>
      <c r="AR471">
        <v>3</v>
      </c>
      <c r="AS471">
        <v>7</v>
      </c>
      <c r="AT471">
        <v>0</v>
      </c>
      <c r="AU471">
        <v>6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12</v>
      </c>
      <c r="BB471">
        <v>16</v>
      </c>
      <c r="BC471">
        <v>10</v>
      </c>
      <c r="BD471">
        <v>0</v>
      </c>
      <c r="BE471">
        <v>5</v>
      </c>
      <c r="BF471">
        <v>0</v>
      </c>
      <c r="BG471">
        <v>5</v>
      </c>
      <c r="BH471">
        <v>0</v>
      </c>
      <c r="BI471">
        <v>5</v>
      </c>
      <c r="BJ471">
        <v>45.430881800000002</v>
      </c>
      <c r="BK471">
        <v>10.5185814</v>
      </c>
      <c r="BL471">
        <v>300</v>
      </c>
      <c r="BM471" t="s">
        <v>83</v>
      </c>
      <c r="BN471" t="s">
        <v>84</v>
      </c>
      <c r="BO471" t="s">
        <v>85</v>
      </c>
      <c r="BP471" t="s">
        <v>107</v>
      </c>
      <c r="BQ471" t="s">
        <v>108</v>
      </c>
      <c r="BR471" t="s">
        <v>179</v>
      </c>
      <c r="BS471">
        <v>182504</v>
      </c>
      <c r="BT471">
        <v>0</v>
      </c>
      <c r="BU471">
        <v>0</v>
      </c>
      <c r="BV471">
        <v>0</v>
      </c>
      <c r="BW471">
        <v>0</v>
      </c>
      <c r="BX471">
        <v>182504</v>
      </c>
      <c r="BY471">
        <v>0</v>
      </c>
      <c r="BZ471">
        <v>1</v>
      </c>
      <c r="CA471" t="s">
        <v>879</v>
      </c>
      <c r="CB471" t="s">
        <v>880</v>
      </c>
      <c r="CC471" s="3">
        <v>46092.557106481479</v>
      </c>
      <c r="CD471" t="s">
        <v>91</v>
      </c>
    </row>
    <row r="472" spans="1:82" ht="16" x14ac:dyDescent="0.2">
      <c r="A472" t="s">
        <v>1157</v>
      </c>
      <c r="B472" t="s">
        <v>882</v>
      </c>
      <c r="C472" t="s">
        <v>883</v>
      </c>
      <c r="D472" t="s">
        <v>78</v>
      </c>
      <c r="E472" t="s">
        <v>884</v>
      </c>
      <c r="F472">
        <v>2</v>
      </c>
      <c r="G472">
        <v>150</v>
      </c>
      <c r="H472" t="str">
        <f t="shared" si="50"/>
        <v>2x150</v>
      </c>
      <c r="I472">
        <v>123</v>
      </c>
      <c r="J472" s="4">
        <f t="shared" si="51"/>
        <v>3.9423076923076922E-2</v>
      </c>
      <c r="K472">
        <v>186</v>
      </c>
      <c r="L472" s="4">
        <f t="shared" si="52"/>
        <v>5.9615384615384619E-2</v>
      </c>
      <c r="M472">
        <v>282</v>
      </c>
      <c r="N472" s="4">
        <f t="shared" si="53"/>
        <v>9.0384615384615383E-2</v>
      </c>
      <c r="O472">
        <v>563</v>
      </c>
      <c r="P472" s="4">
        <f t="shared" si="54"/>
        <v>0.18044871794871795</v>
      </c>
      <c r="Q472" s="6">
        <f t="shared" si="49"/>
        <v>2035</v>
      </c>
      <c r="R472" s="6">
        <f t="shared" si="55"/>
        <v>4</v>
      </c>
      <c r="S472">
        <v>135</v>
      </c>
      <c r="T472">
        <v>-31</v>
      </c>
      <c r="U472">
        <v>-15</v>
      </c>
      <c r="V472">
        <v>-5</v>
      </c>
      <c r="W472">
        <v>7</v>
      </c>
      <c r="X472">
        <v>48</v>
      </c>
      <c r="Y472" s="2" t="s">
        <v>885</v>
      </c>
      <c r="Z472">
        <v>43.859022699999997</v>
      </c>
      <c r="AA472">
        <v>10.763140699999999</v>
      </c>
      <c r="AB472" t="s">
        <v>78</v>
      </c>
      <c r="AC472" t="s">
        <v>81</v>
      </c>
      <c r="AD472" t="s">
        <v>82</v>
      </c>
      <c r="AE472">
        <v>22201</v>
      </c>
      <c r="AF472">
        <v>0</v>
      </c>
      <c r="AG472">
        <v>0</v>
      </c>
      <c r="AH472">
        <v>0</v>
      </c>
      <c r="AI472">
        <v>0</v>
      </c>
      <c r="AJ472">
        <v>22201</v>
      </c>
      <c r="AK472">
        <v>0</v>
      </c>
      <c r="AL472">
        <v>1564</v>
      </c>
      <c r="AM472">
        <v>9855</v>
      </c>
      <c r="AN472">
        <v>73885</v>
      </c>
      <c r="AO472">
        <v>139401</v>
      </c>
      <c r="AP472">
        <v>0</v>
      </c>
      <c r="AQ472">
        <v>0</v>
      </c>
      <c r="AR472">
        <v>1</v>
      </c>
      <c r="AS472">
        <v>7</v>
      </c>
      <c r="AT472">
        <v>0</v>
      </c>
      <c r="AU472">
        <v>17</v>
      </c>
      <c r="AV472">
        <v>1</v>
      </c>
      <c r="AW472">
        <v>0</v>
      </c>
      <c r="AX472">
        <v>0</v>
      </c>
      <c r="AY472">
        <v>0</v>
      </c>
      <c r="AZ472">
        <v>1</v>
      </c>
      <c r="BA472">
        <v>11</v>
      </c>
      <c r="BB472">
        <v>15</v>
      </c>
      <c r="BC472">
        <v>9</v>
      </c>
      <c r="BD472">
        <v>2</v>
      </c>
      <c r="BE472">
        <v>0</v>
      </c>
      <c r="BF472">
        <v>2</v>
      </c>
      <c r="BG472">
        <v>0</v>
      </c>
      <c r="BH472">
        <v>2</v>
      </c>
      <c r="BI472">
        <v>0</v>
      </c>
      <c r="BJ472">
        <v>43.859012300000003</v>
      </c>
      <c r="BK472">
        <v>10.763164700000001</v>
      </c>
      <c r="BL472">
        <v>300</v>
      </c>
      <c r="BM472" t="s">
        <v>83</v>
      </c>
      <c r="BN472" t="s">
        <v>84</v>
      </c>
      <c r="BO472" t="s">
        <v>85</v>
      </c>
      <c r="BP472" t="s">
        <v>86</v>
      </c>
      <c r="BQ472" t="s">
        <v>212</v>
      </c>
      <c r="BR472" t="s">
        <v>886</v>
      </c>
      <c r="BS472">
        <v>444130</v>
      </c>
      <c r="BT472">
        <v>0</v>
      </c>
      <c r="BU472">
        <v>0</v>
      </c>
      <c r="BV472">
        <v>0</v>
      </c>
      <c r="BW472">
        <v>0</v>
      </c>
      <c r="BX472">
        <v>444130</v>
      </c>
      <c r="BY472">
        <v>0</v>
      </c>
      <c r="BZ472">
        <v>1</v>
      </c>
      <c r="CA472" t="s">
        <v>887</v>
      </c>
      <c r="CB472" t="s">
        <v>888</v>
      </c>
      <c r="CC472" s="3">
        <v>46092.557106481479</v>
      </c>
      <c r="CD472" t="s">
        <v>91</v>
      </c>
    </row>
    <row r="473" spans="1:82" ht="16" x14ac:dyDescent="0.2">
      <c r="A473" t="s">
        <v>979</v>
      </c>
      <c r="B473" t="s">
        <v>980</v>
      </c>
      <c r="C473" t="s">
        <v>981</v>
      </c>
      <c r="D473" t="s">
        <v>78</v>
      </c>
      <c r="E473" t="s">
        <v>982</v>
      </c>
      <c r="F473">
        <v>2</v>
      </c>
      <c r="G473">
        <v>300</v>
      </c>
      <c r="H473" t="str">
        <f t="shared" si="50"/>
        <v>2x300</v>
      </c>
      <c r="I473">
        <v>123</v>
      </c>
      <c r="J473" s="4">
        <f t="shared" si="51"/>
        <v>3.4166666666666665E-2</v>
      </c>
      <c r="K473">
        <v>186</v>
      </c>
      <c r="L473" s="4">
        <f t="shared" si="52"/>
        <v>5.1666666666666666E-2</v>
      </c>
      <c r="M473">
        <v>282</v>
      </c>
      <c r="N473" s="4">
        <f t="shared" si="53"/>
        <v>7.8333333333333324E-2</v>
      </c>
      <c r="O473">
        <v>563</v>
      </c>
      <c r="P473" s="4">
        <f t="shared" si="54"/>
        <v>0.15638888888888888</v>
      </c>
      <c r="Q473" s="6">
        <f t="shared" si="49"/>
        <v>2035</v>
      </c>
      <c r="R473" s="6">
        <f t="shared" si="55"/>
        <v>4</v>
      </c>
      <c r="S473">
        <v>156</v>
      </c>
      <c r="T473">
        <v>-48</v>
      </c>
      <c r="U473">
        <v>-16</v>
      </c>
      <c r="V473">
        <v>-5</v>
      </c>
      <c r="W473">
        <v>-2</v>
      </c>
      <c r="X473">
        <v>61</v>
      </c>
      <c r="Y473" s="2" t="s">
        <v>983</v>
      </c>
      <c r="Z473">
        <v>45.434049365696602</v>
      </c>
      <c r="AA473">
        <v>8.7128907441756294</v>
      </c>
      <c r="AB473" t="s">
        <v>78</v>
      </c>
      <c r="AC473" t="s">
        <v>81</v>
      </c>
      <c r="AD473" t="s">
        <v>82</v>
      </c>
      <c r="AE473">
        <v>28886</v>
      </c>
      <c r="AF473">
        <v>0</v>
      </c>
      <c r="AG473">
        <v>0</v>
      </c>
      <c r="AH473">
        <v>23116</v>
      </c>
      <c r="AI473">
        <v>513</v>
      </c>
      <c r="AJ473">
        <v>2611</v>
      </c>
      <c r="AK473">
        <v>2646</v>
      </c>
      <c r="AL473">
        <v>1830</v>
      </c>
      <c r="AM473">
        <v>9226</v>
      </c>
      <c r="AN473">
        <v>40525</v>
      </c>
      <c r="AO473">
        <v>171366</v>
      </c>
      <c r="AP473">
        <v>0</v>
      </c>
      <c r="AQ473">
        <v>0</v>
      </c>
      <c r="AR473">
        <v>1</v>
      </c>
      <c r="AS473">
        <v>2</v>
      </c>
      <c r="AT473">
        <v>0</v>
      </c>
      <c r="AU473">
        <v>9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6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45.434079199999999</v>
      </c>
      <c r="BK473">
        <v>8.7128285999999999</v>
      </c>
      <c r="BL473">
        <v>600</v>
      </c>
      <c r="BM473" t="s">
        <v>83</v>
      </c>
      <c r="BN473" t="s">
        <v>84</v>
      </c>
      <c r="BO473" t="s">
        <v>85</v>
      </c>
      <c r="BP473" t="s">
        <v>107</v>
      </c>
      <c r="BQ473" t="s">
        <v>203</v>
      </c>
      <c r="BR473" t="s">
        <v>310</v>
      </c>
      <c r="BS473">
        <v>567551</v>
      </c>
      <c r="BT473">
        <v>0</v>
      </c>
      <c r="BU473">
        <v>0</v>
      </c>
      <c r="BV473">
        <v>462340</v>
      </c>
      <c r="BW473">
        <v>0</v>
      </c>
      <c r="BX473">
        <v>52286</v>
      </c>
      <c r="BY473">
        <v>52925</v>
      </c>
      <c r="BZ473">
        <v>1</v>
      </c>
      <c r="CA473" t="s">
        <v>984</v>
      </c>
      <c r="CB473" t="s">
        <v>985</v>
      </c>
      <c r="CC473" s="3">
        <v>46092.557106481479</v>
      </c>
      <c r="CD473" t="s">
        <v>91</v>
      </c>
    </row>
    <row r="474" spans="1:82" ht="16" x14ac:dyDescent="0.2">
      <c r="A474" t="s">
        <v>986</v>
      </c>
      <c r="B474" t="s">
        <v>987</v>
      </c>
      <c r="C474" t="s">
        <v>988</v>
      </c>
      <c r="D474" t="s">
        <v>78</v>
      </c>
      <c r="E474" t="s">
        <v>989</v>
      </c>
      <c r="F474">
        <v>2</v>
      </c>
      <c r="G474">
        <v>300</v>
      </c>
      <c r="H474" t="str">
        <f t="shared" si="50"/>
        <v>2x300</v>
      </c>
      <c r="I474">
        <v>123</v>
      </c>
      <c r="J474" s="4">
        <f t="shared" si="51"/>
        <v>3.4166666666666665E-2</v>
      </c>
      <c r="K474">
        <v>185</v>
      </c>
      <c r="L474" s="4">
        <f t="shared" si="52"/>
        <v>5.1388888888888894E-2</v>
      </c>
      <c r="M474">
        <v>281</v>
      </c>
      <c r="N474" s="4">
        <f t="shared" si="53"/>
        <v>7.8055555555555559E-2</v>
      </c>
      <c r="O474">
        <v>560</v>
      </c>
      <c r="P474" s="4">
        <f t="shared" si="54"/>
        <v>0.15555555555555556</v>
      </c>
      <c r="Q474" s="6">
        <f t="shared" si="49"/>
        <v>2035</v>
      </c>
      <c r="R474" s="6">
        <f t="shared" si="55"/>
        <v>4</v>
      </c>
      <c r="S474">
        <v>156</v>
      </c>
      <c r="T474">
        <v>-44</v>
      </c>
      <c r="U474">
        <v>-17</v>
      </c>
      <c r="V474">
        <v>0</v>
      </c>
      <c r="W474">
        <v>-12</v>
      </c>
      <c r="X474">
        <v>62</v>
      </c>
      <c r="Y474" s="2" t="s">
        <v>990</v>
      </c>
      <c r="Z474">
        <v>39.891739999999999</v>
      </c>
      <c r="AA474">
        <v>8.5995299999999997</v>
      </c>
      <c r="AB474" t="s">
        <v>78</v>
      </c>
      <c r="AC474" t="s">
        <v>81</v>
      </c>
      <c r="AD474" t="s">
        <v>82</v>
      </c>
      <c r="AE474">
        <v>6129</v>
      </c>
      <c r="AF474">
        <v>0</v>
      </c>
      <c r="AG474">
        <v>0</v>
      </c>
      <c r="AH474">
        <v>0</v>
      </c>
      <c r="AI474">
        <v>4092</v>
      </c>
      <c r="AJ474">
        <v>1677</v>
      </c>
      <c r="AK474">
        <v>360</v>
      </c>
      <c r="AL474">
        <v>7419</v>
      </c>
      <c r="AM474">
        <v>21773</v>
      </c>
      <c r="AN474">
        <v>34716</v>
      </c>
      <c r="AO474">
        <v>52848</v>
      </c>
      <c r="AP474">
        <v>1</v>
      </c>
      <c r="AQ474">
        <v>0</v>
      </c>
      <c r="AR474">
        <v>4</v>
      </c>
      <c r="AS474">
        <v>6</v>
      </c>
      <c r="AT474">
        <v>1</v>
      </c>
      <c r="AU474">
        <v>12</v>
      </c>
      <c r="AV474">
        <v>4</v>
      </c>
      <c r="AW474">
        <v>1</v>
      </c>
      <c r="AX474">
        <v>0</v>
      </c>
      <c r="AY474">
        <v>0</v>
      </c>
      <c r="AZ474">
        <v>1</v>
      </c>
      <c r="BA474">
        <v>22</v>
      </c>
      <c r="BB474">
        <v>46</v>
      </c>
      <c r="BC474">
        <v>5</v>
      </c>
      <c r="BD474">
        <v>4</v>
      </c>
      <c r="BE474">
        <v>0</v>
      </c>
      <c r="BF474">
        <v>6</v>
      </c>
      <c r="BG474">
        <v>0</v>
      </c>
      <c r="BH474">
        <v>6</v>
      </c>
      <c r="BI474">
        <v>0</v>
      </c>
      <c r="BJ474">
        <v>39.891651199999998</v>
      </c>
      <c r="BK474">
        <v>8.5993732999999999</v>
      </c>
      <c r="BL474">
        <v>600</v>
      </c>
      <c r="BM474" t="s">
        <v>83</v>
      </c>
      <c r="BN474" t="s">
        <v>84</v>
      </c>
      <c r="BO474" t="s">
        <v>85</v>
      </c>
      <c r="BP474" t="s">
        <v>242</v>
      </c>
      <c r="BQ474" t="s">
        <v>335</v>
      </c>
      <c r="BR474" t="s">
        <v>988</v>
      </c>
      <c r="BS474">
        <v>122639</v>
      </c>
      <c r="BT474">
        <v>0</v>
      </c>
      <c r="BU474">
        <v>0</v>
      </c>
      <c r="BV474">
        <v>0</v>
      </c>
      <c r="BW474">
        <v>81868</v>
      </c>
      <c r="BX474">
        <v>33552</v>
      </c>
      <c r="BY474">
        <v>7219</v>
      </c>
      <c r="BZ474">
        <v>1</v>
      </c>
      <c r="CA474" t="s">
        <v>991</v>
      </c>
      <c r="CB474" t="s">
        <v>992</v>
      </c>
      <c r="CC474" s="3">
        <v>46092.557106481479</v>
      </c>
      <c r="CD474" t="s">
        <v>91</v>
      </c>
    </row>
    <row r="475" spans="1:82" ht="16" x14ac:dyDescent="0.2">
      <c r="A475" t="s">
        <v>994</v>
      </c>
      <c r="B475" t="s">
        <v>995</v>
      </c>
      <c r="C475" t="s">
        <v>996</v>
      </c>
      <c r="D475" t="s">
        <v>78</v>
      </c>
      <c r="E475" t="s">
        <v>997</v>
      </c>
      <c r="F475">
        <v>2</v>
      </c>
      <c r="G475">
        <v>300</v>
      </c>
      <c r="H475" t="str">
        <f t="shared" si="50"/>
        <v>2x300</v>
      </c>
      <c r="I475">
        <v>121</v>
      </c>
      <c r="J475" s="4">
        <f t="shared" si="51"/>
        <v>3.3611111111111112E-2</v>
      </c>
      <c r="K475">
        <v>183</v>
      </c>
      <c r="L475" s="4">
        <f t="shared" si="52"/>
        <v>5.0833333333333335E-2</v>
      </c>
      <c r="M475">
        <v>278</v>
      </c>
      <c r="N475" s="4">
        <f t="shared" si="53"/>
        <v>7.722222222222222E-2</v>
      </c>
      <c r="O475">
        <v>555</v>
      </c>
      <c r="P475" s="4">
        <f t="shared" si="54"/>
        <v>0.15416666666666667</v>
      </c>
      <c r="Q475" s="6">
        <f t="shared" si="49"/>
        <v>2035</v>
      </c>
      <c r="R475" s="6">
        <f t="shared" si="55"/>
        <v>4</v>
      </c>
      <c r="S475">
        <v>156</v>
      </c>
      <c r="T475">
        <v>-47</v>
      </c>
      <c r="U475">
        <v>-16</v>
      </c>
      <c r="V475">
        <v>3</v>
      </c>
      <c r="W475">
        <v>-7</v>
      </c>
      <c r="X475">
        <v>56</v>
      </c>
      <c r="Y475" s="2" t="s">
        <v>998</v>
      </c>
      <c r="Z475">
        <v>41.5821194067058</v>
      </c>
      <c r="AA475">
        <v>12.8267747932526</v>
      </c>
      <c r="AB475" t="s">
        <v>78</v>
      </c>
      <c r="AC475" t="s">
        <v>81</v>
      </c>
      <c r="AD475" t="s">
        <v>82</v>
      </c>
      <c r="AE475">
        <v>20459</v>
      </c>
      <c r="AF475">
        <v>0</v>
      </c>
      <c r="AG475">
        <v>0</v>
      </c>
      <c r="AH475">
        <v>7036</v>
      </c>
      <c r="AI475">
        <v>0</v>
      </c>
      <c r="AJ475">
        <v>10966</v>
      </c>
      <c r="AK475">
        <v>2457</v>
      </c>
      <c r="AL475">
        <v>6659</v>
      </c>
      <c r="AM475">
        <v>16552</v>
      </c>
      <c r="AN475">
        <v>32105</v>
      </c>
      <c r="AO475">
        <v>62987</v>
      </c>
      <c r="AP475">
        <v>0</v>
      </c>
      <c r="AQ475">
        <v>0</v>
      </c>
      <c r="AR475">
        <v>4</v>
      </c>
      <c r="AS475">
        <v>8</v>
      </c>
      <c r="AT475">
        <v>4</v>
      </c>
      <c r="AU475">
        <v>14</v>
      </c>
      <c r="AV475">
        <v>0</v>
      </c>
      <c r="AW475">
        <v>1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4</v>
      </c>
      <c r="BI475">
        <v>0</v>
      </c>
      <c r="BJ475">
        <v>41.58229</v>
      </c>
      <c r="BK475">
        <v>12.8262099</v>
      </c>
      <c r="BL475">
        <v>600</v>
      </c>
      <c r="BM475" t="s">
        <v>83</v>
      </c>
      <c r="BN475" t="s">
        <v>84</v>
      </c>
      <c r="BO475" t="s">
        <v>85</v>
      </c>
      <c r="BP475" t="s">
        <v>86</v>
      </c>
      <c r="BQ475" t="s">
        <v>87</v>
      </c>
      <c r="BR475" t="s">
        <v>772</v>
      </c>
      <c r="BS475">
        <v>398692</v>
      </c>
      <c r="BT475">
        <v>0</v>
      </c>
      <c r="BU475">
        <v>0</v>
      </c>
      <c r="BV475">
        <v>140752</v>
      </c>
      <c r="BW475">
        <v>0</v>
      </c>
      <c r="BX475">
        <v>208757</v>
      </c>
      <c r="BY475">
        <v>49183</v>
      </c>
      <c r="BZ475">
        <v>1</v>
      </c>
      <c r="CA475" t="s">
        <v>999</v>
      </c>
      <c r="CB475" t="s">
        <v>1000</v>
      </c>
      <c r="CC475" s="3">
        <v>46092.557106481479</v>
      </c>
      <c r="CD475" t="s">
        <v>91</v>
      </c>
    </row>
    <row r="476" spans="1:82" ht="16" x14ac:dyDescent="0.2">
      <c r="A476" t="s">
        <v>1158</v>
      </c>
      <c r="B476" t="s">
        <v>890</v>
      </c>
      <c r="C476" t="s">
        <v>891</v>
      </c>
      <c r="D476" t="s">
        <v>78</v>
      </c>
      <c r="E476" t="s">
        <v>892</v>
      </c>
      <c r="F476">
        <v>2</v>
      </c>
      <c r="G476">
        <v>150</v>
      </c>
      <c r="H476" t="str">
        <f t="shared" si="50"/>
        <v>2x150</v>
      </c>
      <c r="I476">
        <v>121</v>
      </c>
      <c r="J476" s="4">
        <f t="shared" si="51"/>
        <v>3.8782051282051283E-2</v>
      </c>
      <c r="K476">
        <v>183</v>
      </c>
      <c r="L476" s="4">
        <f t="shared" si="52"/>
        <v>5.8653846153846161E-2</v>
      </c>
      <c r="M476">
        <v>278</v>
      </c>
      <c r="N476" s="4">
        <f t="shared" si="53"/>
        <v>8.9102564102564105E-2</v>
      </c>
      <c r="O476">
        <v>554</v>
      </c>
      <c r="P476" s="4">
        <f t="shared" si="54"/>
        <v>0.17756410256410257</v>
      </c>
      <c r="Q476" s="6">
        <f t="shared" si="49"/>
        <v>2035</v>
      </c>
      <c r="R476" s="6">
        <f t="shared" si="55"/>
        <v>4</v>
      </c>
      <c r="S476">
        <v>135</v>
      </c>
      <c r="T476">
        <v>-16</v>
      </c>
      <c r="U476">
        <v>-17</v>
      </c>
      <c r="V476">
        <v>-6</v>
      </c>
      <c r="W476">
        <v>-9</v>
      </c>
      <c r="X476">
        <v>58</v>
      </c>
      <c r="Y476" s="2" t="s">
        <v>893</v>
      </c>
      <c r="Z476">
        <v>43.720547000000003</v>
      </c>
      <c r="AA476">
        <v>10.979559200000001</v>
      </c>
      <c r="AB476" t="s">
        <v>78</v>
      </c>
      <c r="AC476" t="s">
        <v>81</v>
      </c>
      <c r="AD476" t="s">
        <v>82</v>
      </c>
      <c r="AE476">
        <v>75237</v>
      </c>
      <c r="AF476">
        <v>0</v>
      </c>
      <c r="AG476">
        <v>0</v>
      </c>
      <c r="AH476">
        <v>51717</v>
      </c>
      <c r="AI476">
        <v>9416</v>
      </c>
      <c r="AJ476">
        <v>13711</v>
      </c>
      <c r="AK476">
        <v>393</v>
      </c>
      <c r="AL476">
        <v>1146</v>
      </c>
      <c r="AM476">
        <v>13848</v>
      </c>
      <c r="AN476">
        <v>69024</v>
      </c>
      <c r="AO476">
        <v>108694</v>
      </c>
      <c r="AP476">
        <v>0</v>
      </c>
      <c r="AQ476">
        <v>0</v>
      </c>
      <c r="AR476">
        <v>1</v>
      </c>
      <c r="AS476">
        <v>8</v>
      </c>
      <c r="AT476">
        <v>0</v>
      </c>
      <c r="AU476">
        <v>12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10</v>
      </c>
      <c r="BB476">
        <v>12</v>
      </c>
      <c r="BC476">
        <v>6</v>
      </c>
      <c r="BD476">
        <v>0</v>
      </c>
      <c r="BE476">
        <v>2</v>
      </c>
      <c r="BF476">
        <v>0</v>
      </c>
      <c r="BG476">
        <v>2</v>
      </c>
      <c r="BH476">
        <v>0</v>
      </c>
      <c r="BI476">
        <v>2</v>
      </c>
      <c r="BJ476">
        <v>43.720489999999998</v>
      </c>
      <c r="BK476">
        <v>10.979579899999999</v>
      </c>
      <c r="BL476">
        <v>300</v>
      </c>
      <c r="BM476" t="s">
        <v>83</v>
      </c>
      <c r="BN476" t="s">
        <v>84</v>
      </c>
      <c r="BO476" t="s">
        <v>85</v>
      </c>
      <c r="BP476" t="s">
        <v>86</v>
      </c>
      <c r="BQ476" t="s">
        <v>212</v>
      </c>
      <c r="BR476" t="s">
        <v>213</v>
      </c>
      <c r="BS476">
        <v>1793196</v>
      </c>
      <c r="BT476">
        <v>0</v>
      </c>
      <c r="BU476">
        <v>0</v>
      </c>
      <c r="BV476">
        <v>1344686</v>
      </c>
      <c r="BW476">
        <v>188336</v>
      </c>
      <c r="BX476">
        <v>252291</v>
      </c>
      <c r="BY476">
        <v>7883</v>
      </c>
      <c r="BZ476">
        <v>1</v>
      </c>
      <c r="CA476" t="s">
        <v>894</v>
      </c>
      <c r="CB476" t="s">
        <v>895</v>
      </c>
      <c r="CC476" s="3">
        <v>46092.557106481479</v>
      </c>
      <c r="CD476" t="s">
        <v>91</v>
      </c>
    </row>
    <row r="477" spans="1:82" ht="16" x14ac:dyDescent="0.2">
      <c r="A477" t="s">
        <v>1159</v>
      </c>
      <c r="B477" t="s">
        <v>899</v>
      </c>
      <c r="C477" t="s">
        <v>900</v>
      </c>
      <c r="D477" t="s">
        <v>78</v>
      </c>
      <c r="E477" t="s">
        <v>901</v>
      </c>
      <c r="F477">
        <v>2</v>
      </c>
      <c r="G477">
        <v>150</v>
      </c>
      <c r="H477" t="str">
        <f t="shared" si="50"/>
        <v>2x150</v>
      </c>
      <c r="I477">
        <v>120</v>
      </c>
      <c r="J477" s="4">
        <f t="shared" si="51"/>
        <v>3.8461538461538464E-2</v>
      </c>
      <c r="K477">
        <v>182</v>
      </c>
      <c r="L477" s="4">
        <f t="shared" si="52"/>
        <v>5.8333333333333327E-2</v>
      </c>
      <c r="M477">
        <v>275</v>
      </c>
      <c r="N477" s="4">
        <f t="shared" si="53"/>
        <v>8.8141025641025647E-2</v>
      </c>
      <c r="O477">
        <v>550</v>
      </c>
      <c r="P477" s="4">
        <f t="shared" si="54"/>
        <v>0.17628205128205129</v>
      </c>
      <c r="Q477" s="6">
        <f t="shared" si="49"/>
        <v>2035</v>
      </c>
      <c r="R477" s="6">
        <f t="shared" si="55"/>
        <v>4</v>
      </c>
      <c r="S477">
        <v>135</v>
      </c>
      <c r="T477">
        <v>-39</v>
      </c>
      <c r="U477">
        <v>-13</v>
      </c>
      <c r="V477">
        <v>3</v>
      </c>
      <c r="W477">
        <v>5</v>
      </c>
      <c r="X477">
        <v>52</v>
      </c>
      <c r="Y477" s="2" t="s">
        <v>902</v>
      </c>
      <c r="Z477">
        <v>45.033625767784002</v>
      </c>
      <c r="AA477">
        <v>11.7774479355824</v>
      </c>
      <c r="AB477" t="s">
        <v>78</v>
      </c>
      <c r="AC477" t="s">
        <v>81</v>
      </c>
      <c r="AD477" t="s">
        <v>82</v>
      </c>
      <c r="AE477">
        <v>15439</v>
      </c>
      <c r="AF477">
        <v>0</v>
      </c>
      <c r="AG477">
        <v>0</v>
      </c>
      <c r="AH477">
        <v>8055</v>
      </c>
      <c r="AI477">
        <v>0</v>
      </c>
      <c r="AJ477">
        <v>7384</v>
      </c>
      <c r="AK477">
        <v>0</v>
      </c>
      <c r="AL477">
        <v>546</v>
      </c>
      <c r="AM477">
        <v>3668</v>
      </c>
      <c r="AN477">
        <v>37187</v>
      </c>
      <c r="AO477">
        <v>76687</v>
      </c>
      <c r="AP477">
        <v>1</v>
      </c>
      <c r="AQ477">
        <v>0</v>
      </c>
      <c r="AR477">
        <v>12</v>
      </c>
      <c r="AS477">
        <v>13</v>
      </c>
      <c r="AT477">
        <v>0</v>
      </c>
      <c r="AU477">
        <v>25</v>
      </c>
      <c r="AV477">
        <v>2</v>
      </c>
      <c r="AW477">
        <v>0</v>
      </c>
      <c r="AX477">
        <v>0</v>
      </c>
      <c r="AY477">
        <v>0</v>
      </c>
      <c r="AZ477">
        <v>0</v>
      </c>
      <c r="BA477">
        <v>4</v>
      </c>
      <c r="BB477">
        <v>7</v>
      </c>
      <c r="BC477">
        <v>4</v>
      </c>
      <c r="BD477">
        <v>2</v>
      </c>
      <c r="BE477">
        <v>0</v>
      </c>
      <c r="BF477">
        <v>2</v>
      </c>
      <c r="BG477">
        <v>0</v>
      </c>
      <c r="BH477">
        <v>2</v>
      </c>
      <c r="BI477">
        <v>0</v>
      </c>
      <c r="BJ477">
        <v>45.033762600000003</v>
      </c>
      <c r="BK477">
        <v>11.7775178</v>
      </c>
      <c r="BL477">
        <v>300</v>
      </c>
      <c r="BM477" t="s">
        <v>83</v>
      </c>
      <c r="BN477" t="s">
        <v>84</v>
      </c>
      <c r="BO477" t="s">
        <v>85</v>
      </c>
      <c r="BP477" t="s">
        <v>160</v>
      </c>
      <c r="BQ477" t="s">
        <v>161</v>
      </c>
      <c r="BR477" t="s">
        <v>900</v>
      </c>
      <c r="BS477">
        <v>292820</v>
      </c>
      <c r="BT477">
        <v>0</v>
      </c>
      <c r="BU477">
        <v>0</v>
      </c>
      <c r="BV477">
        <v>161105</v>
      </c>
      <c r="BW477">
        <v>0</v>
      </c>
      <c r="BX477">
        <v>131715</v>
      </c>
      <c r="BY477">
        <v>0</v>
      </c>
      <c r="BZ477">
        <v>1</v>
      </c>
      <c r="CA477" t="s">
        <v>903</v>
      </c>
      <c r="CB477" t="s">
        <v>904</v>
      </c>
      <c r="CC477" s="3">
        <v>46092.557106481479</v>
      </c>
      <c r="CD477" t="s">
        <v>91</v>
      </c>
    </row>
    <row r="478" spans="1:82" ht="16" x14ac:dyDescent="0.2">
      <c r="A478" t="s">
        <v>1161</v>
      </c>
      <c r="B478" t="s">
        <v>906</v>
      </c>
      <c r="C478" t="s">
        <v>907</v>
      </c>
      <c r="D478" t="s">
        <v>78</v>
      </c>
      <c r="E478" t="s">
        <v>908</v>
      </c>
      <c r="F478">
        <v>2</v>
      </c>
      <c r="G478">
        <v>150</v>
      </c>
      <c r="H478" t="str">
        <f t="shared" si="50"/>
        <v>2x150</v>
      </c>
      <c r="I478">
        <v>118</v>
      </c>
      <c r="J478" s="4">
        <f t="shared" si="51"/>
        <v>3.7820512820512818E-2</v>
      </c>
      <c r="K478">
        <v>178</v>
      </c>
      <c r="L478" s="4">
        <f t="shared" si="52"/>
        <v>5.705128205128205E-2</v>
      </c>
      <c r="M478">
        <v>270</v>
      </c>
      <c r="N478" s="4">
        <f t="shared" si="53"/>
        <v>8.653846153846155E-2</v>
      </c>
      <c r="O478">
        <v>538</v>
      </c>
      <c r="P478" s="4">
        <f t="shared" si="54"/>
        <v>0.17243589743589746</v>
      </c>
      <c r="Q478" s="6">
        <f t="shared" si="49"/>
        <v>2035</v>
      </c>
      <c r="R478" s="6">
        <f t="shared" si="55"/>
        <v>4</v>
      </c>
      <c r="S478">
        <v>135</v>
      </c>
      <c r="T478">
        <v>-37</v>
      </c>
      <c r="U478">
        <v>-13</v>
      </c>
      <c r="V478">
        <v>4</v>
      </c>
      <c r="W478">
        <v>-2</v>
      </c>
      <c r="X478">
        <v>50</v>
      </c>
      <c r="Y478" s="2" t="s">
        <v>909</v>
      </c>
      <c r="Z478">
        <v>42.348129999999998</v>
      </c>
      <c r="AA478">
        <v>13.351430000000001</v>
      </c>
      <c r="AB478" t="s">
        <v>78</v>
      </c>
      <c r="AC478" t="s">
        <v>81</v>
      </c>
      <c r="AD478" t="s">
        <v>82</v>
      </c>
      <c r="AE478">
        <v>1928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1928</v>
      </c>
      <c r="AL478">
        <v>254</v>
      </c>
      <c r="AM478">
        <v>2747</v>
      </c>
      <c r="AN478">
        <v>35329</v>
      </c>
      <c r="AO478">
        <v>75093</v>
      </c>
      <c r="AP478">
        <v>1</v>
      </c>
      <c r="AQ478">
        <v>0</v>
      </c>
      <c r="AR478">
        <v>4</v>
      </c>
      <c r="AS478">
        <v>14</v>
      </c>
      <c r="AT478">
        <v>1</v>
      </c>
      <c r="AU478">
        <v>15</v>
      </c>
      <c r="AV478">
        <v>1</v>
      </c>
      <c r="AW478">
        <v>0</v>
      </c>
      <c r="AX478">
        <v>0</v>
      </c>
      <c r="AY478">
        <v>1</v>
      </c>
      <c r="AZ478">
        <v>3</v>
      </c>
      <c r="BA478">
        <v>6</v>
      </c>
      <c r="BB478">
        <v>10</v>
      </c>
      <c r="BC478">
        <v>2</v>
      </c>
      <c r="BD478">
        <v>4</v>
      </c>
      <c r="BE478">
        <v>0</v>
      </c>
      <c r="BF478">
        <v>4</v>
      </c>
      <c r="BG478">
        <v>0</v>
      </c>
      <c r="BH478">
        <v>4</v>
      </c>
      <c r="BI478">
        <v>0</v>
      </c>
      <c r="BJ478">
        <v>42.348097500000002</v>
      </c>
      <c r="BK478">
        <v>13.351402800000001</v>
      </c>
      <c r="BL478">
        <v>300</v>
      </c>
      <c r="BM478" t="s">
        <v>83</v>
      </c>
      <c r="BN478" t="s">
        <v>84</v>
      </c>
      <c r="BO478" t="s">
        <v>85</v>
      </c>
      <c r="BP478" t="s">
        <v>97</v>
      </c>
      <c r="BQ478" t="s">
        <v>870</v>
      </c>
      <c r="BR478" t="s">
        <v>910</v>
      </c>
      <c r="BS478">
        <v>38573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38573</v>
      </c>
      <c r="BZ478">
        <v>1</v>
      </c>
      <c r="CA478" t="s">
        <v>911</v>
      </c>
      <c r="CB478" t="s">
        <v>912</v>
      </c>
      <c r="CC478" s="3">
        <v>46092.557106481479</v>
      </c>
      <c r="CD478" t="s">
        <v>91</v>
      </c>
    </row>
    <row r="479" spans="1:82" ht="16" x14ac:dyDescent="0.2">
      <c r="A479" t="s">
        <v>1002</v>
      </c>
      <c r="B479" t="s">
        <v>1003</v>
      </c>
      <c r="C479" t="s">
        <v>1004</v>
      </c>
      <c r="D479" t="s">
        <v>78</v>
      </c>
      <c r="E479" t="s">
        <v>1005</v>
      </c>
      <c r="F479">
        <v>2</v>
      </c>
      <c r="G479">
        <v>300</v>
      </c>
      <c r="H479" t="str">
        <f t="shared" si="50"/>
        <v>2x300</v>
      </c>
      <c r="I479">
        <v>117</v>
      </c>
      <c r="J479" s="4">
        <f t="shared" si="51"/>
        <v>3.2500000000000001E-2</v>
      </c>
      <c r="K479">
        <v>177</v>
      </c>
      <c r="L479" s="4">
        <f t="shared" si="52"/>
        <v>4.9166666666666664E-2</v>
      </c>
      <c r="M479">
        <v>269</v>
      </c>
      <c r="N479" s="4">
        <f t="shared" si="53"/>
        <v>7.4722222222222218E-2</v>
      </c>
      <c r="O479">
        <v>537</v>
      </c>
      <c r="P479" s="4">
        <f t="shared" si="54"/>
        <v>0.14916666666666667</v>
      </c>
      <c r="Q479" s="6">
        <f t="shared" si="49"/>
        <v>2035</v>
      </c>
      <c r="R479" s="6">
        <f t="shared" si="55"/>
        <v>4</v>
      </c>
      <c r="S479">
        <v>156</v>
      </c>
      <c r="T479">
        <v>-51</v>
      </c>
      <c r="U479">
        <v>-19</v>
      </c>
      <c r="V479">
        <v>1</v>
      </c>
      <c r="W479">
        <v>-7</v>
      </c>
      <c r="X479">
        <v>60</v>
      </c>
      <c r="Y479" s="2" t="s">
        <v>1006</v>
      </c>
      <c r="Z479">
        <v>41.702924506997299</v>
      </c>
      <c r="AA479">
        <v>13.5895092887061</v>
      </c>
      <c r="AB479" t="s">
        <v>78</v>
      </c>
      <c r="AC479" t="s">
        <v>81</v>
      </c>
      <c r="AD479" t="s">
        <v>82</v>
      </c>
      <c r="AE479">
        <v>16504</v>
      </c>
      <c r="AF479">
        <v>0</v>
      </c>
      <c r="AG479">
        <v>0</v>
      </c>
      <c r="AH479">
        <v>10952</v>
      </c>
      <c r="AI479">
        <v>0</v>
      </c>
      <c r="AJ479">
        <v>5552</v>
      </c>
      <c r="AK479">
        <v>0</v>
      </c>
      <c r="AL479">
        <v>1748</v>
      </c>
      <c r="AM479">
        <v>9711</v>
      </c>
      <c r="AN479">
        <v>41850</v>
      </c>
      <c r="AO479">
        <v>69738</v>
      </c>
      <c r="AP479">
        <v>1</v>
      </c>
      <c r="AQ479">
        <v>0</v>
      </c>
      <c r="AR479">
        <v>4</v>
      </c>
      <c r="AS479">
        <v>6</v>
      </c>
      <c r="AT479">
        <v>0</v>
      </c>
      <c r="AU479">
        <v>19</v>
      </c>
      <c r="AV479">
        <v>8</v>
      </c>
      <c r="AW479">
        <v>2</v>
      </c>
      <c r="AX479">
        <v>0</v>
      </c>
      <c r="AY479">
        <v>1</v>
      </c>
      <c r="AZ479">
        <v>2</v>
      </c>
      <c r="BA479">
        <v>4</v>
      </c>
      <c r="BB479">
        <v>6</v>
      </c>
      <c r="BC479">
        <v>3</v>
      </c>
      <c r="BD479">
        <v>2</v>
      </c>
      <c r="BE479">
        <v>0</v>
      </c>
      <c r="BF479">
        <v>2</v>
      </c>
      <c r="BG479">
        <v>0</v>
      </c>
      <c r="BH479">
        <v>6</v>
      </c>
      <c r="BI479">
        <v>0</v>
      </c>
      <c r="BJ479">
        <v>41.702889999999996</v>
      </c>
      <c r="BK479">
        <v>13.589699899999999</v>
      </c>
      <c r="BL479">
        <v>600</v>
      </c>
      <c r="BM479" t="s">
        <v>83</v>
      </c>
      <c r="BN479" t="s">
        <v>84</v>
      </c>
      <c r="BO479" t="s">
        <v>85</v>
      </c>
      <c r="BP479" t="s">
        <v>86</v>
      </c>
      <c r="BQ479" t="s">
        <v>87</v>
      </c>
      <c r="BR479" t="s">
        <v>1007</v>
      </c>
      <c r="BS479">
        <v>313478</v>
      </c>
      <c r="BT479">
        <v>0</v>
      </c>
      <c r="BU479">
        <v>0</v>
      </c>
      <c r="BV479">
        <v>202382</v>
      </c>
      <c r="BW479">
        <v>0</v>
      </c>
      <c r="BX479">
        <v>111096</v>
      </c>
      <c r="BY479">
        <v>0</v>
      </c>
      <c r="BZ479">
        <v>1</v>
      </c>
      <c r="CA479" t="s">
        <v>1008</v>
      </c>
      <c r="CB479" t="s">
        <v>1009</v>
      </c>
      <c r="CC479" s="3">
        <v>46092.557106481479</v>
      </c>
      <c r="CD479" t="s">
        <v>91</v>
      </c>
    </row>
    <row r="480" spans="1:82" ht="16" x14ac:dyDescent="0.2">
      <c r="A480" t="s">
        <v>1162</v>
      </c>
      <c r="B480" t="s">
        <v>914</v>
      </c>
      <c r="C480" t="s">
        <v>915</v>
      </c>
      <c r="D480" t="s">
        <v>78</v>
      </c>
      <c r="E480" t="s">
        <v>916</v>
      </c>
      <c r="F480">
        <v>2</v>
      </c>
      <c r="G480">
        <v>150</v>
      </c>
      <c r="H480" t="str">
        <f t="shared" si="50"/>
        <v>2x150</v>
      </c>
      <c r="I480">
        <v>117</v>
      </c>
      <c r="J480" s="4">
        <f t="shared" si="51"/>
        <v>3.7499999999999999E-2</v>
      </c>
      <c r="K480">
        <v>177</v>
      </c>
      <c r="L480" s="4">
        <f t="shared" si="52"/>
        <v>5.673076923076923E-2</v>
      </c>
      <c r="M480">
        <v>269</v>
      </c>
      <c r="N480" s="4">
        <f t="shared" si="53"/>
        <v>8.6217948717948731E-2</v>
      </c>
      <c r="O480">
        <v>536</v>
      </c>
      <c r="P480" s="4">
        <f t="shared" si="54"/>
        <v>0.17179487179487177</v>
      </c>
      <c r="Q480" s="6">
        <f t="shared" si="49"/>
        <v>2035</v>
      </c>
      <c r="R480" s="6">
        <f t="shared" si="55"/>
        <v>4</v>
      </c>
      <c r="S480">
        <v>135</v>
      </c>
      <c r="T480">
        <v>-24</v>
      </c>
      <c r="U480">
        <v>-17</v>
      </c>
      <c r="V480">
        <v>6</v>
      </c>
      <c r="W480">
        <v>-14</v>
      </c>
      <c r="X480">
        <v>51</v>
      </c>
      <c r="Y480" s="2" t="s">
        <v>917</v>
      </c>
      <c r="Z480">
        <v>40.953808000000002</v>
      </c>
      <c r="AA480">
        <v>9.4968459999999997</v>
      </c>
      <c r="AB480" t="s">
        <v>78</v>
      </c>
      <c r="AC480" t="s">
        <v>81</v>
      </c>
      <c r="AD480" t="s">
        <v>82</v>
      </c>
      <c r="AE480">
        <v>20002</v>
      </c>
      <c r="AF480">
        <v>0</v>
      </c>
      <c r="AG480">
        <v>18988</v>
      </c>
      <c r="AH480">
        <v>0</v>
      </c>
      <c r="AI480">
        <v>0</v>
      </c>
      <c r="AJ480">
        <v>1014</v>
      </c>
      <c r="AK480">
        <v>0</v>
      </c>
      <c r="AL480">
        <v>2107</v>
      </c>
      <c r="AM480">
        <v>7799</v>
      </c>
      <c r="AN480">
        <v>43421</v>
      </c>
      <c r="AO480">
        <v>51734</v>
      </c>
      <c r="AP480">
        <v>1</v>
      </c>
      <c r="AQ480">
        <v>2</v>
      </c>
      <c r="AR480">
        <v>4</v>
      </c>
      <c r="AS480">
        <v>3</v>
      </c>
      <c r="AT480">
        <v>2</v>
      </c>
      <c r="AU480">
        <v>20</v>
      </c>
      <c r="AV480">
        <v>4</v>
      </c>
      <c r="AW480">
        <v>0</v>
      </c>
      <c r="AX480">
        <v>2</v>
      </c>
      <c r="AY480">
        <v>0</v>
      </c>
      <c r="AZ480">
        <v>4</v>
      </c>
      <c r="BA480">
        <v>10</v>
      </c>
      <c r="BB480">
        <v>28</v>
      </c>
      <c r="BC480">
        <v>8</v>
      </c>
      <c r="BD480">
        <v>0</v>
      </c>
      <c r="BE480">
        <v>0</v>
      </c>
      <c r="BF480">
        <v>8</v>
      </c>
      <c r="BG480">
        <v>0</v>
      </c>
      <c r="BH480">
        <v>12</v>
      </c>
      <c r="BI480">
        <v>0</v>
      </c>
      <c r="BJ480">
        <v>40.953898199999998</v>
      </c>
      <c r="BK480">
        <v>9.4970441000000001</v>
      </c>
      <c r="BL480">
        <v>300</v>
      </c>
      <c r="BM480" t="s">
        <v>83</v>
      </c>
      <c r="BN480" t="s">
        <v>84</v>
      </c>
      <c r="BO480" t="s">
        <v>85</v>
      </c>
      <c r="BP480" t="s">
        <v>242</v>
      </c>
      <c r="BQ480" t="s">
        <v>335</v>
      </c>
      <c r="BR480" t="s">
        <v>918</v>
      </c>
      <c r="BS480">
        <v>385997</v>
      </c>
      <c r="BT480">
        <v>0</v>
      </c>
      <c r="BU480">
        <v>365704</v>
      </c>
      <c r="BV480">
        <v>0</v>
      </c>
      <c r="BW480">
        <v>0</v>
      </c>
      <c r="BX480">
        <v>20293</v>
      </c>
      <c r="BY480">
        <v>0</v>
      </c>
      <c r="BZ480">
        <v>1</v>
      </c>
      <c r="CA480" t="s">
        <v>919</v>
      </c>
      <c r="CB480" t="s">
        <v>920</v>
      </c>
      <c r="CC480" s="3">
        <v>46092.557106481479</v>
      </c>
      <c r="CD480" t="s">
        <v>91</v>
      </c>
    </row>
    <row r="481" spans="1:82" ht="16" x14ac:dyDescent="0.2">
      <c r="A481" t="s">
        <v>1163</v>
      </c>
      <c r="B481" t="s">
        <v>922</v>
      </c>
      <c r="C481" t="s">
        <v>923</v>
      </c>
      <c r="D481" t="s">
        <v>78</v>
      </c>
      <c r="E481" t="s">
        <v>924</v>
      </c>
      <c r="F481">
        <v>2</v>
      </c>
      <c r="G481">
        <v>150</v>
      </c>
      <c r="H481" t="str">
        <f t="shared" si="50"/>
        <v>2x150</v>
      </c>
      <c r="I481">
        <v>117</v>
      </c>
      <c r="J481" s="4">
        <f t="shared" si="51"/>
        <v>3.7499999999999999E-2</v>
      </c>
      <c r="K481">
        <v>176</v>
      </c>
      <c r="L481" s="4">
        <f t="shared" si="52"/>
        <v>5.6410256410256411E-2</v>
      </c>
      <c r="M481">
        <v>267</v>
      </c>
      <c r="N481" s="4">
        <f t="shared" si="53"/>
        <v>8.5576923076923064E-2</v>
      </c>
      <c r="O481">
        <v>534</v>
      </c>
      <c r="P481" s="4">
        <f t="shared" si="54"/>
        <v>0.17115384615384613</v>
      </c>
      <c r="Q481" s="6">
        <f t="shared" si="49"/>
        <v>2035</v>
      </c>
      <c r="R481" s="6">
        <f t="shared" si="55"/>
        <v>4</v>
      </c>
      <c r="S481">
        <v>135</v>
      </c>
      <c r="T481">
        <v>-36</v>
      </c>
      <c r="U481">
        <v>-13</v>
      </c>
      <c r="V481">
        <v>0</v>
      </c>
      <c r="W481">
        <v>-1</v>
      </c>
      <c r="X481">
        <v>53</v>
      </c>
      <c r="Y481" s="2" t="s">
        <v>925</v>
      </c>
      <c r="Z481">
        <v>43.7368691033315</v>
      </c>
      <c r="AA481">
        <v>10.803782449077</v>
      </c>
      <c r="AB481" t="s">
        <v>78</v>
      </c>
      <c r="AC481" t="s">
        <v>81</v>
      </c>
      <c r="AD481" t="s">
        <v>82</v>
      </c>
      <c r="AE481">
        <v>25230</v>
      </c>
      <c r="AF481">
        <v>0</v>
      </c>
      <c r="AG481">
        <v>0</v>
      </c>
      <c r="AH481">
        <v>0</v>
      </c>
      <c r="AI481">
        <v>10953</v>
      </c>
      <c r="AJ481">
        <v>11891</v>
      </c>
      <c r="AK481">
        <v>2386</v>
      </c>
      <c r="AL481">
        <v>6009</v>
      </c>
      <c r="AM481">
        <v>14149</v>
      </c>
      <c r="AN481">
        <v>39112</v>
      </c>
      <c r="AO481">
        <v>113675</v>
      </c>
      <c r="AP481">
        <v>7</v>
      </c>
      <c r="AQ481">
        <v>0</v>
      </c>
      <c r="AR481">
        <v>3</v>
      </c>
      <c r="AS481">
        <v>2</v>
      </c>
      <c r="AT481">
        <v>0</v>
      </c>
      <c r="AU481">
        <v>15</v>
      </c>
      <c r="AV481">
        <v>3</v>
      </c>
      <c r="AW481">
        <v>0</v>
      </c>
      <c r="AX481">
        <v>0</v>
      </c>
      <c r="AY481">
        <v>0</v>
      </c>
      <c r="AZ481">
        <v>4</v>
      </c>
      <c r="BA481">
        <v>0</v>
      </c>
      <c r="BB481">
        <v>4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43.736789899999998</v>
      </c>
      <c r="BK481">
        <v>10.8037999</v>
      </c>
      <c r="BL481">
        <v>300</v>
      </c>
      <c r="BM481" t="s">
        <v>83</v>
      </c>
      <c r="BN481" t="s">
        <v>84</v>
      </c>
      <c r="BO481" t="s">
        <v>85</v>
      </c>
      <c r="BP481" t="s">
        <v>86</v>
      </c>
      <c r="BQ481" t="s">
        <v>212</v>
      </c>
      <c r="BR481" t="s">
        <v>213</v>
      </c>
      <c r="BS481">
        <v>504692</v>
      </c>
      <c r="BT481">
        <v>0</v>
      </c>
      <c r="BU481">
        <v>0</v>
      </c>
      <c r="BV481">
        <v>0</v>
      </c>
      <c r="BW481">
        <v>219083</v>
      </c>
      <c r="BX481">
        <v>237844</v>
      </c>
      <c r="BY481">
        <v>47765</v>
      </c>
      <c r="BZ481">
        <v>1</v>
      </c>
      <c r="CA481" t="s">
        <v>926</v>
      </c>
      <c r="CB481" t="s">
        <v>927</v>
      </c>
      <c r="CC481" s="3">
        <v>46092.557106481479</v>
      </c>
      <c r="CD481" t="s">
        <v>91</v>
      </c>
    </row>
    <row r="482" spans="1:82" ht="16" x14ac:dyDescent="0.2">
      <c r="A482" t="s">
        <v>1164</v>
      </c>
      <c r="B482" t="s">
        <v>929</v>
      </c>
      <c r="C482" t="s">
        <v>930</v>
      </c>
      <c r="D482" t="s">
        <v>78</v>
      </c>
      <c r="E482" t="s">
        <v>931</v>
      </c>
      <c r="F482">
        <v>2</v>
      </c>
      <c r="G482">
        <v>150</v>
      </c>
      <c r="H482" t="str">
        <f t="shared" si="50"/>
        <v>2x150</v>
      </c>
      <c r="I482">
        <v>116</v>
      </c>
      <c r="J482" s="4">
        <f t="shared" si="51"/>
        <v>3.7179487179487179E-2</v>
      </c>
      <c r="K482">
        <v>176</v>
      </c>
      <c r="L482" s="4">
        <f t="shared" si="52"/>
        <v>5.6410256410256411E-2</v>
      </c>
      <c r="M482">
        <v>267</v>
      </c>
      <c r="N482" s="4">
        <f t="shared" si="53"/>
        <v>8.5576923076923064E-2</v>
      </c>
      <c r="O482">
        <v>532</v>
      </c>
      <c r="P482" s="4">
        <f t="shared" si="54"/>
        <v>0.17051282051282049</v>
      </c>
      <c r="Q482" s="6">
        <f t="shared" si="49"/>
        <v>2035</v>
      </c>
      <c r="R482" s="6">
        <f t="shared" si="55"/>
        <v>4</v>
      </c>
      <c r="S482">
        <v>135</v>
      </c>
      <c r="T482">
        <v>-45</v>
      </c>
      <c r="U482">
        <v>-16</v>
      </c>
      <c r="V482">
        <v>9</v>
      </c>
      <c r="W482">
        <v>0</v>
      </c>
      <c r="X482">
        <v>55</v>
      </c>
      <c r="Y482" s="2" t="s">
        <v>932</v>
      </c>
      <c r="Z482">
        <v>43.879240000000003</v>
      </c>
      <c r="AA482">
        <v>8.0056799999999999</v>
      </c>
      <c r="AB482" t="s">
        <v>78</v>
      </c>
      <c r="AC482" t="s">
        <v>81</v>
      </c>
      <c r="AD482" t="s">
        <v>82</v>
      </c>
      <c r="AE482">
        <v>20088</v>
      </c>
      <c r="AF482">
        <v>0</v>
      </c>
      <c r="AG482">
        <v>0</v>
      </c>
      <c r="AH482">
        <v>18821</v>
      </c>
      <c r="AI482">
        <v>0</v>
      </c>
      <c r="AJ482">
        <v>1138</v>
      </c>
      <c r="AK482">
        <v>129</v>
      </c>
      <c r="AL482">
        <v>7487</v>
      </c>
      <c r="AM482">
        <v>16661</v>
      </c>
      <c r="AN482">
        <v>44436</v>
      </c>
      <c r="AO482">
        <v>66441</v>
      </c>
      <c r="AP482">
        <v>3</v>
      </c>
      <c r="AQ482">
        <v>0</v>
      </c>
      <c r="AR482">
        <v>2</v>
      </c>
      <c r="AS482">
        <v>10</v>
      </c>
      <c r="AT482">
        <v>0</v>
      </c>
      <c r="AU482">
        <v>18</v>
      </c>
      <c r="AV482">
        <v>0</v>
      </c>
      <c r="AW482">
        <v>0</v>
      </c>
      <c r="AX482">
        <v>3</v>
      </c>
      <c r="AY482">
        <v>0</v>
      </c>
      <c r="AZ482">
        <v>1</v>
      </c>
      <c r="BA482">
        <v>6</v>
      </c>
      <c r="BB482">
        <v>11</v>
      </c>
      <c r="BC482">
        <v>1</v>
      </c>
      <c r="BD482">
        <v>2</v>
      </c>
      <c r="BE482">
        <v>0</v>
      </c>
      <c r="BF482">
        <v>4</v>
      </c>
      <c r="BG482">
        <v>0</v>
      </c>
      <c r="BH482">
        <v>4</v>
      </c>
      <c r="BI482">
        <v>0</v>
      </c>
      <c r="BJ482">
        <v>43.879238399999998</v>
      </c>
      <c r="BK482">
        <v>8.0056733999999992</v>
      </c>
      <c r="BL482">
        <v>300</v>
      </c>
      <c r="BM482" t="s">
        <v>83</v>
      </c>
      <c r="BN482" t="s">
        <v>84</v>
      </c>
      <c r="BO482" t="s">
        <v>85</v>
      </c>
      <c r="BP482" t="s">
        <v>107</v>
      </c>
      <c r="BQ482" t="s">
        <v>569</v>
      </c>
      <c r="BR482" t="s">
        <v>930</v>
      </c>
      <c r="BS482">
        <v>401795</v>
      </c>
      <c r="BT482">
        <v>0</v>
      </c>
      <c r="BU482">
        <v>0</v>
      </c>
      <c r="BV482">
        <v>376434</v>
      </c>
      <c r="BW482">
        <v>0</v>
      </c>
      <c r="BX482">
        <v>22769</v>
      </c>
      <c r="BY482">
        <v>2592</v>
      </c>
      <c r="BZ482">
        <v>1</v>
      </c>
      <c r="CA482" t="s">
        <v>933</v>
      </c>
      <c r="CB482" t="s">
        <v>934</v>
      </c>
      <c r="CC482" s="3">
        <v>46092.557106481479</v>
      </c>
      <c r="CD482" t="s">
        <v>91</v>
      </c>
    </row>
    <row r="483" spans="1:82" ht="16" x14ac:dyDescent="0.2">
      <c r="A483" t="s">
        <v>1165</v>
      </c>
      <c r="B483" t="s">
        <v>936</v>
      </c>
      <c r="C483" t="s">
        <v>937</v>
      </c>
      <c r="D483" t="s">
        <v>78</v>
      </c>
      <c r="E483" t="s">
        <v>938</v>
      </c>
      <c r="F483">
        <v>2</v>
      </c>
      <c r="G483">
        <v>150</v>
      </c>
      <c r="H483" t="str">
        <f t="shared" si="50"/>
        <v>2x150</v>
      </c>
      <c r="I483">
        <v>116</v>
      </c>
      <c r="J483" s="4">
        <f t="shared" si="51"/>
        <v>3.7179487179487179E-2</v>
      </c>
      <c r="K483">
        <v>175</v>
      </c>
      <c r="L483" s="4">
        <f t="shared" si="52"/>
        <v>5.6089743589743592E-2</v>
      </c>
      <c r="M483">
        <v>266</v>
      </c>
      <c r="N483" s="4">
        <f t="shared" si="53"/>
        <v>8.5256410256410245E-2</v>
      </c>
      <c r="O483">
        <v>531</v>
      </c>
      <c r="P483" s="4">
        <f t="shared" si="54"/>
        <v>0.17019230769230767</v>
      </c>
      <c r="Q483" s="6">
        <f t="shared" si="49"/>
        <v>2035</v>
      </c>
      <c r="R483" s="6">
        <f t="shared" si="55"/>
        <v>4</v>
      </c>
      <c r="S483">
        <v>135</v>
      </c>
      <c r="T483">
        <v>-36</v>
      </c>
      <c r="U483">
        <v>-13</v>
      </c>
      <c r="V483">
        <v>-3</v>
      </c>
      <c r="W483">
        <v>1</v>
      </c>
      <c r="X483">
        <v>54</v>
      </c>
      <c r="Y483" s="2" t="s">
        <v>939</v>
      </c>
      <c r="Z483">
        <v>45.1772572587208</v>
      </c>
      <c r="AA483">
        <v>9.6325682644175608</v>
      </c>
      <c r="AB483" t="s">
        <v>78</v>
      </c>
      <c r="AC483" t="s">
        <v>81</v>
      </c>
      <c r="AD483" t="s">
        <v>82</v>
      </c>
      <c r="AE483">
        <v>16167</v>
      </c>
      <c r="AF483">
        <v>0</v>
      </c>
      <c r="AG483">
        <v>0</v>
      </c>
      <c r="AH483">
        <v>0</v>
      </c>
      <c r="AI483">
        <v>10960</v>
      </c>
      <c r="AJ483">
        <v>3781</v>
      </c>
      <c r="AK483">
        <v>1426</v>
      </c>
      <c r="AL483">
        <v>3443</v>
      </c>
      <c r="AM483">
        <v>12794</v>
      </c>
      <c r="AN483">
        <v>25198</v>
      </c>
      <c r="AO483">
        <v>69509</v>
      </c>
      <c r="AP483">
        <v>1</v>
      </c>
      <c r="AQ483">
        <v>0</v>
      </c>
      <c r="AR483">
        <v>1</v>
      </c>
      <c r="AS483">
        <v>7</v>
      </c>
      <c r="AT483">
        <v>0</v>
      </c>
      <c r="AU483">
        <v>15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3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45.1774171</v>
      </c>
      <c r="BK483">
        <v>9.6324953999999998</v>
      </c>
      <c r="BL483">
        <v>300</v>
      </c>
      <c r="BM483" t="s">
        <v>83</v>
      </c>
      <c r="BN483" t="s">
        <v>84</v>
      </c>
      <c r="BO483" t="s">
        <v>85</v>
      </c>
      <c r="BP483" t="s">
        <v>107</v>
      </c>
      <c r="BQ483" t="s">
        <v>108</v>
      </c>
      <c r="BR483" t="s">
        <v>539</v>
      </c>
      <c r="BS483">
        <v>323461</v>
      </c>
      <c r="BT483">
        <v>0</v>
      </c>
      <c r="BU483">
        <v>0</v>
      </c>
      <c r="BV483">
        <v>0</v>
      </c>
      <c r="BW483">
        <v>219222</v>
      </c>
      <c r="BX483">
        <v>75698</v>
      </c>
      <c r="BY483">
        <v>28541</v>
      </c>
      <c r="BZ483">
        <v>1</v>
      </c>
      <c r="CA483" t="s">
        <v>940</v>
      </c>
      <c r="CB483" t="s">
        <v>941</v>
      </c>
      <c r="CC483" s="3">
        <v>46092.557106481479</v>
      </c>
      <c r="CD483" t="s">
        <v>91</v>
      </c>
    </row>
    <row r="484" spans="1:82" ht="16" x14ac:dyDescent="0.2">
      <c r="A484" t="s">
        <v>1166</v>
      </c>
      <c r="B484" t="s">
        <v>943</v>
      </c>
      <c r="C484" t="s">
        <v>944</v>
      </c>
      <c r="D484" t="s">
        <v>78</v>
      </c>
      <c r="E484" t="s">
        <v>945</v>
      </c>
      <c r="F484">
        <v>2</v>
      </c>
      <c r="G484">
        <v>150</v>
      </c>
      <c r="H484" t="str">
        <f t="shared" si="50"/>
        <v>2x150</v>
      </c>
      <c r="I484">
        <v>115</v>
      </c>
      <c r="J484" s="4">
        <f t="shared" si="51"/>
        <v>3.685897435897436E-2</v>
      </c>
      <c r="K484">
        <v>174</v>
      </c>
      <c r="L484" s="4">
        <f t="shared" si="52"/>
        <v>5.5769230769230765E-2</v>
      </c>
      <c r="M484">
        <v>264</v>
      </c>
      <c r="N484" s="4">
        <f t="shared" si="53"/>
        <v>8.4615384615384606E-2</v>
      </c>
      <c r="O484">
        <v>527</v>
      </c>
      <c r="P484" s="4">
        <f t="shared" si="54"/>
        <v>0.16891025641025639</v>
      </c>
      <c r="Q484" s="6">
        <f t="shared" si="49"/>
        <v>2035</v>
      </c>
      <c r="R484" s="6">
        <f t="shared" si="55"/>
        <v>4</v>
      </c>
      <c r="S484">
        <v>135</v>
      </c>
      <c r="T484">
        <v>-39</v>
      </c>
      <c r="U484">
        <v>-14</v>
      </c>
      <c r="V484">
        <v>12</v>
      </c>
      <c r="W484">
        <v>-6</v>
      </c>
      <c r="X484">
        <v>48</v>
      </c>
      <c r="Y484" s="2" t="s">
        <v>946</v>
      </c>
      <c r="Z484">
        <v>42.03931</v>
      </c>
      <c r="AA484">
        <v>13.42216</v>
      </c>
      <c r="AB484" t="s">
        <v>78</v>
      </c>
      <c r="AC484" t="s">
        <v>81</v>
      </c>
      <c r="AD484" t="s">
        <v>82</v>
      </c>
      <c r="AE484">
        <v>16751</v>
      </c>
      <c r="AF484">
        <v>0</v>
      </c>
      <c r="AG484">
        <v>0</v>
      </c>
      <c r="AH484">
        <v>12529</v>
      </c>
      <c r="AI484">
        <v>0</v>
      </c>
      <c r="AJ484">
        <v>0</v>
      </c>
      <c r="AK484">
        <v>4222</v>
      </c>
      <c r="AL484">
        <v>12259</v>
      </c>
      <c r="AM484">
        <v>30237</v>
      </c>
      <c r="AN484">
        <v>41746</v>
      </c>
      <c r="AO484">
        <v>61317</v>
      </c>
      <c r="AP484">
        <v>7</v>
      </c>
      <c r="AQ484">
        <v>0</v>
      </c>
      <c r="AR484">
        <v>7</v>
      </c>
      <c r="AS484">
        <v>6</v>
      </c>
      <c r="AT484">
        <v>1</v>
      </c>
      <c r="AU484">
        <v>27</v>
      </c>
      <c r="AV484">
        <v>8</v>
      </c>
      <c r="AW484">
        <v>1</v>
      </c>
      <c r="AX484">
        <v>0</v>
      </c>
      <c r="AY484">
        <v>1</v>
      </c>
      <c r="AZ484">
        <v>2</v>
      </c>
      <c r="BA484">
        <v>6</v>
      </c>
      <c r="BB484">
        <v>14</v>
      </c>
      <c r="BC484">
        <v>1</v>
      </c>
      <c r="BD484">
        <v>2</v>
      </c>
      <c r="BE484">
        <v>0</v>
      </c>
      <c r="BF484">
        <v>4</v>
      </c>
      <c r="BG484">
        <v>0</v>
      </c>
      <c r="BH484">
        <v>8</v>
      </c>
      <c r="BI484">
        <v>0</v>
      </c>
      <c r="BJ484">
        <v>42.039415499999997</v>
      </c>
      <c r="BK484">
        <v>13.422079699999999</v>
      </c>
      <c r="BL484">
        <v>300</v>
      </c>
      <c r="BM484" t="s">
        <v>83</v>
      </c>
      <c r="BN484" t="s">
        <v>84</v>
      </c>
      <c r="BO484" t="s">
        <v>85</v>
      </c>
      <c r="BP484" t="s">
        <v>97</v>
      </c>
      <c r="BQ484" t="s">
        <v>870</v>
      </c>
      <c r="BR484" t="s">
        <v>910</v>
      </c>
      <c r="BS484">
        <v>299077</v>
      </c>
      <c r="BT484">
        <v>0</v>
      </c>
      <c r="BU484">
        <v>0</v>
      </c>
      <c r="BV484">
        <v>214629</v>
      </c>
      <c r="BW484">
        <v>0</v>
      </c>
      <c r="BX484">
        <v>0</v>
      </c>
      <c r="BY484">
        <v>84448</v>
      </c>
      <c r="BZ484">
        <v>1</v>
      </c>
      <c r="CA484" t="s">
        <v>947</v>
      </c>
      <c r="CB484" t="s">
        <v>948</v>
      </c>
      <c r="CC484" s="3">
        <v>46092.557106481479</v>
      </c>
      <c r="CD484" t="s">
        <v>91</v>
      </c>
    </row>
    <row r="485" spans="1:82" ht="16" x14ac:dyDescent="0.2">
      <c r="A485" t="s">
        <v>1010</v>
      </c>
      <c r="B485" t="s">
        <v>1011</v>
      </c>
      <c r="C485" t="s">
        <v>1012</v>
      </c>
      <c r="D485" t="s">
        <v>78</v>
      </c>
      <c r="E485" t="s">
        <v>1013</v>
      </c>
      <c r="F485">
        <v>2</v>
      </c>
      <c r="G485">
        <v>300</v>
      </c>
      <c r="H485" t="str">
        <f t="shared" si="50"/>
        <v>2x300</v>
      </c>
      <c r="I485">
        <v>115</v>
      </c>
      <c r="J485" s="4">
        <f t="shared" si="51"/>
        <v>3.1944444444444449E-2</v>
      </c>
      <c r="K485">
        <v>174</v>
      </c>
      <c r="L485" s="4">
        <f t="shared" si="52"/>
        <v>4.8333333333333332E-2</v>
      </c>
      <c r="M485">
        <v>264</v>
      </c>
      <c r="N485" s="4">
        <f t="shared" si="53"/>
        <v>7.3333333333333334E-2</v>
      </c>
      <c r="O485">
        <v>526</v>
      </c>
      <c r="P485" s="4">
        <f t="shared" si="54"/>
        <v>0.14611111111111111</v>
      </c>
      <c r="Q485" s="6">
        <f t="shared" si="49"/>
        <v>2035</v>
      </c>
      <c r="R485" s="6">
        <f t="shared" si="55"/>
        <v>4</v>
      </c>
      <c r="S485">
        <v>156</v>
      </c>
      <c r="T485">
        <v>-48</v>
      </c>
      <c r="U485">
        <v>-17</v>
      </c>
      <c r="V485">
        <v>-4</v>
      </c>
      <c r="W485">
        <v>-7</v>
      </c>
      <c r="X485">
        <v>56</v>
      </c>
      <c r="Y485" s="2" t="s">
        <v>1014</v>
      </c>
      <c r="Z485">
        <v>41.692535960932503</v>
      </c>
      <c r="AA485">
        <v>12.780724235582399</v>
      </c>
      <c r="AB485" t="s">
        <v>78</v>
      </c>
      <c r="AC485" t="s">
        <v>81</v>
      </c>
      <c r="AD485" t="s">
        <v>82</v>
      </c>
      <c r="AE485">
        <v>19578</v>
      </c>
      <c r="AF485">
        <v>0</v>
      </c>
      <c r="AG485">
        <v>0</v>
      </c>
      <c r="AH485">
        <v>6742</v>
      </c>
      <c r="AI485">
        <v>6930</v>
      </c>
      <c r="AJ485">
        <v>2986</v>
      </c>
      <c r="AK485">
        <v>2920</v>
      </c>
      <c r="AL485">
        <v>12135</v>
      </c>
      <c r="AM485">
        <v>24916</v>
      </c>
      <c r="AN485">
        <v>48689</v>
      </c>
      <c r="AO485">
        <v>133378</v>
      </c>
      <c r="AP485">
        <v>3</v>
      </c>
      <c r="AQ485">
        <v>1</v>
      </c>
      <c r="AR485">
        <v>1</v>
      </c>
      <c r="AS485">
        <v>12</v>
      </c>
      <c r="AT485">
        <v>0</v>
      </c>
      <c r="AU485">
        <v>17</v>
      </c>
      <c r="AV485">
        <v>21</v>
      </c>
      <c r="AW485">
        <v>0</v>
      </c>
      <c r="AX485">
        <v>0</v>
      </c>
      <c r="AY485">
        <v>0</v>
      </c>
      <c r="AZ485">
        <v>5</v>
      </c>
      <c r="BA485">
        <v>9</v>
      </c>
      <c r="BB485">
        <v>19</v>
      </c>
      <c r="BC485">
        <v>5</v>
      </c>
      <c r="BD485">
        <v>0</v>
      </c>
      <c r="BE485">
        <v>0</v>
      </c>
      <c r="BF485">
        <v>5</v>
      </c>
      <c r="BG485">
        <v>0</v>
      </c>
      <c r="BH485">
        <v>5</v>
      </c>
      <c r="BI485">
        <v>0</v>
      </c>
      <c r="BJ485">
        <v>41.692558900000002</v>
      </c>
      <c r="BK485">
        <v>12.780775</v>
      </c>
      <c r="BL485">
        <v>600</v>
      </c>
      <c r="BM485" t="s">
        <v>83</v>
      </c>
      <c r="BN485" t="s">
        <v>84</v>
      </c>
      <c r="BO485" t="s">
        <v>85</v>
      </c>
      <c r="BP485" t="s">
        <v>86</v>
      </c>
      <c r="BQ485" t="s">
        <v>87</v>
      </c>
      <c r="BR485" t="s">
        <v>88</v>
      </c>
      <c r="BS485">
        <v>391651</v>
      </c>
      <c r="BT485">
        <v>0</v>
      </c>
      <c r="BU485">
        <v>0</v>
      </c>
      <c r="BV485">
        <v>134850</v>
      </c>
      <c r="BW485">
        <v>138622</v>
      </c>
      <c r="BX485">
        <v>59751</v>
      </c>
      <c r="BY485">
        <v>58428</v>
      </c>
      <c r="BZ485">
        <v>1</v>
      </c>
      <c r="CA485" t="s">
        <v>1015</v>
      </c>
      <c r="CB485" t="s">
        <v>1016</v>
      </c>
      <c r="CC485" s="3">
        <v>46092.557106481479</v>
      </c>
      <c r="CD485" t="s">
        <v>91</v>
      </c>
    </row>
    <row r="486" spans="1:82" ht="16" x14ac:dyDescent="0.2">
      <c r="A486" t="s">
        <v>1018</v>
      </c>
      <c r="B486" t="s">
        <v>1019</v>
      </c>
      <c r="C486" t="s">
        <v>1020</v>
      </c>
      <c r="D486" t="s">
        <v>78</v>
      </c>
      <c r="E486" t="s">
        <v>1021</v>
      </c>
      <c r="F486">
        <v>2</v>
      </c>
      <c r="G486">
        <v>300</v>
      </c>
      <c r="H486" t="str">
        <f t="shared" si="50"/>
        <v>2x300</v>
      </c>
      <c r="I486">
        <v>114</v>
      </c>
      <c r="J486" s="4">
        <f t="shared" si="51"/>
        <v>3.1666666666666669E-2</v>
      </c>
      <c r="K486">
        <v>172</v>
      </c>
      <c r="L486" s="4">
        <f t="shared" si="52"/>
        <v>4.777777777777778E-2</v>
      </c>
      <c r="M486">
        <v>260</v>
      </c>
      <c r="N486" s="4">
        <f t="shared" si="53"/>
        <v>7.2222222222222229E-2</v>
      </c>
      <c r="O486">
        <v>519</v>
      </c>
      <c r="P486" s="4">
        <f t="shared" si="54"/>
        <v>0.14416666666666667</v>
      </c>
      <c r="Q486" s="6">
        <f t="shared" si="49"/>
        <v>2035</v>
      </c>
      <c r="R486" s="6">
        <f t="shared" si="55"/>
        <v>4</v>
      </c>
      <c r="S486">
        <v>156</v>
      </c>
      <c r="T486">
        <v>-49</v>
      </c>
      <c r="U486">
        <v>-18</v>
      </c>
      <c r="V486">
        <v>-11</v>
      </c>
      <c r="W486">
        <v>-3</v>
      </c>
      <c r="X486">
        <v>62</v>
      </c>
      <c r="Y486" s="2" t="s">
        <v>1022</v>
      </c>
      <c r="Z486">
        <v>44.6031885819827</v>
      </c>
      <c r="AA486">
        <v>11.031489808600201</v>
      </c>
      <c r="AB486" t="s">
        <v>78</v>
      </c>
      <c r="AC486" t="s">
        <v>81</v>
      </c>
      <c r="AD486" t="s">
        <v>82</v>
      </c>
      <c r="AE486">
        <v>18288</v>
      </c>
      <c r="AF486">
        <v>0</v>
      </c>
      <c r="AG486">
        <v>0</v>
      </c>
      <c r="AH486">
        <v>12977</v>
      </c>
      <c r="AI486">
        <v>2414</v>
      </c>
      <c r="AJ486">
        <v>2897</v>
      </c>
      <c r="AK486">
        <v>0</v>
      </c>
      <c r="AL486">
        <v>1109</v>
      </c>
      <c r="AM486">
        <v>10590</v>
      </c>
      <c r="AN486">
        <v>31241</v>
      </c>
      <c r="AO486">
        <v>190686</v>
      </c>
      <c r="AP486">
        <v>0</v>
      </c>
      <c r="AQ486">
        <v>0</v>
      </c>
      <c r="AR486">
        <v>1</v>
      </c>
      <c r="AS486">
        <v>5</v>
      </c>
      <c r="AT486">
        <v>4</v>
      </c>
      <c r="AU486">
        <v>18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12</v>
      </c>
      <c r="BC486">
        <v>0</v>
      </c>
      <c r="BD486">
        <v>4</v>
      </c>
      <c r="BE486">
        <v>0</v>
      </c>
      <c r="BF486">
        <v>4</v>
      </c>
      <c r="BG486">
        <v>0</v>
      </c>
      <c r="BH486">
        <v>4</v>
      </c>
      <c r="BI486">
        <v>0</v>
      </c>
      <c r="BJ486">
        <v>44.603355899999997</v>
      </c>
      <c r="BK486">
        <v>11.0315335</v>
      </c>
      <c r="BL486">
        <v>600</v>
      </c>
      <c r="BM486" t="s">
        <v>83</v>
      </c>
      <c r="BN486" t="s">
        <v>84</v>
      </c>
      <c r="BO486" t="s">
        <v>85</v>
      </c>
      <c r="BP486" t="s">
        <v>160</v>
      </c>
      <c r="BQ486" t="s">
        <v>170</v>
      </c>
      <c r="BR486" t="s">
        <v>462</v>
      </c>
      <c r="BS486">
        <v>365819</v>
      </c>
      <c r="BT486">
        <v>0</v>
      </c>
      <c r="BU486">
        <v>0</v>
      </c>
      <c r="BV486">
        <v>259562</v>
      </c>
      <c r="BW486">
        <v>48298</v>
      </c>
      <c r="BX486">
        <v>57959</v>
      </c>
      <c r="BY486">
        <v>0</v>
      </c>
      <c r="BZ486">
        <v>1</v>
      </c>
      <c r="CA486" t="s">
        <v>1023</v>
      </c>
      <c r="CB486" t="s">
        <v>1024</v>
      </c>
      <c r="CC486" s="3">
        <v>46092.557106481479</v>
      </c>
      <c r="CD486" t="s">
        <v>91</v>
      </c>
    </row>
    <row r="487" spans="1:82" ht="16" x14ac:dyDescent="0.2">
      <c r="A487" t="s">
        <v>1167</v>
      </c>
      <c r="B487" t="s">
        <v>950</v>
      </c>
      <c r="C487" t="s">
        <v>951</v>
      </c>
      <c r="D487" t="s">
        <v>78</v>
      </c>
      <c r="E487" t="s">
        <v>952</v>
      </c>
      <c r="F487">
        <v>2</v>
      </c>
      <c r="G487">
        <v>150</v>
      </c>
      <c r="H487" t="str">
        <f t="shared" si="50"/>
        <v>2x150</v>
      </c>
      <c r="I487">
        <v>114</v>
      </c>
      <c r="J487" s="4">
        <f t="shared" si="51"/>
        <v>3.653846153846154E-2</v>
      </c>
      <c r="K487">
        <v>172</v>
      </c>
      <c r="L487" s="4">
        <f t="shared" si="52"/>
        <v>5.5128205128205127E-2</v>
      </c>
      <c r="M487">
        <v>260</v>
      </c>
      <c r="N487" s="4">
        <f t="shared" si="53"/>
        <v>8.3333333333333329E-2</v>
      </c>
      <c r="O487">
        <v>519</v>
      </c>
      <c r="P487" s="4">
        <f t="shared" si="54"/>
        <v>0.16634615384615384</v>
      </c>
      <c r="Q487" s="6">
        <f t="shared" si="49"/>
        <v>2035</v>
      </c>
      <c r="R487" s="6">
        <f t="shared" si="55"/>
        <v>4</v>
      </c>
      <c r="S487">
        <v>135</v>
      </c>
      <c r="T487">
        <v>-36</v>
      </c>
      <c r="U487">
        <v>-13</v>
      </c>
      <c r="V487">
        <v>-7</v>
      </c>
      <c r="W487">
        <v>1</v>
      </c>
      <c r="X487">
        <v>54</v>
      </c>
      <c r="Y487" s="2" t="s">
        <v>953</v>
      </c>
      <c r="Z487">
        <v>38.838334926692298</v>
      </c>
      <c r="AA487">
        <v>16.640370562761401</v>
      </c>
      <c r="AB487" t="s">
        <v>78</v>
      </c>
      <c r="AC487" t="s">
        <v>81</v>
      </c>
      <c r="AD487" t="s">
        <v>82</v>
      </c>
      <c r="AE487">
        <v>10796</v>
      </c>
      <c r="AF487">
        <v>0</v>
      </c>
      <c r="AG487">
        <v>0</v>
      </c>
      <c r="AH487">
        <v>0</v>
      </c>
      <c r="AI487">
        <v>9733</v>
      </c>
      <c r="AJ487">
        <v>0</v>
      </c>
      <c r="AK487">
        <v>1063</v>
      </c>
      <c r="AL487">
        <v>2282</v>
      </c>
      <c r="AM487">
        <v>8685</v>
      </c>
      <c r="AN487">
        <v>32808</v>
      </c>
      <c r="AO487">
        <v>75805</v>
      </c>
      <c r="AP487">
        <v>0</v>
      </c>
      <c r="AQ487">
        <v>0</v>
      </c>
      <c r="AR487">
        <v>1</v>
      </c>
      <c r="AS487">
        <v>2</v>
      </c>
      <c r="AT487">
        <v>1</v>
      </c>
      <c r="AU487">
        <v>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10</v>
      </c>
      <c r="BB487">
        <v>17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38.838475000000003</v>
      </c>
      <c r="BK487">
        <v>16.640216299999999</v>
      </c>
      <c r="BL487">
        <v>300</v>
      </c>
      <c r="BM487" t="s">
        <v>83</v>
      </c>
      <c r="BN487" t="s">
        <v>84</v>
      </c>
      <c r="BO487" t="s">
        <v>85</v>
      </c>
      <c r="BP487" t="s">
        <v>97</v>
      </c>
      <c r="BQ487" t="s">
        <v>954</v>
      </c>
      <c r="BR487" t="s">
        <v>955</v>
      </c>
      <c r="BS487">
        <v>215955</v>
      </c>
      <c r="BT487">
        <v>0</v>
      </c>
      <c r="BU487">
        <v>0</v>
      </c>
      <c r="BV487">
        <v>0</v>
      </c>
      <c r="BW487">
        <v>194684</v>
      </c>
      <c r="BX487">
        <v>0</v>
      </c>
      <c r="BY487">
        <v>21271</v>
      </c>
      <c r="BZ487">
        <v>1</v>
      </c>
      <c r="CA487" t="s">
        <v>956</v>
      </c>
      <c r="CB487" t="s">
        <v>957</v>
      </c>
      <c r="CC487" s="3">
        <v>46092.557106481479</v>
      </c>
      <c r="CD487" t="s">
        <v>91</v>
      </c>
    </row>
    <row r="488" spans="1:82" ht="16" x14ac:dyDescent="0.2">
      <c r="A488" t="s">
        <v>1026</v>
      </c>
      <c r="B488" t="s">
        <v>1027</v>
      </c>
      <c r="C488" t="s">
        <v>1028</v>
      </c>
      <c r="D488" t="s">
        <v>78</v>
      </c>
      <c r="E488" t="s">
        <v>1029</v>
      </c>
      <c r="F488">
        <v>2</v>
      </c>
      <c r="G488">
        <v>300</v>
      </c>
      <c r="H488" t="str">
        <f t="shared" si="50"/>
        <v>2x300</v>
      </c>
      <c r="I488">
        <v>113</v>
      </c>
      <c r="J488" s="4">
        <f t="shared" si="51"/>
        <v>3.138888888888889E-2</v>
      </c>
      <c r="K488">
        <v>171</v>
      </c>
      <c r="L488" s="4">
        <f t="shared" si="52"/>
        <v>4.7499999999999994E-2</v>
      </c>
      <c r="M488">
        <v>259</v>
      </c>
      <c r="N488" s="4">
        <f t="shared" si="53"/>
        <v>7.1944444444444436E-2</v>
      </c>
      <c r="O488">
        <v>517</v>
      </c>
      <c r="P488" s="4">
        <f t="shared" si="54"/>
        <v>0.14361111111111111</v>
      </c>
      <c r="Q488" s="6">
        <f t="shared" si="49"/>
        <v>2035</v>
      </c>
      <c r="R488" s="6">
        <f t="shared" si="55"/>
        <v>4</v>
      </c>
      <c r="S488">
        <v>156</v>
      </c>
      <c r="T488">
        <v>-51</v>
      </c>
      <c r="U488">
        <v>-18</v>
      </c>
      <c r="V488">
        <v>-1</v>
      </c>
      <c r="W488">
        <v>-4</v>
      </c>
      <c r="X488">
        <v>56</v>
      </c>
      <c r="Y488" s="2" t="s">
        <v>1030</v>
      </c>
      <c r="Z488">
        <v>41.704256100000002</v>
      </c>
      <c r="AA488">
        <v>12.6867518</v>
      </c>
      <c r="AB488" t="s">
        <v>78</v>
      </c>
      <c r="AC488" t="s">
        <v>81</v>
      </c>
      <c r="AD488" t="s">
        <v>82</v>
      </c>
      <c r="AE488">
        <v>17976</v>
      </c>
      <c r="AF488">
        <v>0</v>
      </c>
      <c r="AG488">
        <v>0</v>
      </c>
      <c r="AH488">
        <v>5938</v>
      </c>
      <c r="AI488">
        <v>0</v>
      </c>
      <c r="AJ488">
        <v>12038</v>
      </c>
      <c r="AK488">
        <v>0</v>
      </c>
      <c r="AL488">
        <v>14659</v>
      </c>
      <c r="AM488">
        <v>24850</v>
      </c>
      <c r="AN488">
        <v>80592</v>
      </c>
      <c r="AO488">
        <v>226185</v>
      </c>
      <c r="AP488">
        <v>2</v>
      </c>
      <c r="AQ488">
        <v>0</v>
      </c>
      <c r="AR488">
        <v>6</v>
      </c>
      <c r="AS488">
        <v>15</v>
      </c>
      <c r="AT488">
        <v>1</v>
      </c>
      <c r="AU488">
        <v>29</v>
      </c>
      <c r="AV488">
        <v>3</v>
      </c>
      <c r="AW488">
        <v>1</v>
      </c>
      <c r="AX488">
        <v>1</v>
      </c>
      <c r="AY488">
        <v>1</v>
      </c>
      <c r="AZ488">
        <v>1</v>
      </c>
      <c r="BA488">
        <v>5</v>
      </c>
      <c r="BB488">
        <v>13</v>
      </c>
      <c r="BC488">
        <v>1</v>
      </c>
      <c r="BD488">
        <v>2</v>
      </c>
      <c r="BE488">
        <v>0</v>
      </c>
      <c r="BF488">
        <v>4</v>
      </c>
      <c r="BG488">
        <v>0</v>
      </c>
      <c r="BH488">
        <v>4</v>
      </c>
      <c r="BI488">
        <v>0</v>
      </c>
      <c r="BJ488">
        <v>41.704278199999997</v>
      </c>
      <c r="BK488">
        <v>12.686697499999999</v>
      </c>
      <c r="BL488">
        <v>600</v>
      </c>
      <c r="BM488" t="s">
        <v>83</v>
      </c>
      <c r="BN488" t="s">
        <v>84</v>
      </c>
      <c r="BO488" t="s">
        <v>85</v>
      </c>
      <c r="BP488" t="s">
        <v>86</v>
      </c>
      <c r="BQ488" t="s">
        <v>87</v>
      </c>
      <c r="BR488" t="s">
        <v>88</v>
      </c>
      <c r="BS488">
        <v>359557</v>
      </c>
      <c r="BT488">
        <v>0</v>
      </c>
      <c r="BU488">
        <v>0</v>
      </c>
      <c r="BV488">
        <v>118766</v>
      </c>
      <c r="BW488">
        <v>0</v>
      </c>
      <c r="BX488">
        <v>240791</v>
      </c>
      <c r="BY488">
        <v>0</v>
      </c>
      <c r="BZ488">
        <v>1</v>
      </c>
      <c r="CA488" t="s">
        <v>1031</v>
      </c>
      <c r="CB488" t="s">
        <v>1032</v>
      </c>
      <c r="CC488" s="3">
        <v>46092.557106481479</v>
      </c>
      <c r="CD488" t="s">
        <v>91</v>
      </c>
    </row>
    <row r="489" spans="1:82" ht="16" x14ac:dyDescent="0.2">
      <c r="A489" t="s">
        <v>1033</v>
      </c>
      <c r="B489" t="s">
        <v>1034</v>
      </c>
      <c r="C489" t="s">
        <v>1035</v>
      </c>
      <c r="D489" t="s">
        <v>78</v>
      </c>
      <c r="E489" t="s">
        <v>1036</v>
      </c>
      <c r="F489">
        <v>2</v>
      </c>
      <c r="G489">
        <v>300</v>
      </c>
      <c r="H489" t="str">
        <f t="shared" si="50"/>
        <v>2x300</v>
      </c>
      <c r="I489">
        <v>112</v>
      </c>
      <c r="J489" s="4">
        <f t="shared" si="51"/>
        <v>3.1111111111111114E-2</v>
      </c>
      <c r="K489">
        <v>170</v>
      </c>
      <c r="L489" s="4">
        <f t="shared" si="52"/>
        <v>4.7222222222222221E-2</v>
      </c>
      <c r="M489">
        <v>257</v>
      </c>
      <c r="N489" s="4">
        <f t="shared" si="53"/>
        <v>7.1388888888888891E-2</v>
      </c>
      <c r="O489">
        <v>513</v>
      </c>
      <c r="P489" s="4">
        <f t="shared" si="54"/>
        <v>0.14249999999999999</v>
      </c>
      <c r="Q489" s="6">
        <f t="shared" si="49"/>
        <v>2035</v>
      </c>
      <c r="R489" s="6">
        <f t="shared" si="55"/>
        <v>4</v>
      </c>
      <c r="S489">
        <v>156</v>
      </c>
      <c r="T489">
        <v>-48</v>
      </c>
      <c r="U489">
        <v>-11</v>
      </c>
      <c r="V489">
        <v>-23</v>
      </c>
      <c r="W489">
        <v>-1</v>
      </c>
      <c r="X489">
        <v>64</v>
      </c>
      <c r="Y489" s="2" t="s">
        <v>1037</v>
      </c>
      <c r="Z489">
        <v>43.073369999999997</v>
      </c>
      <c r="AA489">
        <v>10.53839</v>
      </c>
      <c r="AB489" t="s">
        <v>78</v>
      </c>
      <c r="AC489" t="s">
        <v>81</v>
      </c>
      <c r="AD489" t="s">
        <v>82</v>
      </c>
      <c r="AE489">
        <v>4879</v>
      </c>
      <c r="AF489">
        <v>0</v>
      </c>
      <c r="AG489">
        <v>0</v>
      </c>
      <c r="AH489">
        <v>0</v>
      </c>
      <c r="AI489">
        <v>4250</v>
      </c>
      <c r="AJ489">
        <v>0</v>
      </c>
      <c r="AK489">
        <v>629</v>
      </c>
      <c r="AL489">
        <v>127</v>
      </c>
      <c r="AM489">
        <v>1123</v>
      </c>
      <c r="AN489">
        <v>7166</v>
      </c>
      <c r="AO489">
        <v>20736</v>
      </c>
      <c r="AP489">
        <v>0</v>
      </c>
      <c r="AQ489">
        <v>0</v>
      </c>
      <c r="AR489">
        <v>1</v>
      </c>
      <c r="AS489">
        <v>1</v>
      </c>
      <c r="AT489">
        <v>2</v>
      </c>
      <c r="AU489">
        <v>3</v>
      </c>
      <c r="AV489">
        <v>2</v>
      </c>
      <c r="AW489">
        <v>0</v>
      </c>
      <c r="AX489">
        <v>1</v>
      </c>
      <c r="AY489">
        <v>0</v>
      </c>
      <c r="AZ489">
        <v>0</v>
      </c>
      <c r="BA489">
        <v>4</v>
      </c>
      <c r="BB489">
        <v>13</v>
      </c>
      <c r="BC489">
        <v>2</v>
      </c>
      <c r="BD489">
        <v>0</v>
      </c>
      <c r="BE489">
        <v>0</v>
      </c>
      <c r="BF489">
        <v>0</v>
      </c>
      <c r="BG489">
        <v>0</v>
      </c>
      <c r="BH489">
        <v>2</v>
      </c>
      <c r="BI489">
        <v>0</v>
      </c>
      <c r="BJ489">
        <v>43.073397900000003</v>
      </c>
      <c r="BK489">
        <v>10.5384075</v>
      </c>
      <c r="BL489">
        <v>600</v>
      </c>
      <c r="BM489" t="s">
        <v>83</v>
      </c>
      <c r="BN489" t="s">
        <v>84</v>
      </c>
      <c r="BO489" t="s">
        <v>85</v>
      </c>
      <c r="BP489" t="s">
        <v>86</v>
      </c>
      <c r="BQ489" t="s">
        <v>212</v>
      </c>
      <c r="BR489" t="s">
        <v>454</v>
      </c>
      <c r="BS489">
        <v>97610</v>
      </c>
      <c r="BT489">
        <v>0</v>
      </c>
      <c r="BU489">
        <v>0</v>
      </c>
      <c r="BV489">
        <v>0</v>
      </c>
      <c r="BW489">
        <v>85020</v>
      </c>
      <c r="BX489">
        <v>0</v>
      </c>
      <c r="BY489">
        <v>12590</v>
      </c>
      <c r="BZ489">
        <v>1</v>
      </c>
      <c r="CA489" t="s">
        <v>1038</v>
      </c>
      <c r="CB489" t="s">
        <v>1039</v>
      </c>
      <c r="CC489" s="3">
        <v>46092.557106481479</v>
      </c>
      <c r="CD489" t="s">
        <v>91</v>
      </c>
    </row>
    <row r="490" spans="1:82" ht="16" x14ac:dyDescent="0.2">
      <c r="A490" t="s">
        <v>1168</v>
      </c>
      <c r="B490" t="s">
        <v>962</v>
      </c>
      <c r="C490" t="s">
        <v>963</v>
      </c>
      <c r="D490" t="s">
        <v>78</v>
      </c>
      <c r="E490" t="s">
        <v>964</v>
      </c>
      <c r="F490">
        <v>2</v>
      </c>
      <c r="G490">
        <v>150</v>
      </c>
      <c r="H490" t="str">
        <f t="shared" si="50"/>
        <v>2x150</v>
      </c>
      <c r="I490">
        <v>110</v>
      </c>
      <c r="J490" s="4">
        <f t="shared" si="51"/>
        <v>3.5256410256410256E-2</v>
      </c>
      <c r="K490">
        <v>166</v>
      </c>
      <c r="L490" s="4">
        <f t="shared" si="52"/>
        <v>5.3205128205128203E-2</v>
      </c>
      <c r="M490">
        <v>252</v>
      </c>
      <c r="N490" s="4">
        <f t="shared" si="53"/>
        <v>8.0769230769230774E-2</v>
      </c>
      <c r="O490">
        <v>502</v>
      </c>
      <c r="P490" s="4">
        <f t="shared" si="54"/>
        <v>0.16089743589743591</v>
      </c>
      <c r="Q490" s="6">
        <f t="shared" si="49"/>
        <v>2035</v>
      </c>
      <c r="R490" s="6">
        <f t="shared" si="55"/>
        <v>4</v>
      </c>
      <c r="S490">
        <v>135</v>
      </c>
      <c r="T490">
        <v>-41</v>
      </c>
      <c r="U490">
        <v>-11</v>
      </c>
      <c r="V490">
        <v>-4</v>
      </c>
      <c r="W490">
        <v>-2</v>
      </c>
      <c r="X490">
        <v>54</v>
      </c>
      <c r="Y490" s="2" t="s">
        <v>965</v>
      </c>
      <c r="Z490">
        <v>44.083342999999999</v>
      </c>
      <c r="AA490">
        <v>8.2232869999999991</v>
      </c>
      <c r="AB490" t="s">
        <v>78</v>
      </c>
      <c r="AC490" t="s">
        <v>81</v>
      </c>
      <c r="AD490" t="s">
        <v>82</v>
      </c>
      <c r="AE490">
        <v>11277</v>
      </c>
      <c r="AF490">
        <v>0</v>
      </c>
      <c r="AG490">
        <v>0</v>
      </c>
      <c r="AH490">
        <v>8255</v>
      </c>
      <c r="AI490">
        <v>0</v>
      </c>
      <c r="AJ490">
        <v>970</v>
      </c>
      <c r="AK490">
        <v>2052</v>
      </c>
      <c r="AL490">
        <v>2303</v>
      </c>
      <c r="AM490">
        <v>6108</v>
      </c>
      <c r="AN490">
        <v>36530</v>
      </c>
      <c r="AO490">
        <v>72328</v>
      </c>
      <c r="AP490">
        <v>0</v>
      </c>
      <c r="AQ490">
        <v>0</v>
      </c>
      <c r="AR490">
        <v>2</v>
      </c>
      <c r="AS490">
        <v>8</v>
      </c>
      <c r="AT490">
        <v>0</v>
      </c>
      <c r="AU490">
        <v>8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4</v>
      </c>
      <c r="BB490">
        <v>7</v>
      </c>
      <c r="BC490">
        <v>4</v>
      </c>
      <c r="BD490">
        <v>1</v>
      </c>
      <c r="BE490">
        <v>0</v>
      </c>
      <c r="BF490">
        <v>1</v>
      </c>
      <c r="BG490">
        <v>0</v>
      </c>
      <c r="BH490">
        <v>3</v>
      </c>
      <c r="BI490">
        <v>6</v>
      </c>
      <c r="BJ490">
        <v>44.0833491</v>
      </c>
      <c r="BK490">
        <v>8.2232892999999994</v>
      </c>
      <c r="BL490">
        <v>300</v>
      </c>
      <c r="BM490" t="s">
        <v>83</v>
      </c>
      <c r="BN490" t="s">
        <v>84</v>
      </c>
      <c r="BO490" t="s">
        <v>85</v>
      </c>
      <c r="BP490" t="s">
        <v>107</v>
      </c>
      <c r="BQ490" t="s">
        <v>569</v>
      </c>
      <c r="BR490" t="s">
        <v>966</v>
      </c>
      <c r="BS490">
        <v>225590</v>
      </c>
      <c r="BT490">
        <v>0</v>
      </c>
      <c r="BU490">
        <v>0</v>
      </c>
      <c r="BV490">
        <v>165105</v>
      </c>
      <c r="BW490">
        <v>0</v>
      </c>
      <c r="BX490">
        <v>19418</v>
      </c>
      <c r="BY490">
        <v>41067</v>
      </c>
      <c r="BZ490">
        <v>1</v>
      </c>
      <c r="CA490" t="s">
        <v>967</v>
      </c>
      <c r="CB490" t="s">
        <v>968</v>
      </c>
      <c r="CC490" s="3">
        <v>46092.557106481479</v>
      </c>
      <c r="CD490" t="s">
        <v>91</v>
      </c>
    </row>
    <row r="491" spans="1:82" ht="16" x14ac:dyDescent="0.2">
      <c r="A491" t="s">
        <v>1169</v>
      </c>
      <c r="B491" t="s">
        <v>972</v>
      </c>
      <c r="C491" t="s">
        <v>973</v>
      </c>
      <c r="D491" t="s">
        <v>78</v>
      </c>
      <c r="E491" t="s">
        <v>974</v>
      </c>
      <c r="F491">
        <v>2</v>
      </c>
      <c r="G491">
        <v>150</v>
      </c>
      <c r="H491" t="str">
        <f t="shared" si="50"/>
        <v>2x150</v>
      </c>
      <c r="I491">
        <v>108</v>
      </c>
      <c r="J491" s="4">
        <f t="shared" si="51"/>
        <v>3.4615384615384617E-2</v>
      </c>
      <c r="K491">
        <v>163</v>
      </c>
      <c r="L491" s="4">
        <f t="shared" si="52"/>
        <v>5.2243589743589745E-2</v>
      </c>
      <c r="M491">
        <v>247</v>
      </c>
      <c r="N491" s="4">
        <f t="shared" si="53"/>
        <v>7.9166666666666663E-2</v>
      </c>
      <c r="O491">
        <v>494</v>
      </c>
      <c r="P491" s="4">
        <f t="shared" si="54"/>
        <v>0.15833333333333333</v>
      </c>
      <c r="Q491" s="6">
        <f t="shared" si="49"/>
        <v>2035</v>
      </c>
      <c r="R491" s="6">
        <f t="shared" si="55"/>
        <v>4</v>
      </c>
      <c r="S491">
        <v>135</v>
      </c>
      <c r="T491">
        <v>-41</v>
      </c>
      <c r="U491">
        <v>-14</v>
      </c>
      <c r="V491">
        <v>-3</v>
      </c>
      <c r="W491">
        <v>-2</v>
      </c>
      <c r="X491">
        <v>52</v>
      </c>
      <c r="Y491" s="2" t="s">
        <v>975</v>
      </c>
      <c r="Z491">
        <v>45.122408</v>
      </c>
      <c r="AA491">
        <v>8.4636069999999997</v>
      </c>
      <c r="AB491" t="s">
        <v>78</v>
      </c>
      <c r="AC491" t="s">
        <v>81</v>
      </c>
      <c r="AD491" t="s">
        <v>82</v>
      </c>
      <c r="AE491">
        <v>11013</v>
      </c>
      <c r="AF491">
        <v>0</v>
      </c>
      <c r="AG491">
        <v>0</v>
      </c>
      <c r="AH491">
        <v>3704</v>
      </c>
      <c r="AI491">
        <v>0</v>
      </c>
      <c r="AJ491">
        <v>0</v>
      </c>
      <c r="AK491">
        <v>7309</v>
      </c>
      <c r="AL491">
        <v>2690</v>
      </c>
      <c r="AM491">
        <v>18322</v>
      </c>
      <c r="AN491">
        <v>33303</v>
      </c>
      <c r="AO491">
        <v>52942</v>
      </c>
      <c r="AP491">
        <v>0</v>
      </c>
      <c r="AQ491">
        <v>0</v>
      </c>
      <c r="AR491">
        <v>2</v>
      </c>
      <c r="AS491">
        <v>2</v>
      </c>
      <c r="AT491">
        <v>0</v>
      </c>
      <c r="AU491">
        <v>16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11</v>
      </c>
      <c r="BB491">
        <v>27</v>
      </c>
      <c r="BC491">
        <v>9</v>
      </c>
      <c r="BD491">
        <v>2</v>
      </c>
      <c r="BE491">
        <v>0</v>
      </c>
      <c r="BF491">
        <v>2</v>
      </c>
      <c r="BG491">
        <v>0</v>
      </c>
      <c r="BH491">
        <v>5</v>
      </c>
      <c r="BI491">
        <v>0</v>
      </c>
      <c r="BJ491">
        <v>45.122407699999997</v>
      </c>
      <c r="BK491">
        <v>8.4638810000000007</v>
      </c>
      <c r="BL491">
        <v>300</v>
      </c>
      <c r="BM491" t="s">
        <v>83</v>
      </c>
      <c r="BN491" t="s">
        <v>84</v>
      </c>
      <c r="BO491" t="s">
        <v>85</v>
      </c>
      <c r="BP491" t="s">
        <v>107</v>
      </c>
      <c r="BQ491" t="s">
        <v>203</v>
      </c>
      <c r="BR491" t="s">
        <v>671</v>
      </c>
      <c r="BS491">
        <v>220292</v>
      </c>
      <c r="BT491">
        <v>0</v>
      </c>
      <c r="BU491">
        <v>0</v>
      </c>
      <c r="BV491">
        <v>74094</v>
      </c>
      <c r="BW491">
        <v>0</v>
      </c>
      <c r="BX491">
        <v>0</v>
      </c>
      <c r="BY491">
        <v>146198</v>
      </c>
      <c r="BZ491">
        <v>1</v>
      </c>
      <c r="CA491" t="s">
        <v>976</v>
      </c>
      <c r="CB491" t="s">
        <v>977</v>
      </c>
      <c r="CC491" s="3">
        <v>46092.557106481479</v>
      </c>
      <c r="CD491" t="s">
        <v>91</v>
      </c>
    </row>
    <row r="492" spans="1:82" ht="16" x14ac:dyDescent="0.2">
      <c r="A492" t="s">
        <v>1170</v>
      </c>
      <c r="B492" t="s">
        <v>980</v>
      </c>
      <c r="C492" t="s">
        <v>981</v>
      </c>
      <c r="D492" t="s">
        <v>78</v>
      </c>
      <c r="E492" t="s">
        <v>982</v>
      </c>
      <c r="F492">
        <v>2</v>
      </c>
      <c r="G492">
        <v>150</v>
      </c>
      <c r="H492" t="str">
        <f t="shared" si="50"/>
        <v>2x150</v>
      </c>
      <c r="I492">
        <v>106</v>
      </c>
      <c r="J492" s="4">
        <f t="shared" si="51"/>
        <v>3.3974358974358972E-2</v>
      </c>
      <c r="K492">
        <v>160</v>
      </c>
      <c r="L492" s="4">
        <f t="shared" si="52"/>
        <v>5.1282051282051287E-2</v>
      </c>
      <c r="M492">
        <v>243</v>
      </c>
      <c r="N492" s="4">
        <f t="shared" si="53"/>
        <v>7.7884615384615385E-2</v>
      </c>
      <c r="O492">
        <v>485</v>
      </c>
      <c r="P492" s="4">
        <f t="shared" si="54"/>
        <v>0.15544871794871795</v>
      </c>
      <c r="Q492" s="6">
        <f t="shared" si="49"/>
        <v>2035</v>
      </c>
      <c r="R492" s="6">
        <f t="shared" si="55"/>
        <v>4</v>
      </c>
      <c r="S492">
        <v>135</v>
      </c>
      <c r="T492">
        <v>-41</v>
      </c>
      <c r="U492">
        <v>-14</v>
      </c>
      <c r="V492">
        <v>-4</v>
      </c>
      <c r="W492">
        <v>-1</v>
      </c>
      <c r="X492">
        <v>53</v>
      </c>
      <c r="Y492" s="2" t="s">
        <v>983</v>
      </c>
      <c r="Z492">
        <v>45.434049365696602</v>
      </c>
      <c r="AA492">
        <v>8.7128907441756294</v>
      </c>
      <c r="AB492" t="s">
        <v>78</v>
      </c>
      <c r="AC492" t="s">
        <v>81</v>
      </c>
      <c r="AD492" t="s">
        <v>82</v>
      </c>
      <c r="AE492">
        <v>28886</v>
      </c>
      <c r="AF492">
        <v>0</v>
      </c>
      <c r="AG492">
        <v>0</v>
      </c>
      <c r="AH492">
        <v>23116</v>
      </c>
      <c r="AI492">
        <v>513</v>
      </c>
      <c r="AJ492">
        <v>2611</v>
      </c>
      <c r="AK492">
        <v>2646</v>
      </c>
      <c r="AL492">
        <v>1830</v>
      </c>
      <c r="AM492">
        <v>9226</v>
      </c>
      <c r="AN492">
        <v>40525</v>
      </c>
      <c r="AO492">
        <v>171366</v>
      </c>
      <c r="AP492">
        <v>0</v>
      </c>
      <c r="AQ492">
        <v>0</v>
      </c>
      <c r="AR492">
        <v>1</v>
      </c>
      <c r="AS492">
        <v>2</v>
      </c>
      <c r="AT492">
        <v>0</v>
      </c>
      <c r="AU492">
        <v>9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6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45.434079199999999</v>
      </c>
      <c r="BK492">
        <v>8.7128285999999999</v>
      </c>
      <c r="BL492">
        <v>300</v>
      </c>
      <c r="BM492" t="s">
        <v>83</v>
      </c>
      <c r="BN492" t="s">
        <v>84</v>
      </c>
      <c r="BO492" t="s">
        <v>85</v>
      </c>
      <c r="BP492" t="s">
        <v>107</v>
      </c>
      <c r="BQ492" t="s">
        <v>203</v>
      </c>
      <c r="BR492" t="s">
        <v>310</v>
      </c>
      <c r="BS492">
        <v>567551</v>
      </c>
      <c r="BT492">
        <v>0</v>
      </c>
      <c r="BU492">
        <v>0</v>
      </c>
      <c r="BV492">
        <v>462340</v>
      </c>
      <c r="BW492">
        <v>0</v>
      </c>
      <c r="BX492">
        <v>52286</v>
      </c>
      <c r="BY492">
        <v>52925</v>
      </c>
      <c r="BZ492">
        <v>1</v>
      </c>
      <c r="CA492" t="s">
        <v>984</v>
      </c>
      <c r="CB492" t="s">
        <v>985</v>
      </c>
      <c r="CC492" s="3">
        <v>46092.557106481479</v>
      </c>
      <c r="CD492" t="s">
        <v>91</v>
      </c>
    </row>
    <row r="493" spans="1:82" ht="16" x14ac:dyDescent="0.2">
      <c r="A493" t="s">
        <v>1171</v>
      </c>
      <c r="B493" t="s">
        <v>987</v>
      </c>
      <c r="C493" t="s">
        <v>988</v>
      </c>
      <c r="D493" t="s">
        <v>78</v>
      </c>
      <c r="E493" t="s">
        <v>989</v>
      </c>
      <c r="F493">
        <v>2</v>
      </c>
      <c r="G493">
        <v>150</v>
      </c>
      <c r="H493" t="str">
        <f t="shared" si="50"/>
        <v>2x150</v>
      </c>
      <c r="I493">
        <v>106</v>
      </c>
      <c r="J493" s="4">
        <f t="shared" si="51"/>
        <v>3.3974358974358972E-2</v>
      </c>
      <c r="K493">
        <v>160</v>
      </c>
      <c r="L493" s="4">
        <f t="shared" si="52"/>
        <v>5.1282051282051287E-2</v>
      </c>
      <c r="M493">
        <v>242</v>
      </c>
      <c r="N493" s="4">
        <f t="shared" si="53"/>
        <v>7.7564102564102566E-2</v>
      </c>
      <c r="O493">
        <v>483</v>
      </c>
      <c r="P493" s="4">
        <f t="shared" si="54"/>
        <v>0.15480769230769231</v>
      </c>
      <c r="Q493" s="6">
        <f t="shared" si="49"/>
        <v>2035</v>
      </c>
      <c r="R493" s="6">
        <f t="shared" si="55"/>
        <v>4</v>
      </c>
      <c r="S493">
        <v>135</v>
      </c>
      <c r="T493">
        <v>-38</v>
      </c>
      <c r="U493">
        <v>-14</v>
      </c>
      <c r="V493">
        <v>0</v>
      </c>
      <c r="W493">
        <v>-11</v>
      </c>
      <c r="X493">
        <v>53</v>
      </c>
      <c r="Y493" s="2" t="s">
        <v>990</v>
      </c>
      <c r="Z493">
        <v>39.891739999999999</v>
      </c>
      <c r="AA493">
        <v>8.5995299999999997</v>
      </c>
      <c r="AB493" t="s">
        <v>78</v>
      </c>
      <c r="AC493" t="s">
        <v>81</v>
      </c>
      <c r="AD493" t="s">
        <v>82</v>
      </c>
      <c r="AE493">
        <v>6129</v>
      </c>
      <c r="AF493">
        <v>0</v>
      </c>
      <c r="AG493">
        <v>0</v>
      </c>
      <c r="AH493">
        <v>0</v>
      </c>
      <c r="AI493">
        <v>4092</v>
      </c>
      <c r="AJ493">
        <v>1677</v>
      </c>
      <c r="AK493">
        <v>360</v>
      </c>
      <c r="AL493">
        <v>7419</v>
      </c>
      <c r="AM493">
        <v>21773</v>
      </c>
      <c r="AN493">
        <v>34716</v>
      </c>
      <c r="AO493">
        <v>52848</v>
      </c>
      <c r="AP493">
        <v>1</v>
      </c>
      <c r="AQ493">
        <v>0</v>
      </c>
      <c r="AR493">
        <v>4</v>
      </c>
      <c r="AS493">
        <v>6</v>
      </c>
      <c r="AT493">
        <v>1</v>
      </c>
      <c r="AU493">
        <v>12</v>
      </c>
      <c r="AV493">
        <v>4</v>
      </c>
      <c r="AW493">
        <v>1</v>
      </c>
      <c r="AX493">
        <v>0</v>
      </c>
      <c r="AY493">
        <v>0</v>
      </c>
      <c r="AZ493">
        <v>1</v>
      </c>
      <c r="BA493">
        <v>22</v>
      </c>
      <c r="BB493">
        <v>46</v>
      </c>
      <c r="BC493">
        <v>5</v>
      </c>
      <c r="BD493">
        <v>4</v>
      </c>
      <c r="BE493">
        <v>0</v>
      </c>
      <c r="BF493">
        <v>6</v>
      </c>
      <c r="BG493">
        <v>0</v>
      </c>
      <c r="BH493">
        <v>6</v>
      </c>
      <c r="BI493">
        <v>0</v>
      </c>
      <c r="BJ493">
        <v>39.891651199999998</v>
      </c>
      <c r="BK493">
        <v>8.5993732999999999</v>
      </c>
      <c r="BL493">
        <v>300</v>
      </c>
      <c r="BM493" t="s">
        <v>83</v>
      </c>
      <c r="BN493" t="s">
        <v>84</v>
      </c>
      <c r="BO493" t="s">
        <v>85</v>
      </c>
      <c r="BP493" t="s">
        <v>242</v>
      </c>
      <c r="BQ493" t="s">
        <v>335</v>
      </c>
      <c r="BR493" t="s">
        <v>988</v>
      </c>
      <c r="BS493">
        <v>122639</v>
      </c>
      <c r="BT493">
        <v>0</v>
      </c>
      <c r="BU493">
        <v>0</v>
      </c>
      <c r="BV493">
        <v>0</v>
      </c>
      <c r="BW493">
        <v>81868</v>
      </c>
      <c r="BX493">
        <v>33552</v>
      </c>
      <c r="BY493">
        <v>7219</v>
      </c>
      <c r="BZ493">
        <v>1</v>
      </c>
      <c r="CA493" t="s">
        <v>991</v>
      </c>
      <c r="CB493" t="s">
        <v>992</v>
      </c>
      <c r="CC493" s="3">
        <v>46092.557106481479</v>
      </c>
      <c r="CD493" t="s">
        <v>91</v>
      </c>
    </row>
    <row r="494" spans="1:82" ht="16" x14ac:dyDescent="0.2">
      <c r="A494" t="s">
        <v>1172</v>
      </c>
      <c r="B494" t="s">
        <v>175</v>
      </c>
      <c r="C494" t="s">
        <v>176</v>
      </c>
      <c r="D494" t="s">
        <v>78</v>
      </c>
      <c r="E494" t="s">
        <v>177</v>
      </c>
      <c r="F494">
        <v>2</v>
      </c>
      <c r="G494">
        <v>50</v>
      </c>
      <c r="H494" t="str">
        <f t="shared" si="50"/>
        <v>2x50</v>
      </c>
      <c r="I494">
        <v>105</v>
      </c>
      <c r="J494" s="4">
        <f t="shared" si="51"/>
        <v>5.46875E-2</v>
      </c>
      <c r="K494">
        <v>159</v>
      </c>
      <c r="L494" s="4">
        <f t="shared" si="52"/>
        <v>8.2812499999999997E-2</v>
      </c>
      <c r="M494">
        <v>241</v>
      </c>
      <c r="N494" s="4">
        <f t="shared" si="53"/>
        <v>0.12552083333333333</v>
      </c>
      <c r="O494">
        <v>481</v>
      </c>
      <c r="P494" s="4">
        <f t="shared" si="54"/>
        <v>0.25052083333333336</v>
      </c>
      <c r="Q494" s="6">
        <f t="shared" si="49"/>
        <v>2035</v>
      </c>
      <c r="R494" s="6">
        <f t="shared" si="55"/>
        <v>4</v>
      </c>
      <c r="S494">
        <v>77</v>
      </c>
      <c r="T494">
        <v>87</v>
      </c>
      <c r="U494">
        <v>-12</v>
      </c>
      <c r="V494">
        <v>-9</v>
      </c>
      <c r="W494">
        <v>-10</v>
      </c>
      <c r="X494">
        <v>-52</v>
      </c>
      <c r="Y494" s="2" t="s">
        <v>178</v>
      </c>
      <c r="Z494">
        <v>45.577500000000001</v>
      </c>
      <c r="AA494">
        <v>10.00915</v>
      </c>
      <c r="AB494" t="s">
        <v>78</v>
      </c>
      <c r="AC494" t="s">
        <v>81</v>
      </c>
      <c r="AD494" t="s">
        <v>82</v>
      </c>
      <c r="AE494">
        <v>159824</v>
      </c>
      <c r="AF494">
        <v>126382</v>
      </c>
      <c r="AG494">
        <v>0</v>
      </c>
      <c r="AH494">
        <v>0</v>
      </c>
      <c r="AI494">
        <v>0</v>
      </c>
      <c r="AJ494">
        <v>26752</v>
      </c>
      <c r="AK494">
        <v>6690</v>
      </c>
      <c r="AL494">
        <v>4300</v>
      </c>
      <c r="AM494">
        <v>14821</v>
      </c>
      <c r="AN494">
        <v>52258</v>
      </c>
      <c r="AO494">
        <v>205609</v>
      </c>
      <c r="AP494">
        <v>0</v>
      </c>
      <c r="AQ494">
        <v>1</v>
      </c>
      <c r="AR494">
        <v>1</v>
      </c>
      <c r="AS494">
        <v>2</v>
      </c>
      <c r="AT494">
        <v>0</v>
      </c>
      <c r="AU494">
        <v>14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13</v>
      </c>
      <c r="BB494">
        <v>39</v>
      </c>
      <c r="BC494">
        <v>8</v>
      </c>
      <c r="BD494">
        <v>7</v>
      </c>
      <c r="BE494">
        <v>0</v>
      </c>
      <c r="BF494">
        <v>10</v>
      </c>
      <c r="BG494">
        <v>2</v>
      </c>
      <c r="BH494">
        <v>16</v>
      </c>
      <c r="BI494">
        <v>2</v>
      </c>
      <c r="BJ494">
        <v>45.577409899999999</v>
      </c>
      <c r="BK494">
        <v>10.00916</v>
      </c>
      <c r="BL494">
        <v>100</v>
      </c>
      <c r="BM494" t="s">
        <v>83</v>
      </c>
      <c r="BN494" t="s">
        <v>84</v>
      </c>
      <c r="BO494" t="s">
        <v>85</v>
      </c>
      <c r="BP494" t="s">
        <v>107</v>
      </c>
      <c r="BQ494" t="s">
        <v>108</v>
      </c>
      <c r="BR494" t="s">
        <v>179</v>
      </c>
      <c r="BS494">
        <v>4460436</v>
      </c>
      <c r="BT494">
        <v>3791508</v>
      </c>
      <c r="BU494">
        <v>0</v>
      </c>
      <c r="BV494">
        <v>0</v>
      </c>
      <c r="BW494">
        <v>0</v>
      </c>
      <c r="BX494">
        <v>535072</v>
      </c>
      <c r="BY494">
        <v>133856</v>
      </c>
      <c r="BZ494">
        <v>1</v>
      </c>
      <c r="CA494" t="s">
        <v>180</v>
      </c>
      <c r="CB494" t="s">
        <v>181</v>
      </c>
      <c r="CC494" s="3">
        <v>46092.557106481479</v>
      </c>
      <c r="CD494" t="s">
        <v>91</v>
      </c>
    </row>
    <row r="495" spans="1:82" ht="16" x14ac:dyDescent="0.2">
      <c r="A495" t="s">
        <v>1173</v>
      </c>
      <c r="B495" t="s">
        <v>995</v>
      </c>
      <c r="C495" t="s">
        <v>996</v>
      </c>
      <c r="D495" t="s">
        <v>78</v>
      </c>
      <c r="E495" t="s">
        <v>997</v>
      </c>
      <c r="F495">
        <v>2</v>
      </c>
      <c r="G495">
        <v>150</v>
      </c>
      <c r="H495" t="str">
        <f t="shared" si="50"/>
        <v>2x150</v>
      </c>
      <c r="I495">
        <v>105</v>
      </c>
      <c r="J495" s="4">
        <f t="shared" si="51"/>
        <v>3.3653846153846152E-2</v>
      </c>
      <c r="K495">
        <v>158</v>
      </c>
      <c r="L495" s="4">
        <f t="shared" si="52"/>
        <v>5.0641025641025635E-2</v>
      </c>
      <c r="M495">
        <v>240</v>
      </c>
      <c r="N495" s="4">
        <f t="shared" si="53"/>
        <v>7.6923076923076927E-2</v>
      </c>
      <c r="O495">
        <v>478</v>
      </c>
      <c r="P495" s="4">
        <f t="shared" si="54"/>
        <v>0.15320512820512819</v>
      </c>
      <c r="Q495" s="6">
        <f t="shared" si="49"/>
        <v>2035</v>
      </c>
      <c r="R495" s="6">
        <f t="shared" si="55"/>
        <v>4</v>
      </c>
      <c r="S495">
        <v>135</v>
      </c>
      <c r="T495">
        <v>-41</v>
      </c>
      <c r="U495">
        <v>-14</v>
      </c>
      <c r="V495">
        <v>2</v>
      </c>
      <c r="W495">
        <v>-6</v>
      </c>
      <c r="X495">
        <v>48</v>
      </c>
      <c r="Y495" s="2" t="s">
        <v>998</v>
      </c>
      <c r="Z495">
        <v>41.5821194067058</v>
      </c>
      <c r="AA495">
        <v>12.8267747932526</v>
      </c>
      <c r="AB495" t="s">
        <v>78</v>
      </c>
      <c r="AC495" t="s">
        <v>81</v>
      </c>
      <c r="AD495" t="s">
        <v>82</v>
      </c>
      <c r="AE495">
        <v>20459</v>
      </c>
      <c r="AF495">
        <v>0</v>
      </c>
      <c r="AG495">
        <v>0</v>
      </c>
      <c r="AH495">
        <v>7036</v>
      </c>
      <c r="AI495">
        <v>0</v>
      </c>
      <c r="AJ495">
        <v>10966</v>
      </c>
      <c r="AK495">
        <v>2457</v>
      </c>
      <c r="AL495">
        <v>6659</v>
      </c>
      <c r="AM495">
        <v>16552</v>
      </c>
      <c r="AN495">
        <v>32105</v>
      </c>
      <c r="AO495">
        <v>62987</v>
      </c>
      <c r="AP495">
        <v>0</v>
      </c>
      <c r="AQ495">
        <v>0</v>
      </c>
      <c r="AR495">
        <v>4</v>
      </c>
      <c r="AS495">
        <v>8</v>
      </c>
      <c r="AT495">
        <v>4</v>
      </c>
      <c r="AU495">
        <v>14</v>
      </c>
      <c r="AV495">
        <v>0</v>
      </c>
      <c r="AW495">
        <v>1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4</v>
      </c>
      <c r="BI495">
        <v>0</v>
      </c>
      <c r="BJ495">
        <v>41.58229</v>
      </c>
      <c r="BK495">
        <v>12.8262099</v>
      </c>
      <c r="BL495">
        <v>300</v>
      </c>
      <c r="BM495" t="s">
        <v>83</v>
      </c>
      <c r="BN495" t="s">
        <v>84</v>
      </c>
      <c r="BO495" t="s">
        <v>85</v>
      </c>
      <c r="BP495" t="s">
        <v>86</v>
      </c>
      <c r="BQ495" t="s">
        <v>87</v>
      </c>
      <c r="BR495" t="s">
        <v>772</v>
      </c>
      <c r="BS495">
        <v>398692</v>
      </c>
      <c r="BT495">
        <v>0</v>
      </c>
      <c r="BU495">
        <v>0</v>
      </c>
      <c r="BV495">
        <v>140752</v>
      </c>
      <c r="BW495">
        <v>0</v>
      </c>
      <c r="BX495">
        <v>208757</v>
      </c>
      <c r="BY495">
        <v>49183</v>
      </c>
      <c r="BZ495">
        <v>1</v>
      </c>
      <c r="CA495" t="s">
        <v>999</v>
      </c>
      <c r="CB495" t="s">
        <v>1000</v>
      </c>
      <c r="CC495" s="3">
        <v>46092.557106481479</v>
      </c>
      <c r="CD495" t="s">
        <v>91</v>
      </c>
    </row>
    <row r="496" spans="1:82" ht="16" x14ac:dyDescent="0.2">
      <c r="A496" t="s">
        <v>1174</v>
      </c>
      <c r="B496" t="s">
        <v>1003</v>
      </c>
      <c r="C496" t="s">
        <v>1004</v>
      </c>
      <c r="D496" t="s">
        <v>78</v>
      </c>
      <c r="E496" t="s">
        <v>1005</v>
      </c>
      <c r="F496">
        <v>2</v>
      </c>
      <c r="G496">
        <v>150</v>
      </c>
      <c r="H496" t="str">
        <f t="shared" si="50"/>
        <v>2x150</v>
      </c>
      <c r="I496">
        <v>101</v>
      </c>
      <c r="J496" s="4">
        <f t="shared" si="51"/>
        <v>3.2371794871794875E-2</v>
      </c>
      <c r="K496">
        <v>153</v>
      </c>
      <c r="L496" s="4">
        <f t="shared" si="52"/>
        <v>4.9038461538461538E-2</v>
      </c>
      <c r="M496">
        <v>232</v>
      </c>
      <c r="N496" s="4">
        <f t="shared" si="53"/>
        <v>7.4358974358974358E-2</v>
      </c>
      <c r="O496">
        <v>463</v>
      </c>
      <c r="P496" s="4">
        <f t="shared" si="54"/>
        <v>0.1483974358974359</v>
      </c>
      <c r="Q496" s="6">
        <f t="shared" si="49"/>
        <v>2035</v>
      </c>
      <c r="R496" s="6">
        <f t="shared" si="55"/>
        <v>4</v>
      </c>
      <c r="S496">
        <v>135</v>
      </c>
      <c r="T496">
        <v>-44</v>
      </c>
      <c r="U496">
        <v>-16</v>
      </c>
      <c r="V496">
        <v>1</v>
      </c>
      <c r="W496">
        <v>-6</v>
      </c>
      <c r="X496">
        <v>51</v>
      </c>
      <c r="Y496" s="2" t="s">
        <v>1006</v>
      </c>
      <c r="Z496">
        <v>41.702924506997299</v>
      </c>
      <c r="AA496">
        <v>13.5895092887061</v>
      </c>
      <c r="AB496" t="s">
        <v>78</v>
      </c>
      <c r="AC496" t="s">
        <v>81</v>
      </c>
      <c r="AD496" t="s">
        <v>82</v>
      </c>
      <c r="AE496">
        <v>16504</v>
      </c>
      <c r="AF496">
        <v>0</v>
      </c>
      <c r="AG496">
        <v>0</v>
      </c>
      <c r="AH496">
        <v>10952</v>
      </c>
      <c r="AI496">
        <v>0</v>
      </c>
      <c r="AJ496">
        <v>5552</v>
      </c>
      <c r="AK496">
        <v>0</v>
      </c>
      <c r="AL496">
        <v>1748</v>
      </c>
      <c r="AM496">
        <v>9711</v>
      </c>
      <c r="AN496">
        <v>41850</v>
      </c>
      <c r="AO496">
        <v>69738</v>
      </c>
      <c r="AP496">
        <v>1</v>
      </c>
      <c r="AQ496">
        <v>0</v>
      </c>
      <c r="AR496">
        <v>4</v>
      </c>
      <c r="AS496">
        <v>6</v>
      </c>
      <c r="AT496">
        <v>0</v>
      </c>
      <c r="AU496">
        <v>19</v>
      </c>
      <c r="AV496">
        <v>8</v>
      </c>
      <c r="AW496">
        <v>2</v>
      </c>
      <c r="AX496">
        <v>0</v>
      </c>
      <c r="AY496">
        <v>1</v>
      </c>
      <c r="AZ496">
        <v>2</v>
      </c>
      <c r="BA496">
        <v>4</v>
      </c>
      <c r="BB496">
        <v>6</v>
      </c>
      <c r="BC496">
        <v>3</v>
      </c>
      <c r="BD496">
        <v>2</v>
      </c>
      <c r="BE496">
        <v>0</v>
      </c>
      <c r="BF496">
        <v>2</v>
      </c>
      <c r="BG496">
        <v>0</v>
      </c>
      <c r="BH496">
        <v>6</v>
      </c>
      <c r="BI496">
        <v>0</v>
      </c>
      <c r="BJ496">
        <v>41.702889999999996</v>
      </c>
      <c r="BK496">
        <v>13.589699899999999</v>
      </c>
      <c r="BL496">
        <v>300</v>
      </c>
      <c r="BM496" t="s">
        <v>83</v>
      </c>
      <c r="BN496" t="s">
        <v>84</v>
      </c>
      <c r="BO496" t="s">
        <v>85</v>
      </c>
      <c r="BP496" t="s">
        <v>86</v>
      </c>
      <c r="BQ496" t="s">
        <v>87</v>
      </c>
      <c r="BR496" t="s">
        <v>1007</v>
      </c>
      <c r="BS496">
        <v>313478</v>
      </c>
      <c r="BT496">
        <v>0</v>
      </c>
      <c r="BU496">
        <v>0</v>
      </c>
      <c r="BV496">
        <v>202382</v>
      </c>
      <c r="BW496">
        <v>0</v>
      </c>
      <c r="BX496">
        <v>111096</v>
      </c>
      <c r="BY496">
        <v>0</v>
      </c>
      <c r="BZ496">
        <v>1</v>
      </c>
      <c r="CA496" t="s">
        <v>1008</v>
      </c>
      <c r="CB496" t="s">
        <v>1009</v>
      </c>
      <c r="CC496" s="3">
        <v>46092.557106481479</v>
      </c>
      <c r="CD496" t="s">
        <v>91</v>
      </c>
    </row>
    <row r="497" spans="1:82" ht="16" x14ac:dyDescent="0.2">
      <c r="A497" t="s">
        <v>1175</v>
      </c>
      <c r="B497" t="s">
        <v>262</v>
      </c>
      <c r="C497" t="s">
        <v>263</v>
      </c>
      <c r="D497" t="s">
        <v>78</v>
      </c>
      <c r="E497" t="s">
        <v>264</v>
      </c>
      <c r="F497">
        <v>2</v>
      </c>
      <c r="G497">
        <v>50</v>
      </c>
      <c r="H497" t="str">
        <f t="shared" si="50"/>
        <v>2x50</v>
      </c>
      <c r="I497">
        <v>100</v>
      </c>
      <c r="J497" s="4">
        <f t="shared" si="51"/>
        <v>5.2083333333333336E-2</v>
      </c>
      <c r="K497">
        <v>151</v>
      </c>
      <c r="L497" s="4">
        <f t="shared" si="52"/>
        <v>7.8645833333333331E-2</v>
      </c>
      <c r="M497">
        <v>230</v>
      </c>
      <c r="N497" s="4">
        <f t="shared" si="53"/>
        <v>0.11979166666666667</v>
      </c>
      <c r="O497">
        <v>458</v>
      </c>
      <c r="P497" s="4">
        <f t="shared" si="54"/>
        <v>0.23854166666666665</v>
      </c>
      <c r="Q497" s="6">
        <f t="shared" si="49"/>
        <v>2035</v>
      </c>
      <c r="R497" s="6">
        <f t="shared" si="55"/>
        <v>4</v>
      </c>
      <c r="S497">
        <v>77</v>
      </c>
      <c r="T497">
        <v>12</v>
      </c>
      <c r="U497">
        <v>4</v>
      </c>
      <c r="V497">
        <v>28</v>
      </c>
      <c r="W497">
        <v>-4</v>
      </c>
      <c r="X497">
        <v>-32</v>
      </c>
      <c r="Y497" s="2" t="s">
        <v>265</v>
      </c>
      <c r="Z497">
        <v>44.491330369863803</v>
      </c>
      <c r="AA497">
        <v>11.423220410751499</v>
      </c>
      <c r="AB497" t="s">
        <v>78</v>
      </c>
      <c r="AC497" t="s">
        <v>81</v>
      </c>
      <c r="AD497" t="s">
        <v>82</v>
      </c>
      <c r="AE497">
        <v>19257</v>
      </c>
      <c r="AF497">
        <v>0</v>
      </c>
      <c r="AG497">
        <v>0</v>
      </c>
      <c r="AH497">
        <v>0</v>
      </c>
      <c r="AI497">
        <v>11817</v>
      </c>
      <c r="AJ497">
        <v>1667</v>
      </c>
      <c r="AK497">
        <v>5773</v>
      </c>
      <c r="AL497">
        <v>1585</v>
      </c>
      <c r="AM497">
        <v>7517</v>
      </c>
      <c r="AN497">
        <v>166841</v>
      </c>
      <c r="AO497">
        <v>427744</v>
      </c>
      <c r="AP497">
        <v>1</v>
      </c>
      <c r="AQ497">
        <v>1</v>
      </c>
      <c r="AR497">
        <v>6</v>
      </c>
      <c r="AS497">
        <v>39</v>
      </c>
      <c r="AT497">
        <v>2</v>
      </c>
      <c r="AU497">
        <v>10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18</v>
      </c>
      <c r="BB497">
        <v>41</v>
      </c>
      <c r="BC497">
        <v>12</v>
      </c>
      <c r="BD497">
        <v>2</v>
      </c>
      <c r="BE497">
        <v>0</v>
      </c>
      <c r="BF497">
        <v>2</v>
      </c>
      <c r="BG497">
        <v>0</v>
      </c>
      <c r="BH497">
        <v>6</v>
      </c>
      <c r="BI497">
        <v>4</v>
      </c>
      <c r="BJ497">
        <v>44.49136</v>
      </c>
      <c r="BK497">
        <v>11.423249999999999</v>
      </c>
      <c r="BL497">
        <v>100</v>
      </c>
      <c r="BM497" t="s">
        <v>83</v>
      </c>
      <c r="BN497" t="s">
        <v>84</v>
      </c>
      <c r="BO497" t="s">
        <v>85</v>
      </c>
      <c r="BP497" t="s">
        <v>160</v>
      </c>
      <c r="BQ497" t="s">
        <v>170</v>
      </c>
      <c r="BR497" t="s">
        <v>266</v>
      </c>
      <c r="BS497">
        <v>385188</v>
      </c>
      <c r="BT497">
        <v>0</v>
      </c>
      <c r="BU497">
        <v>0</v>
      </c>
      <c r="BV497">
        <v>0</v>
      </c>
      <c r="BW497">
        <v>236364</v>
      </c>
      <c r="BX497">
        <v>33346</v>
      </c>
      <c r="BY497">
        <v>115478</v>
      </c>
      <c r="BZ497">
        <v>1</v>
      </c>
      <c r="CA497" t="s">
        <v>267</v>
      </c>
      <c r="CB497" t="s">
        <v>268</v>
      </c>
      <c r="CC497" s="3">
        <v>46092.557106481479</v>
      </c>
      <c r="CD497" t="s">
        <v>91</v>
      </c>
    </row>
    <row r="498" spans="1:82" ht="16" x14ac:dyDescent="0.2">
      <c r="A498" t="s">
        <v>1176</v>
      </c>
      <c r="B498" t="s">
        <v>166</v>
      </c>
      <c r="C498" t="s">
        <v>167</v>
      </c>
      <c r="D498" t="s">
        <v>78</v>
      </c>
      <c r="E498" t="s">
        <v>168</v>
      </c>
      <c r="F498">
        <v>2</v>
      </c>
      <c r="G498">
        <v>50</v>
      </c>
      <c r="H498" t="str">
        <f t="shared" si="50"/>
        <v>2x50</v>
      </c>
      <c r="I498">
        <v>100</v>
      </c>
      <c r="J498" s="4">
        <f t="shared" si="51"/>
        <v>5.2083333333333336E-2</v>
      </c>
      <c r="K498">
        <v>151</v>
      </c>
      <c r="L498" s="4">
        <f t="shared" si="52"/>
        <v>7.8645833333333331E-2</v>
      </c>
      <c r="M498">
        <v>229</v>
      </c>
      <c r="N498" s="4">
        <f t="shared" si="53"/>
        <v>0.11927083333333333</v>
      </c>
      <c r="O498">
        <v>457</v>
      </c>
      <c r="P498" s="4">
        <f t="shared" si="54"/>
        <v>0.23802083333333335</v>
      </c>
      <c r="Q498" s="6">
        <f t="shared" si="49"/>
        <v>2035</v>
      </c>
      <c r="R498" s="6">
        <f t="shared" si="55"/>
        <v>4</v>
      </c>
      <c r="S498">
        <v>77</v>
      </c>
      <c r="T498">
        <v>59</v>
      </c>
      <c r="U498">
        <v>-9</v>
      </c>
      <c r="V498">
        <v>-13</v>
      </c>
      <c r="W498">
        <v>18</v>
      </c>
      <c r="X498">
        <v>-58</v>
      </c>
      <c r="Y498" s="2" t="s">
        <v>169</v>
      </c>
      <c r="Z498">
        <v>44.820818000000003</v>
      </c>
      <c r="AA498">
        <v>10.332241</v>
      </c>
      <c r="AB498" t="s">
        <v>78</v>
      </c>
      <c r="AC498" t="s">
        <v>81</v>
      </c>
      <c r="AD498" t="s">
        <v>82</v>
      </c>
      <c r="AE498">
        <v>201760</v>
      </c>
      <c r="AF498">
        <v>0</v>
      </c>
      <c r="AG498">
        <v>0</v>
      </c>
      <c r="AH498">
        <v>71258</v>
      </c>
      <c r="AI498">
        <v>52023</v>
      </c>
      <c r="AJ498">
        <v>75073</v>
      </c>
      <c r="AK498">
        <v>3406</v>
      </c>
      <c r="AL498">
        <v>9553</v>
      </c>
      <c r="AM498">
        <v>34190</v>
      </c>
      <c r="AN498">
        <v>153370</v>
      </c>
      <c r="AO498">
        <v>207595</v>
      </c>
      <c r="AP498">
        <v>0</v>
      </c>
      <c r="AQ498">
        <v>3</v>
      </c>
      <c r="AR498">
        <v>3</v>
      </c>
      <c r="AS498">
        <v>5</v>
      </c>
      <c r="AT498">
        <v>2</v>
      </c>
      <c r="AU498">
        <v>21</v>
      </c>
      <c r="AV498">
        <v>3</v>
      </c>
      <c r="AW498">
        <v>0</v>
      </c>
      <c r="AX498">
        <v>0</v>
      </c>
      <c r="AY498">
        <v>1</v>
      </c>
      <c r="AZ498">
        <v>2</v>
      </c>
      <c r="BA498">
        <v>15</v>
      </c>
      <c r="BB498">
        <v>60</v>
      </c>
      <c r="BC498">
        <v>11</v>
      </c>
      <c r="BD498">
        <v>2</v>
      </c>
      <c r="BE498">
        <v>20</v>
      </c>
      <c r="BF498">
        <v>4</v>
      </c>
      <c r="BG498">
        <v>20</v>
      </c>
      <c r="BH498">
        <v>10</v>
      </c>
      <c r="BI498">
        <v>20</v>
      </c>
      <c r="BJ498">
        <v>44.820796899999998</v>
      </c>
      <c r="BK498">
        <v>10.3322363</v>
      </c>
      <c r="BL498">
        <v>100</v>
      </c>
      <c r="BM498" t="s">
        <v>83</v>
      </c>
      <c r="BN498" t="s">
        <v>84</v>
      </c>
      <c r="BO498" t="s">
        <v>85</v>
      </c>
      <c r="BP498" t="s">
        <v>160</v>
      </c>
      <c r="BQ498" t="s">
        <v>170</v>
      </c>
      <c r="BR498" t="s">
        <v>171</v>
      </c>
      <c r="BS498">
        <v>4202178</v>
      </c>
      <c r="BT498">
        <v>0</v>
      </c>
      <c r="BU498">
        <v>0</v>
      </c>
      <c r="BV498">
        <v>1591916</v>
      </c>
      <c r="BW498">
        <v>1040534</v>
      </c>
      <c r="BX498">
        <v>1501607</v>
      </c>
      <c r="BY498">
        <v>68121</v>
      </c>
      <c r="BZ498">
        <v>1</v>
      </c>
      <c r="CA498" t="s">
        <v>172</v>
      </c>
      <c r="CB498" t="s">
        <v>173</v>
      </c>
      <c r="CC498" s="3">
        <v>46092.557106481479</v>
      </c>
      <c r="CD498" t="s">
        <v>91</v>
      </c>
    </row>
    <row r="499" spans="1:82" ht="16" x14ac:dyDescent="0.2">
      <c r="A499" t="s">
        <v>1177</v>
      </c>
      <c r="B499" t="s">
        <v>1011</v>
      </c>
      <c r="C499" t="s">
        <v>1012</v>
      </c>
      <c r="D499" t="s">
        <v>78</v>
      </c>
      <c r="E499" t="s">
        <v>1013</v>
      </c>
      <c r="F499">
        <v>2</v>
      </c>
      <c r="G499">
        <v>150</v>
      </c>
      <c r="H499" t="str">
        <f t="shared" si="50"/>
        <v>2x150</v>
      </c>
      <c r="I499">
        <v>99</v>
      </c>
      <c r="J499" s="4">
        <f t="shared" si="51"/>
        <v>3.1730769230769229E-2</v>
      </c>
      <c r="K499">
        <v>150</v>
      </c>
      <c r="L499" s="4">
        <f t="shared" si="52"/>
        <v>4.8076923076923073E-2</v>
      </c>
      <c r="M499">
        <v>227</v>
      </c>
      <c r="N499" s="4">
        <f t="shared" si="53"/>
        <v>7.2756410256410262E-2</v>
      </c>
      <c r="O499">
        <v>454</v>
      </c>
      <c r="P499" s="4">
        <f t="shared" si="54"/>
        <v>0.14551282051282052</v>
      </c>
      <c r="Q499" s="6">
        <f t="shared" si="49"/>
        <v>2035</v>
      </c>
      <c r="R499" s="6">
        <f t="shared" si="55"/>
        <v>4</v>
      </c>
      <c r="S499">
        <v>135</v>
      </c>
      <c r="T499">
        <v>-42</v>
      </c>
      <c r="U499">
        <v>-15</v>
      </c>
      <c r="V499">
        <v>-3</v>
      </c>
      <c r="W499">
        <v>-6</v>
      </c>
      <c r="X499">
        <v>48</v>
      </c>
      <c r="Y499" s="2" t="s">
        <v>1014</v>
      </c>
      <c r="Z499">
        <v>41.692535960932503</v>
      </c>
      <c r="AA499">
        <v>12.780724235582399</v>
      </c>
      <c r="AB499" t="s">
        <v>78</v>
      </c>
      <c r="AC499" t="s">
        <v>81</v>
      </c>
      <c r="AD499" t="s">
        <v>82</v>
      </c>
      <c r="AE499">
        <v>19578</v>
      </c>
      <c r="AF499">
        <v>0</v>
      </c>
      <c r="AG499">
        <v>0</v>
      </c>
      <c r="AH499">
        <v>6742</v>
      </c>
      <c r="AI499">
        <v>6930</v>
      </c>
      <c r="AJ499">
        <v>2986</v>
      </c>
      <c r="AK499">
        <v>2920</v>
      </c>
      <c r="AL499">
        <v>12135</v>
      </c>
      <c r="AM499">
        <v>24916</v>
      </c>
      <c r="AN499">
        <v>48689</v>
      </c>
      <c r="AO499">
        <v>133378</v>
      </c>
      <c r="AP499">
        <v>3</v>
      </c>
      <c r="AQ499">
        <v>1</v>
      </c>
      <c r="AR499">
        <v>1</v>
      </c>
      <c r="AS499">
        <v>12</v>
      </c>
      <c r="AT499">
        <v>0</v>
      </c>
      <c r="AU499">
        <v>17</v>
      </c>
      <c r="AV499">
        <v>21</v>
      </c>
      <c r="AW499">
        <v>0</v>
      </c>
      <c r="AX499">
        <v>0</v>
      </c>
      <c r="AY499">
        <v>0</v>
      </c>
      <c r="AZ499">
        <v>5</v>
      </c>
      <c r="BA499">
        <v>9</v>
      </c>
      <c r="BB499">
        <v>19</v>
      </c>
      <c r="BC499">
        <v>5</v>
      </c>
      <c r="BD499">
        <v>0</v>
      </c>
      <c r="BE499">
        <v>0</v>
      </c>
      <c r="BF499">
        <v>5</v>
      </c>
      <c r="BG499">
        <v>0</v>
      </c>
      <c r="BH499">
        <v>5</v>
      </c>
      <c r="BI499">
        <v>0</v>
      </c>
      <c r="BJ499">
        <v>41.692558900000002</v>
      </c>
      <c r="BK499">
        <v>12.780775</v>
      </c>
      <c r="BL499">
        <v>300</v>
      </c>
      <c r="BM499" t="s">
        <v>83</v>
      </c>
      <c r="BN499" t="s">
        <v>84</v>
      </c>
      <c r="BO499" t="s">
        <v>85</v>
      </c>
      <c r="BP499" t="s">
        <v>86</v>
      </c>
      <c r="BQ499" t="s">
        <v>87</v>
      </c>
      <c r="BR499" t="s">
        <v>88</v>
      </c>
      <c r="BS499">
        <v>391651</v>
      </c>
      <c r="BT499">
        <v>0</v>
      </c>
      <c r="BU499">
        <v>0</v>
      </c>
      <c r="BV499">
        <v>134850</v>
      </c>
      <c r="BW499">
        <v>138622</v>
      </c>
      <c r="BX499">
        <v>59751</v>
      </c>
      <c r="BY499">
        <v>58428</v>
      </c>
      <c r="BZ499">
        <v>1</v>
      </c>
      <c r="CA499" t="s">
        <v>1015</v>
      </c>
      <c r="CB499" t="s">
        <v>1016</v>
      </c>
      <c r="CC499" s="3">
        <v>46092.557106481479</v>
      </c>
      <c r="CD499" t="s">
        <v>91</v>
      </c>
    </row>
    <row r="500" spans="1:82" ht="16" x14ac:dyDescent="0.2">
      <c r="A500" t="s">
        <v>1178</v>
      </c>
      <c r="B500" t="s">
        <v>1019</v>
      </c>
      <c r="C500" t="s">
        <v>1020</v>
      </c>
      <c r="D500" t="s">
        <v>78</v>
      </c>
      <c r="E500" t="s">
        <v>1021</v>
      </c>
      <c r="F500">
        <v>2</v>
      </c>
      <c r="G500">
        <v>150</v>
      </c>
      <c r="H500" t="str">
        <f t="shared" si="50"/>
        <v>2x150</v>
      </c>
      <c r="I500">
        <v>98</v>
      </c>
      <c r="J500" s="4">
        <f t="shared" si="51"/>
        <v>3.141025641025641E-2</v>
      </c>
      <c r="K500">
        <v>148</v>
      </c>
      <c r="L500" s="4">
        <f t="shared" si="52"/>
        <v>4.7435897435897434E-2</v>
      </c>
      <c r="M500">
        <v>224</v>
      </c>
      <c r="N500" s="4">
        <f t="shared" si="53"/>
        <v>7.1794871794871803E-2</v>
      </c>
      <c r="O500">
        <v>448</v>
      </c>
      <c r="P500" s="4">
        <f t="shared" si="54"/>
        <v>0.14358974358974361</v>
      </c>
      <c r="Q500" s="6">
        <f t="shared" si="49"/>
        <v>2035</v>
      </c>
      <c r="R500" s="6">
        <f t="shared" si="55"/>
        <v>4</v>
      </c>
      <c r="S500">
        <v>135</v>
      </c>
      <c r="T500">
        <v>-43</v>
      </c>
      <c r="U500">
        <v>-15</v>
      </c>
      <c r="V500">
        <v>-9</v>
      </c>
      <c r="W500">
        <v>-3</v>
      </c>
      <c r="X500">
        <v>54</v>
      </c>
      <c r="Y500" s="2" t="s">
        <v>1022</v>
      </c>
      <c r="Z500">
        <v>44.6031885819827</v>
      </c>
      <c r="AA500">
        <v>11.031489808600201</v>
      </c>
      <c r="AB500" t="s">
        <v>78</v>
      </c>
      <c r="AC500" t="s">
        <v>81</v>
      </c>
      <c r="AD500" t="s">
        <v>82</v>
      </c>
      <c r="AE500">
        <v>18288</v>
      </c>
      <c r="AF500">
        <v>0</v>
      </c>
      <c r="AG500">
        <v>0</v>
      </c>
      <c r="AH500">
        <v>12977</v>
      </c>
      <c r="AI500">
        <v>2414</v>
      </c>
      <c r="AJ500">
        <v>2897</v>
      </c>
      <c r="AK500">
        <v>0</v>
      </c>
      <c r="AL500">
        <v>1109</v>
      </c>
      <c r="AM500">
        <v>10590</v>
      </c>
      <c r="AN500">
        <v>31241</v>
      </c>
      <c r="AO500">
        <v>190686</v>
      </c>
      <c r="AP500">
        <v>0</v>
      </c>
      <c r="AQ500">
        <v>0</v>
      </c>
      <c r="AR500">
        <v>1</v>
      </c>
      <c r="AS500">
        <v>5</v>
      </c>
      <c r="AT500">
        <v>4</v>
      </c>
      <c r="AU500">
        <v>18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12</v>
      </c>
      <c r="BC500">
        <v>0</v>
      </c>
      <c r="BD500">
        <v>4</v>
      </c>
      <c r="BE500">
        <v>0</v>
      </c>
      <c r="BF500">
        <v>4</v>
      </c>
      <c r="BG500">
        <v>0</v>
      </c>
      <c r="BH500">
        <v>4</v>
      </c>
      <c r="BI500">
        <v>0</v>
      </c>
      <c r="BJ500">
        <v>44.603355899999997</v>
      </c>
      <c r="BK500">
        <v>11.0315335</v>
      </c>
      <c r="BL500">
        <v>300</v>
      </c>
      <c r="BM500" t="s">
        <v>83</v>
      </c>
      <c r="BN500" t="s">
        <v>84</v>
      </c>
      <c r="BO500" t="s">
        <v>85</v>
      </c>
      <c r="BP500" t="s">
        <v>160</v>
      </c>
      <c r="BQ500" t="s">
        <v>170</v>
      </c>
      <c r="BR500" t="s">
        <v>462</v>
      </c>
      <c r="BS500">
        <v>365819</v>
      </c>
      <c r="BT500">
        <v>0</v>
      </c>
      <c r="BU500">
        <v>0</v>
      </c>
      <c r="BV500">
        <v>259562</v>
      </c>
      <c r="BW500">
        <v>48298</v>
      </c>
      <c r="BX500">
        <v>57959</v>
      </c>
      <c r="BY500">
        <v>0</v>
      </c>
      <c r="BZ500">
        <v>1</v>
      </c>
      <c r="CA500" t="s">
        <v>1023</v>
      </c>
      <c r="CB500" t="s">
        <v>1024</v>
      </c>
      <c r="CC500" s="3">
        <v>46092.557106481479</v>
      </c>
      <c r="CD500" t="s">
        <v>91</v>
      </c>
    </row>
    <row r="501" spans="1:82" ht="16" x14ac:dyDescent="0.2">
      <c r="A501" t="s">
        <v>1179</v>
      </c>
      <c r="B501" t="s">
        <v>1027</v>
      </c>
      <c r="C501" t="s">
        <v>1028</v>
      </c>
      <c r="D501" t="s">
        <v>78</v>
      </c>
      <c r="E501" t="s">
        <v>1029</v>
      </c>
      <c r="F501">
        <v>2</v>
      </c>
      <c r="G501">
        <v>150</v>
      </c>
      <c r="H501" t="str">
        <f t="shared" si="50"/>
        <v>2x150</v>
      </c>
      <c r="I501">
        <v>97</v>
      </c>
      <c r="J501" s="4">
        <f t="shared" si="51"/>
        <v>3.108974358974359E-2</v>
      </c>
      <c r="K501">
        <v>147</v>
      </c>
      <c r="L501" s="4">
        <f t="shared" si="52"/>
        <v>4.7115384615384615E-2</v>
      </c>
      <c r="M501">
        <v>223</v>
      </c>
      <c r="N501" s="4">
        <f t="shared" si="53"/>
        <v>7.147435897435897E-2</v>
      </c>
      <c r="O501">
        <v>445</v>
      </c>
      <c r="P501" s="4">
        <f t="shared" si="54"/>
        <v>0.14262820512820512</v>
      </c>
      <c r="Q501" s="6">
        <f t="shared" si="49"/>
        <v>2035</v>
      </c>
      <c r="R501" s="6">
        <f t="shared" si="55"/>
        <v>4</v>
      </c>
      <c r="S501">
        <v>135</v>
      </c>
      <c r="T501">
        <v>-44</v>
      </c>
      <c r="U501">
        <v>-15</v>
      </c>
      <c r="V501">
        <v>-1</v>
      </c>
      <c r="W501">
        <v>-3</v>
      </c>
      <c r="X501">
        <v>48</v>
      </c>
      <c r="Y501" s="2" t="s">
        <v>1030</v>
      </c>
      <c r="Z501">
        <v>41.704256100000002</v>
      </c>
      <c r="AA501">
        <v>12.6867518</v>
      </c>
      <c r="AB501" t="s">
        <v>78</v>
      </c>
      <c r="AC501" t="s">
        <v>81</v>
      </c>
      <c r="AD501" t="s">
        <v>82</v>
      </c>
      <c r="AE501">
        <v>17976</v>
      </c>
      <c r="AF501">
        <v>0</v>
      </c>
      <c r="AG501">
        <v>0</v>
      </c>
      <c r="AH501">
        <v>5938</v>
      </c>
      <c r="AI501">
        <v>0</v>
      </c>
      <c r="AJ501">
        <v>12038</v>
      </c>
      <c r="AK501">
        <v>0</v>
      </c>
      <c r="AL501">
        <v>14659</v>
      </c>
      <c r="AM501">
        <v>24850</v>
      </c>
      <c r="AN501">
        <v>80592</v>
      </c>
      <c r="AO501">
        <v>226185</v>
      </c>
      <c r="AP501">
        <v>2</v>
      </c>
      <c r="AQ501">
        <v>0</v>
      </c>
      <c r="AR501">
        <v>6</v>
      </c>
      <c r="AS501">
        <v>15</v>
      </c>
      <c r="AT501">
        <v>1</v>
      </c>
      <c r="AU501">
        <v>29</v>
      </c>
      <c r="AV501">
        <v>3</v>
      </c>
      <c r="AW501">
        <v>1</v>
      </c>
      <c r="AX501">
        <v>1</v>
      </c>
      <c r="AY501">
        <v>1</v>
      </c>
      <c r="AZ501">
        <v>1</v>
      </c>
      <c r="BA501">
        <v>5</v>
      </c>
      <c r="BB501">
        <v>13</v>
      </c>
      <c r="BC501">
        <v>1</v>
      </c>
      <c r="BD501">
        <v>2</v>
      </c>
      <c r="BE501">
        <v>0</v>
      </c>
      <c r="BF501">
        <v>4</v>
      </c>
      <c r="BG501">
        <v>0</v>
      </c>
      <c r="BH501">
        <v>4</v>
      </c>
      <c r="BI501">
        <v>0</v>
      </c>
      <c r="BJ501">
        <v>41.704278199999997</v>
      </c>
      <c r="BK501">
        <v>12.686697499999999</v>
      </c>
      <c r="BL501">
        <v>300</v>
      </c>
      <c r="BM501" t="s">
        <v>83</v>
      </c>
      <c r="BN501" t="s">
        <v>84</v>
      </c>
      <c r="BO501" t="s">
        <v>85</v>
      </c>
      <c r="BP501" t="s">
        <v>86</v>
      </c>
      <c r="BQ501" t="s">
        <v>87</v>
      </c>
      <c r="BR501" t="s">
        <v>88</v>
      </c>
      <c r="BS501">
        <v>359557</v>
      </c>
      <c r="BT501">
        <v>0</v>
      </c>
      <c r="BU501">
        <v>0</v>
      </c>
      <c r="BV501">
        <v>118766</v>
      </c>
      <c r="BW501">
        <v>0</v>
      </c>
      <c r="BX501">
        <v>240791</v>
      </c>
      <c r="BY501">
        <v>0</v>
      </c>
      <c r="BZ501">
        <v>1</v>
      </c>
      <c r="CA501" t="s">
        <v>1031</v>
      </c>
      <c r="CB501" t="s">
        <v>1032</v>
      </c>
      <c r="CC501" s="3">
        <v>46092.557106481479</v>
      </c>
      <c r="CD501" t="s">
        <v>91</v>
      </c>
    </row>
    <row r="502" spans="1:82" ht="16" x14ac:dyDescent="0.2">
      <c r="A502" t="s">
        <v>1180</v>
      </c>
      <c r="B502" t="s">
        <v>558</v>
      </c>
      <c r="C502" t="s">
        <v>559</v>
      </c>
      <c r="D502" t="s">
        <v>78</v>
      </c>
      <c r="E502" t="s">
        <v>560</v>
      </c>
      <c r="F502">
        <v>2</v>
      </c>
      <c r="G502">
        <v>50</v>
      </c>
      <c r="H502" t="str">
        <f t="shared" si="50"/>
        <v>2x50</v>
      </c>
      <c r="I502">
        <v>97</v>
      </c>
      <c r="J502" s="4">
        <f t="shared" si="51"/>
        <v>5.0520833333333327E-2</v>
      </c>
      <c r="K502">
        <v>147</v>
      </c>
      <c r="L502" s="4">
        <f t="shared" si="52"/>
        <v>7.6562499999999992E-2</v>
      </c>
      <c r="M502">
        <v>223</v>
      </c>
      <c r="N502" s="4">
        <f t="shared" si="53"/>
        <v>0.11614583333333334</v>
      </c>
      <c r="O502">
        <v>444</v>
      </c>
      <c r="P502" s="4">
        <f t="shared" si="54"/>
        <v>0.23124999999999998</v>
      </c>
      <c r="Q502" s="6">
        <f t="shared" si="49"/>
        <v>2035</v>
      </c>
      <c r="R502" s="6">
        <f t="shared" si="55"/>
        <v>4</v>
      </c>
      <c r="S502">
        <v>77</v>
      </c>
      <c r="T502">
        <v>-24</v>
      </c>
      <c r="U502">
        <v>79</v>
      </c>
      <c r="V502">
        <v>-28</v>
      </c>
      <c r="W502">
        <v>3</v>
      </c>
      <c r="X502">
        <v>-15</v>
      </c>
      <c r="Y502" s="2" t="s">
        <v>561</v>
      </c>
      <c r="Z502">
        <v>41.833170000000003</v>
      </c>
      <c r="AA502">
        <v>12.50034</v>
      </c>
      <c r="AB502" t="s">
        <v>78</v>
      </c>
      <c r="AC502" t="s">
        <v>81</v>
      </c>
      <c r="AD502" t="s">
        <v>82</v>
      </c>
      <c r="AE502">
        <v>18020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18020</v>
      </c>
      <c r="AL502">
        <v>16426</v>
      </c>
      <c r="AM502">
        <v>62963</v>
      </c>
      <c r="AN502">
        <v>374829</v>
      </c>
      <c r="AO502">
        <v>1537591</v>
      </c>
      <c r="AP502">
        <v>1</v>
      </c>
      <c r="AQ502">
        <v>0</v>
      </c>
      <c r="AR502">
        <v>4</v>
      </c>
      <c r="AS502">
        <v>1</v>
      </c>
      <c r="AT502">
        <v>5</v>
      </c>
      <c r="AU502">
        <v>30</v>
      </c>
      <c r="AV502">
        <v>0</v>
      </c>
      <c r="AW502">
        <v>0</v>
      </c>
      <c r="AX502">
        <v>0</v>
      </c>
      <c r="AY502">
        <v>2</v>
      </c>
      <c r="AZ502">
        <v>4</v>
      </c>
      <c r="BA502">
        <v>20</v>
      </c>
      <c r="BB502">
        <v>88</v>
      </c>
      <c r="BC502">
        <v>12</v>
      </c>
      <c r="BD502">
        <v>0</v>
      </c>
      <c r="BE502">
        <v>0</v>
      </c>
      <c r="BF502">
        <v>0</v>
      </c>
      <c r="BG502">
        <v>0</v>
      </c>
      <c r="BH502">
        <v>20</v>
      </c>
      <c r="BI502">
        <v>0</v>
      </c>
      <c r="BJ502">
        <v>41.83314</v>
      </c>
      <c r="BK502">
        <v>12.50041</v>
      </c>
      <c r="BL502">
        <v>100</v>
      </c>
      <c r="BM502" t="s">
        <v>83</v>
      </c>
      <c r="BN502" t="s">
        <v>84</v>
      </c>
      <c r="BO502" t="s">
        <v>85</v>
      </c>
      <c r="BP502" t="s">
        <v>86</v>
      </c>
      <c r="BQ502" t="s">
        <v>87</v>
      </c>
      <c r="BR502" t="s">
        <v>88</v>
      </c>
      <c r="BS502">
        <v>360412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360412</v>
      </c>
      <c r="BZ502">
        <v>1</v>
      </c>
      <c r="CA502" t="s">
        <v>562</v>
      </c>
      <c r="CB502" t="s">
        <v>563</v>
      </c>
      <c r="CC502" s="3">
        <v>46092.557106481479</v>
      </c>
      <c r="CD502" t="s">
        <v>91</v>
      </c>
    </row>
    <row r="503" spans="1:82" ht="16" x14ac:dyDescent="0.2">
      <c r="A503" t="s">
        <v>1181</v>
      </c>
      <c r="B503" t="s">
        <v>1034</v>
      </c>
      <c r="C503" t="s">
        <v>1035</v>
      </c>
      <c r="D503" t="s">
        <v>78</v>
      </c>
      <c r="E503" t="s">
        <v>1036</v>
      </c>
      <c r="F503">
        <v>2</v>
      </c>
      <c r="G503">
        <v>150</v>
      </c>
      <c r="H503" t="str">
        <f t="shared" si="50"/>
        <v>2x150</v>
      </c>
      <c r="I503">
        <v>97</v>
      </c>
      <c r="J503" s="4">
        <f t="shared" si="51"/>
        <v>3.108974358974359E-2</v>
      </c>
      <c r="K503">
        <v>146</v>
      </c>
      <c r="L503" s="4">
        <f t="shared" si="52"/>
        <v>4.6794871794871795E-2</v>
      </c>
      <c r="M503">
        <v>222</v>
      </c>
      <c r="N503" s="4">
        <f t="shared" si="53"/>
        <v>7.1153846153846151E-2</v>
      </c>
      <c r="O503">
        <v>442</v>
      </c>
      <c r="P503" s="4">
        <f t="shared" si="54"/>
        <v>0.14166666666666666</v>
      </c>
      <c r="Q503" s="6">
        <f t="shared" si="49"/>
        <v>2035</v>
      </c>
      <c r="R503" s="6">
        <f t="shared" si="55"/>
        <v>4</v>
      </c>
      <c r="S503">
        <v>135</v>
      </c>
      <c r="T503">
        <v>-41</v>
      </c>
      <c r="U503">
        <v>-10</v>
      </c>
      <c r="V503">
        <v>-20</v>
      </c>
      <c r="W503">
        <v>-1</v>
      </c>
      <c r="X503">
        <v>55</v>
      </c>
      <c r="Y503" s="2" t="s">
        <v>1037</v>
      </c>
      <c r="Z503">
        <v>43.073369999999997</v>
      </c>
      <c r="AA503">
        <v>10.53839</v>
      </c>
      <c r="AB503" t="s">
        <v>78</v>
      </c>
      <c r="AC503" t="s">
        <v>81</v>
      </c>
      <c r="AD503" t="s">
        <v>82</v>
      </c>
      <c r="AE503">
        <v>4879</v>
      </c>
      <c r="AF503">
        <v>0</v>
      </c>
      <c r="AG503">
        <v>0</v>
      </c>
      <c r="AH503">
        <v>0</v>
      </c>
      <c r="AI503">
        <v>4250</v>
      </c>
      <c r="AJ503">
        <v>0</v>
      </c>
      <c r="AK503">
        <v>629</v>
      </c>
      <c r="AL503">
        <v>127</v>
      </c>
      <c r="AM503">
        <v>1123</v>
      </c>
      <c r="AN503">
        <v>7166</v>
      </c>
      <c r="AO503">
        <v>20736</v>
      </c>
      <c r="AP503">
        <v>0</v>
      </c>
      <c r="AQ503">
        <v>0</v>
      </c>
      <c r="AR503">
        <v>1</v>
      </c>
      <c r="AS503">
        <v>1</v>
      </c>
      <c r="AT503">
        <v>2</v>
      </c>
      <c r="AU503">
        <v>3</v>
      </c>
      <c r="AV503">
        <v>2</v>
      </c>
      <c r="AW503">
        <v>0</v>
      </c>
      <c r="AX503">
        <v>1</v>
      </c>
      <c r="AY503">
        <v>0</v>
      </c>
      <c r="AZ503">
        <v>0</v>
      </c>
      <c r="BA503">
        <v>4</v>
      </c>
      <c r="BB503">
        <v>13</v>
      </c>
      <c r="BC503">
        <v>2</v>
      </c>
      <c r="BD503">
        <v>0</v>
      </c>
      <c r="BE503">
        <v>0</v>
      </c>
      <c r="BF503">
        <v>0</v>
      </c>
      <c r="BG503">
        <v>0</v>
      </c>
      <c r="BH503">
        <v>2</v>
      </c>
      <c r="BI503">
        <v>0</v>
      </c>
      <c r="BJ503">
        <v>43.073397900000003</v>
      </c>
      <c r="BK503">
        <v>10.5384075</v>
      </c>
      <c r="BL503">
        <v>300</v>
      </c>
      <c r="BM503" t="s">
        <v>83</v>
      </c>
      <c r="BN503" t="s">
        <v>84</v>
      </c>
      <c r="BO503" t="s">
        <v>85</v>
      </c>
      <c r="BP503" t="s">
        <v>86</v>
      </c>
      <c r="BQ503" t="s">
        <v>212</v>
      </c>
      <c r="BR503" t="s">
        <v>454</v>
      </c>
      <c r="BS503">
        <v>97610</v>
      </c>
      <c r="BT503">
        <v>0</v>
      </c>
      <c r="BU503">
        <v>0</v>
      </c>
      <c r="BV503">
        <v>0</v>
      </c>
      <c r="BW503">
        <v>85020</v>
      </c>
      <c r="BX503">
        <v>0</v>
      </c>
      <c r="BY503">
        <v>12590</v>
      </c>
      <c r="BZ503">
        <v>1</v>
      </c>
      <c r="CA503" t="s">
        <v>1038</v>
      </c>
      <c r="CB503" t="s">
        <v>1039</v>
      </c>
      <c r="CC503" s="3">
        <v>46092.557106481479</v>
      </c>
      <c r="CD503" t="s">
        <v>91</v>
      </c>
    </row>
    <row r="504" spans="1:82" ht="16" x14ac:dyDescent="0.2">
      <c r="A504" t="s">
        <v>1182</v>
      </c>
      <c r="B504" t="s">
        <v>238</v>
      </c>
      <c r="C504" t="s">
        <v>239</v>
      </c>
      <c r="D504" t="s">
        <v>78</v>
      </c>
      <c r="E504" t="s">
        <v>240</v>
      </c>
      <c r="F504">
        <v>2</v>
      </c>
      <c r="G504">
        <v>50</v>
      </c>
      <c r="H504" t="str">
        <f t="shared" si="50"/>
        <v>2x50</v>
      </c>
      <c r="I504">
        <v>92</v>
      </c>
      <c r="J504" s="4">
        <f t="shared" si="51"/>
        <v>4.7916666666666663E-2</v>
      </c>
      <c r="K504">
        <v>140</v>
      </c>
      <c r="L504" s="4">
        <f t="shared" si="52"/>
        <v>7.2916666666666671E-2</v>
      </c>
      <c r="M504">
        <v>212</v>
      </c>
      <c r="N504" s="4">
        <f t="shared" si="53"/>
        <v>0.11041666666666666</v>
      </c>
      <c r="O504">
        <v>423</v>
      </c>
      <c r="P504" s="4">
        <f t="shared" si="54"/>
        <v>0.22031249999999999</v>
      </c>
      <c r="Q504" s="6">
        <f t="shared" si="49"/>
        <v>2035</v>
      </c>
      <c r="R504" s="6">
        <f t="shared" si="55"/>
        <v>4</v>
      </c>
      <c r="S504">
        <v>77</v>
      </c>
      <c r="T504">
        <v>24</v>
      </c>
      <c r="U504">
        <v>15</v>
      </c>
      <c r="V504">
        <v>4</v>
      </c>
      <c r="W504">
        <v>-4</v>
      </c>
      <c r="X504">
        <v>-42</v>
      </c>
      <c r="Y504" s="2" t="s">
        <v>241</v>
      </c>
      <c r="Z504">
        <v>38.149430000000002</v>
      </c>
      <c r="AA504">
        <v>13.324400000000001</v>
      </c>
      <c r="AB504" t="s">
        <v>78</v>
      </c>
      <c r="AC504" t="s">
        <v>81</v>
      </c>
      <c r="AD504" t="s">
        <v>82</v>
      </c>
      <c r="AE504">
        <v>77915</v>
      </c>
      <c r="AF504">
        <v>20753</v>
      </c>
      <c r="AG504">
        <v>19347</v>
      </c>
      <c r="AH504">
        <v>0</v>
      </c>
      <c r="AI504">
        <v>11631</v>
      </c>
      <c r="AJ504">
        <v>25337</v>
      </c>
      <c r="AK504">
        <v>847</v>
      </c>
      <c r="AL504">
        <v>26913</v>
      </c>
      <c r="AM504">
        <v>93421</v>
      </c>
      <c r="AN504">
        <v>409881</v>
      </c>
      <c r="AO504">
        <v>703780</v>
      </c>
      <c r="AP504">
        <v>0</v>
      </c>
      <c r="AQ504">
        <v>0</v>
      </c>
      <c r="AR504">
        <v>0</v>
      </c>
      <c r="AS504">
        <v>4</v>
      </c>
      <c r="AT504">
        <v>2</v>
      </c>
      <c r="AU504">
        <v>18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18</v>
      </c>
      <c r="BB504">
        <v>36</v>
      </c>
      <c r="BC504">
        <v>0</v>
      </c>
      <c r="BD504">
        <v>0</v>
      </c>
      <c r="BE504">
        <v>0</v>
      </c>
      <c r="BF504">
        <v>8</v>
      </c>
      <c r="BG504">
        <v>0</v>
      </c>
      <c r="BH504">
        <v>12</v>
      </c>
      <c r="BI504">
        <v>0</v>
      </c>
      <c r="BJ504">
        <v>38.149563399999998</v>
      </c>
      <c r="BK504">
        <v>13.3241649</v>
      </c>
      <c r="BL504">
        <v>100</v>
      </c>
      <c r="BM504" t="s">
        <v>83</v>
      </c>
      <c r="BN504" t="s">
        <v>84</v>
      </c>
      <c r="BO504" t="s">
        <v>85</v>
      </c>
      <c r="BP504" t="s">
        <v>242</v>
      </c>
      <c r="BQ504" t="s">
        <v>243</v>
      </c>
      <c r="BR504" t="s">
        <v>244</v>
      </c>
      <c r="BS504">
        <v>1798940</v>
      </c>
      <c r="BT504">
        <v>539587</v>
      </c>
      <c r="BU504">
        <v>503028</v>
      </c>
      <c r="BV504">
        <v>0</v>
      </c>
      <c r="BW504">
        <v>232623</v>
      </c>
      <c r="BX504">
        <v>506761</v>
      </c>
      <c r="BY504">
        <v>16941</v>
      </c>
      <c r="BZ504">
        <v>1</v>
      </c>
      <c r="CA504" t="s">
        <v>245</v>
      </c>
      <c r="CB504" t="s">
        <v>246</v>
      </c>
      <c r="CC504" s="3">
        <v>46092.557106481479</v>
      </c>
      <c r="CD504" t="s">
        <v>91</v>
      </c>
    </row>
    <row r="505" spans="1:82" ht="16" x14ac:dyDescent="0.2">
      <c r="A505" t="s">
        <v>1184</v>
      </c>
      <c r="B505" t="s">
        <v>199</v>
      </c>
      <c r="C505" t="s">
        <v>200</v>
      </c>
      <c r="D505" t="s">
        <v>78</v>
      </c>
      <c r="E505" t="s">
        <v>201</v>
      </c>
      <c r="F505">
        <v>2</v>
      </c>
      <c r="G505">
        <v>50</v>
      </c>
      <c r="H505" t="str">
        <f t="shared" si="50"/>
        <v>2x50</v>
      </c>
      <c r="I505">
        <v>91</v>
      </c>
      <c r="J505" s="4">
        <f t="shared" si="51"/>
        <v>4.7395833333333331E-2</v>
      </c>
      <c r="K505">
        <v>137</v>
      </c>
      <c r="L505" s="4">
        <f t="shared" si="52"/>
        <v>7.1354166666666663E-2</v>
      </c>
      <c r="M505">
        <v>208</v>
      </c>
      <c r="N505" s="4">
        <f t="shared" si="53"/>
        <v>0.10833333333333334</v>
      </c>
      <c r="O505">
        <v>415</v>
      </c>
      <c r="P505" s="4">
        <f t="shared" si="54"/>
        <v>0.21614583333333334</v>
      </c>
      <c r="Q505" s="6">
        <f t="shared" si="49"/>
        <v>2035</v>
      </c>
      <c r="R505" s="6">
        <f t="shared" si="55"/>
        <v>4</v>
      </c>
      <c r="S505">
        <v>77</v>
      </c>
      <c r="T505">
        <v>36</v>
      </c>
      <c r="U505">
        <v>8</v>
      </c>
      <c r="V505">
        <v>5</v>
      </c>
      <c r="W505">
        <v>-6</v>
      </c>
      <c r="X505">
        <v>-54</v>
      </c>
      <c r="Y505" s="2" t="s">
        <v>202</v>
      </c>
      <c r="Z505">
        <v>45.096440000000001</v>
      </c>
      <c r="AA505">
        <v>7.5773299999999999</v>
      </c>
      <c r="AB505" t="s">
        <v>78</v>
      </c>
      <c r="AC505" t="s">
        <v>81</v>
      </c>
      <c r="AD505" t="s">
        <v>82</v>
      </c>
      <c r="AE505">
        <v>209864</v>
      </c>
      <c r="AF505">
        <v>121894</v>
      </c>
      <c r="AG505">
        <v>0</v>
      </c>
      <c r="AH505">
        <v>0</v>
      </c>
      <c r="AI505">
        <v>50905</v>
      </c>
      <c r="AJ505">
        <v>23679</v>
      </c>
      <c r="AK505">
        <v>13386</v>
      </c>
      <c r="AL505">
        <v>4127</v>
      </c>
      <c r="AM505">
        <v>14057</v>
      </c>
      <c r="AN505">
        <v>224758</v>
      </c>
      <c r="AO505">
        <v>1001900</v>
      </c>
      <c r="AP505">
        <v>0</v>
      </c>
      <c r="AQ505">
        <v>0</v>
      </c>
      <c r="AR505">
        <v>4</v>
      </c>
      <c r="AS505">
        <v>12</v>
      </c>
      <c r="AT505">
        <v>0</v>
      </c>
      <c r="AU505">
        <v>18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8</v>
      </c>
      <c r="BB505">
        <v>24</v>
      </c>
      <c r="BC505">
        <v>6</v>
      </c>
      <c r="BD505">
        <v>6</v>
      </c>
      <c r="BE505">
        <v>4</v>
      </c>
      <c r="BF505">
        <v>6</v>
      </c>
      <c r="BG505">
        <v>4</v>
      </c>
      <c r="BH505">
        <v>6</v>
      </c>
      <c r="BI505">
        <v>8</v>
      </c>
      <c r="BJ505">
        <v>45.096284300000001</v>
      </c>
      <c r="BK505">
        <v>7.5772747000000003</v>
      </c>
      <c r="BL505">
        <v>100</v>
      </c>
      <c r="BM505" t="s">
        <v>83</v>
      </c>
      <c r="BN505" t="s">
        <v>84</v>
      </c>
      <c r="BO505" t="s">
        <v>85</v>
      </c>
      <c r="BP505" t="s">
        <v>107</v>
      </c>
      <c r="BQ505" t="s">
        <v>203</v>
      </c>
      <c r="BR505" t="s">
        <v>204</v>
      </c>
      <c r="BS505">
        <v>4256363</v>
      </c>
      <c r="BT505">
        <v>2972073</v>
      </c>
      <c r="BU505">
        <v>0</v>
      </c>
      <c r="BV505">
        <v>0</v>
      </c>
      <c r="BW505">
        <v>542886</v>
      </c>
      <c r="BX505">
        <v>473642</v>
      </c>
      <c r="BY505">
        <v>267762</v>
      </c>
      <c r="BZ505">
        <v>1</v>
      </c>
      <c r="CA505" t="s">
        <v>205</v>
      </c>
      <c r="CB505" t="s">
        <v>206</v>
      </c>
      <c r="CC505" s="3">
        <v>46092.557106481479</v>
      </c>
      <c r="CD505" t="s">
        <v>91</v>
      </c>
    </row>
    <row r="506" spans="1:82" ht="16" x14ac:dyDescent="0.2">
      <c r="A506" t="s">
        <v>1185</v>
      </c>
      <c r="B506" t="s">
        <v>255</v>
      </c>
      <c r="C506" t="s">
        <v>256</v>
      </c>
      <c r="D506" t="s">
        <v>78</v>
      </c>
      <c r="E506" t="s">
        <v>257</v>
      </c>
      <c r="F506">
        <v>2</v>
      </c>
      <c r="G506">
        <v>50</v>
      </c>
      <c r="H506" t="str">
        <f t="shared" si="50"/>
        <v>2x50</v>
      </c>
      <c r="I506">
        <v>90</v>
      </c>
      <c r="J506" s="4">
        <f t="shared" si="51"/>
        <v>4.6875E-2</v>
      </c>
      <c r="K506">
        <v>136</v>
      </c>
      <c r="L506" s="4">
        <f t="shared" si="52"/>
        <v>7.0833333333333331E-2</v>
      </c>
      <c r="M506">
        <v>207</v>
      </c>
      <c r="N506" s="4">
        <f t="shared" si="53"/>
        <v>0.10781249999999999</v>
      </c>
      <c r="O506">
        <v>413</v>
      </c>
      <c r="P506" s="4">
        <f t="shared" si="54"/>
        <v>0.21510416666666665</v>
      </c>
      <c r="Q506" s="6">
        <f t="shared" si="49"/>
        <v>2035</v>
      </c>
      <c r="R506" s="6">
        <f t="shared" si="55"/>
        <v>4</v>
      </c>
      <c r="S506">
        <v>77</v>
      </c>
      <c r="T506">
        <v>15</v>
      </c>
      <c r="U506">
        <v>20</v>
      </c>
      <c r="V506">
        <v>0</v>
      </c>
      <c r="W506">
        <v>0</v>
      </c>
      <c r="X506">
        <v>-41</v>
      </c>
      <c r="Y506" s="2" t="s">
        <v>258</v>
      </c>
      <c r="Z506">
        <v>41.863107061810602</v>
      </c>
      <c r="AA506">
        <v>12.6276496052742</v>
      </c>
      <c r="AB506" t="s">
        <v>78</v>
      </c>
      <c r="AC506" t="s">
        <v>81</v>
      </c>
      <c r="AD506" t="s">
        <v>82</v>
      </c>
      <c r="AE506">
        <v>115196</v>
      </c>
      <c r="AF506">
        <v>0</v>
      </c>
      <c r="AG506">
        <v>0</v>
      </c>
      <c r="AH506">
        <v>0</v>
      </c>
      <c r="AI506">
        <v>10372</v>
      </c>
      <c r="AJ506">
        <v>18953</v>
      </c>
      <c r="AK506">
        <v>85871</v>
      </c>
      <c r="AL506">
        <v>20998</v>
      </c>
      <c r="AM506">
        <v>66961</v>
      </c>
      <c r="AN506">
        <v>307416</v>
      </c>
      <c r="AO506">
        <v>1080836</v>
      </c>
      <c r="AP506">
        <v>0</v>
      </c>
      <c r="AQ506">
        <v>0</v>
      </c>
      <c r="AR506">
        <v>1</v>
      </c>
      <c r="AS506">
        <v>8</v>
      </c>
      <c r="AT506">
        <v>7</v>
      </c>
      <c r="AU506">
        <v>17</v>
      </c>
      <c r="AV506">
        <v>0</v>
      </c>
      <c r="AW506">
        <v>0</v>
      </c>
      <c r="AX506">
        <v>3</v>
      </c>
      <c r="AY506">
        <v>0</v>
      </c>
      <c r="AZ506">
        <v>0</v>
      </c>
      <c r="BA506">
        <v>26</v>
      </c>
      <c r="BB506">
        <v>32</v>
      </c>
      <c r="BC506">
        <v>15</v>
      </c>
      <c r="BD506">
        <v>2</v>
      </c>
      <c r="BE506">
        <v>0</v>
      </c>
      <c r="BF506">
        <v>4</v>
      </c>
      <c r="BG506">
        <v>0</v>
      </c>
      <c r="BH506">
        <v>10</v>
      </c>
      <c r="BI506">
        <v>0</v>
      </c>
      <c r="BJ506">
        <v>41.863216700000002</v>
      </c>
      <c r="BK506">
        <v>12.627628</v>
      </c>
      <c r="BL506">
        <v>100</v>
      </c>
      <c r="BM506" t="s">
        <v>83</v>
      </c>
      <c r="BN506" t="s">
        <v>84</v>
      </c>
      <c r="BO506" t="s">
        <v>85</v>
      </c>
      <c r="BP506" t="s">
        <v>86</v>
      </c>
      <c r="BQ506" t="s">
        <v>87</v>
      </c>
      <c r="BR506" t="s">
        <v>88</v>
      </c>
      <c r="BS506">
        <v>1790821</v>
      </c>
      <c r="BT506">
        <v>0</v>
      </c>
      <c r="BU506">
        <v>0</v>
      </c>
      <c r="BV506">
        <v>0</v>
      </c>
      <c r="BW506">
        <v>207450</v>
      </c>
      <c r="BX506">
        <v>379095</v>
      </c>
      <c r="BY506">
        <v>1204276</v>
      </c>
      <c r="BZ506">
        <v>1</v>
      </c>
      <c r="CA506" t="s">
        <v>259</v>
      </c>
      <c r="CB506" t="s">
        <v>260</v>
      </c>
      <c r="CC506" s="3">
        <v>46092.557106481479</v>
      </c>
      <c r="CD506" t="s">
        <v>91</v>
      </c>
    </row>
    <row r="507" spans="1:82" ht="16" x14ac:dyDescent="0.2">
      <c r="A507" t="s">
        <v>1186</v>
      </c>
      <c r="B507" t="s">
        <v>183</v>
      </c>
      <c r="C507" t="s">
        <v>184</v>
      </c>
      <c r="D507" t="s">
        <v>78</v>
      </c>
      <c r="E507" t="s">
        <v>185</v>
      </c>
      <c r="F507">
        <v>2</v>
      </c>
      <c r="G507">
        <v>50</v>
      </c>
      <c r="H507" t="str">
        <f t="shared" si="50"/>
        <v>2x50</v>
      </c>
      <c r="I507">
        <v>90</v>
      </c>
      <c r="J507" s="4">
        <f t="shared" si="51"/>
        <v>4.6875E-2</v>
      </c>
      <c r="K507">
        <v>136</v>
      </c>
      <c r="L507" s="4">
        <f t="shared" si="52"/>
        <v>7.0833333333333331E-2</v>
      </c>
      <c r="M507">
        <v>207</v>
      </c>
      <c r="N507" s="4">
        <f t="shared" si="53"/>
        <v>0.10781249999999999</v>
      </c>
      <c r="O507">
        <v>412</v>
      </c>
      <c r="P507" s="4">
        <f t="shared" si="54"/>
        <v>0.21458333333333335</v>
      </c>
      <c r="Q507" s="6">
        <f t="shared" si="49"/>
        <v>2035</v>
      </c>
      <c r="R507" s="6">
        <f t="shared" si="55"/>
        <v>4</v>
      </c>
      <c r="S507">
        <v>77</v>
      </c>
      <c r="T507">
        <v>48</v>
      </c>
      <c r="U507">
        <v>-12</v>
      </c>
      <c r="V507">
        <v>8</v>
      </c>
      <c r="W507">
        <v>2</v>
      </c>
      <c r="X507">
        <v>-58</v>
      </c>
      <c r="Y507" s="2" t="s">
        <v>186</v>
      </c>
      <c r="Z507">
        <v>40.375902000000004</v>
      </c>
      <c r="AA507">
        <v>18.148140000000001</v>
      </c>
      <c r="AB507" t="s">
        <v>78</v>
      </c>
      <c r="AC507" t="s">
        <v>81</v>
      </c>
      <c r="AD507" t="s">
        <v>82</v>
      </c>
      <c r="AE507">
        <v>136632</v>
      </c>
      <c r="AF507">
        <v>0</v>
      </c>
      <c r="AG507">
        <v>80496</v>
      </c>
      <c r="AH507">
        <v>0</v>
      </c>
      <c r="AI507">
        <v>38126</v>
      </c>
      <c r="AJ507">
        <v>18010</v>
      </c>
      <c r="AK507">
        <v>0</v>
      </c>
      <c r="AL507">
        <v>1337</v>
      </c>
      <c r="AM507">
        <v>12364</v>
      </c>
      <c r="AN507">
        <v>97119</v>
      </c>
      <c r="AO507">
        <v>199530</v>
      </c>
      <c r="AP507">
        <v>0</v>
      </c>
      <c r="AQ507">
        <v>0</v>
      </c>
      <c r="AR507">
        <v>4</v>
      </c>
      <c r="AS507">
        <v>2</v>
      </c>
      <c r="AT507">
        <v>0</v>
      </c>
      <c r="AU507">
        <v>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2</v>
      </c>
      <c r="BB507">
        <v>11</v>
      </c>
      <c r="BC507">
        <v>2</v>
      </c>
      <c r="BD507">
        <v>0</v>
      </c>
      <c r="BE507">
        <v>0</v>
      </c>
      <c r="BF507">
        <v>0</v>
      </c>
      <c r="BG507">
        <v>4</v>
      </c>
      <c r="BH507">
        <v>2</v>
      </c>
      <c r="BI507">
        <v>10</v>
      </c>
      <c r="BJ507">
        <v>40.375897700000003</v>
      </c>
      <c r="BK507">
        <v>18.148175599999998</v>
      </c>
      <c r="BL507">
        <v>100</v>
      </c>
      <c r="BM507" t="s">
        <v>83</v>
      </c>
      <c r="BN507" t="s">
        <v>84</v>
      </c>
      <c r="BO507" t="s">
        <v>85</v>
      </c>
      <c r="BP507" t="s">
        <v>97</v>
      </c>
      <c r="BQ507" t="s">
        <v>187</v>
      </c>
      <c r="BR507" t="s">
        <v>188</v>
      </c>
      <c r="BS507">
        <v>2861959</v>
      </c>
      <c r="BT507">
        <v>0</v>
      </c>
      <c r="BU507">
        <v>1739099</v>
      </c>
      <c r="BV507">
        <v>0</v>
      </c>
      <c r="BW507">
        <v>762580</v>
      </c>
      <c r="BX507">
        <v>360280</v>
      </c>
      <c r="BY507">
        <v>0</v>
      </c>
      <c r="BZ507">
        <v>1</v>
      </c>
      <c r="CA507" t="s">
        <v>189</v>
      </c>
      <c r="CB507" t="s">
        <v>190</v>
      </c>
      <c r="CC507" s="3">
        <v>46092.557106481479</v>
      </c>
      <c r="CD507" t="s">
        <v>91</v>
      </c>
    </row>
    <row r="508" spans="1:82" ht="16" x14ac:dyDescent="0.2">
      <c r="A508" t="s">
        <v>1188</v>
      </c>
      <c r="B508" t="s">
        <v>316</v>
      </c>
      <c r="C508" t="s">
        <v>317</v>
      </c>
      <c r="D508" t="s">
        <v>78</v>
      </c>
      <c r="E508" t="s">
        <v>318</v>
      </c>
      <c r="F508">
        <v>2</v>
      </c>
      <c r="G508">
        <v>50</v>
      </c>
      <c r="H508" t="str">
        <f t="shared" si="50"/>
        <v>2x50</v>
      </c>
      <c r="I508">
        <v>85</v>
      </c>
      <c r="J508" s="4">
        <f t="shared" si="51"/>
        <v>4.4270833333333336E-2</v>
      </c>
      <c r="K508">
        <v>129</v>
      </c>
      <c r="L508" s="4">
        <f t="shared" si="52"/>
        <v>6.7187499999999997E-2</v>
      </c>
      <c r="M508">
        <v>195</v>
      </c>
      <c r="N508" s="4">
        <f t="shared" si="53"/>
        <v>0.1015625</v>
      </c>
      <c r="O508">
        <v>390</v>
      </c>
      <c r="P508" s="4">
        <f t="shared" si="54"/>
        <v>0.203125</v>
      </c>
      <c r="Q508" s="6">
        <f t="shared" si="49"/>
        <v>2035</v>
      </c>
      <c r="R508" s="6">
        <f t="shared" si="55"/>
        <v>4</v>
      </c>
      <c r="S508">
        <v>77</v>
      </c>
      <c r="T508">
        <v>4</v>
      </c>
      <c r="U508">
        <v>0</v>
      </c>
      <c r="V508">
        <v>10</v>
      </c>
      <c r="W508">
        <v>14</v>
      </c>
      <c r="X508">
        <v>-33</v>
      </c>
      <c r="Y508" s="2" t="s">
        <v>319</v>
      </c>
      <c r="Z508">
        <v>44.975902499999997</v>
      </c>
      <c r="AA508">
        <v>7.7123622000000003</v>
      </c>
      <c r="AB508" t="s">
        <v>78</v>
      </c>
      <c r="AC508" t="s">
        <v>81</v>
      </c>
      <c r="AD508" t="s">
        <v>82</v>
      </c>
      <c r="AE508">
        <v>40219</v>
      </c>
      <c r="AF508">
        <v>0</v>
      </c>
      <c r="AG508">
        <v>0</v>
      </c>
      <c r="AH508">
        <v>30060</v>
      </c>
      <c r="AI508">
        <v>7546</v>
      </c>
      <c r="AJ508">
        <v>2613</v>
      </c>
      <c r="AK508">
        <v>0</v>
      </c>
      <c r="AL508">
        <v>604</v>
      </c>
      <c r="AM508">
        <v>6239</v>
      </c>
      <c r="AN508">
        <v>69559</v>
      </c>
      <c r="AO508">
        <v>493323</v>
      </c>
      <c r="AP508">
        <v>0</v>
      </c>
      <c r="AQ508">
        <v>0</v>
      </c>
      <c r="AR508">
        <v>7</v>
      </c>
      <c r="AS508">
        <v>2</v>
      </c>
      <c r="AT508">
        <v>1</v>
      </c>
      <c r="AU508">
        <v>19</v>
      </c>
      <c r="AV508">
        <v>0</v>
      </c>
      <c r="AW508">
        <v>0</v>
      </c>
      <c r="AX508">
        <v>2</v>
      </c>
      <c r="AY508">
        <v>0</v>
      </c>
      <c r="AZ508">
        <v>2</v>
      </c>
      <c r="BA508">
        <v>14</v>
      </c>
      <c r="BB508">
        <v>28</v>
      </c>
      <c r="BC508">
        <v>13</v>
      </c>
      <c r="BD508">
        <v>8</v>
      </c>
      <c r="BE508">
        <v>8</v>
      </c>
      <c r="BF508">
        <v>10</v>
      </c>
      <c r="BG508">
        <v>16</v>
      </c>
      <c r="BH508">
        <v>18</v>
      </c>
      <c r="BI508">
        <v>16</v>
      </c>
      <c r="BJ508">
        <v>44.97589</v>
      </c>
      <c r="BK508">
        <v>7.7122298999999996</v>
      </c>
      <c r="BL508">
        <v>100</v>
      </c>
      <c r="BM508" t="s">
        <v>83</v>
      </c>
      <c r="BN508" t="s">
        <v>84</v>
      </c>
      <c r="BO508" t="s">
        <v>85</v>
      </c>
      <c r="BP508" t="s">
        <v>107</v>
      </c>
      <c r="BQ508" t="s">
        <v>203</v>
      </c>
      <c r="BR508" t="s">
        <v>204</v>
      </c>
      <c r="BS508">
        <v>804447</v>
      </c>
      <c r="BT508">
        <v>0</v>
      </c>
      <c r="BU508">
        <v>0</v>
      </c>
      <c r="BV508">
        <v>601260</v>
      </c>
      <c r="BW508">
        <v>150926</v>
      </c>
      <c r="BX508">
        <v>52261</v>
      </c>
      <c r="BY508">
        <v>0</v>
      </c>
      <c r="BZ508">
        <v>1</v>
      </c>
      <c r="CA508" t="s">
        <v>320</v>
      </c>
      <c r="CB508" t="s">
        <v>321</v>
      </c>
      <c r="CC508" s="3">
        <v>46092.557106481479</v>
      </c>
      <c r="CD508" t="s">
        <v>91</v>
      </c>
    </row>
    <row r="509" spans="1:82" ht="16" x14ac:dyDescent="0.2">
      <c r="A509" t="s">
        <v>1189</v>
      </c>
      <c r="B509" t="s">
        <v>277</v>
      </c>
      <c r="C509" t="s">
        <v>278</v>
      </c>
      <c r="D509" t="s">
        <v>78</v>
      </c>
      <c r="E509" t="s">
        <v>279</v>
      </c>
      <c r="F509">
        <v>2</v>
      </c>
      <c r="G509">
        <v>50</v>
      </c>
      <c r="H509" t="str">
        <f t="shared" si="50"/>
        <v>2x50</v>
      </c>
      <c r="I509">
        <v>84</v>
      </c>
      <c r="J509" s="4">
        <f t="shared" si="51"/>
        <v>4.3750000000000004E-2</v>
      </c>
      <c r="K509">
        <v>127</v>
      </c>
      <c r="L509" s="4">
        <f t="shared" si="52"/>
        <v>6.6145833333333334E-2</v>
      </c>
      <c r="M509">
        <v>192</v>
      </c>
      <c r="N509" s="4">
        <f t="shared" si="53"/>
        <v>9.9999999999999992E-2</v>
      </c>
      <c r="O509">
        <v>383</v>
      </c>
      <c r="P509" s="4">
        <f t="shared" si="54"/>
        <v>0.19947916666666665</v>
      </c>
      <c r="Q509" s="6">
        <f t="shared" si="49"/>
        <v>2035</v>
      </c>
      <c r="R509" s="6">
        <f t="shared" si="55"/>
        <v>4</v>
      </c>
      <c r="S509">
        <v>77</v>
      </c>
      <c r="T509">
        <v>19</v>
      </c>
      <c r="U509">
        <v>-1</v>
      </c>
      <c r="V509">
        <v>8</v>
      </c>
      <c r="W509">
        <v>2</v>
      </c>
      <c r="X509">
        <v>-40</v>
      </c>
      <c r="Y509" s="2" t="s">
        <v>280</v>
      </c>
      <c r="Z509">
        <v>45.726508951397797</v>
      </c>
      <c r="AA509">
        <v>9.06701614907705</v>
      </c>
      <c r="AB509" t="s">
        <v>78</v>
      </c>
      <c r="AC509" t="s">
        <v>81</v>
      </c>
      <c r="AD509" t="s">
        <v>82</v>
      </c>
      <c r="AE509">
        <v>46743</v>
      </c>
      <c r="AF509">
        <v>0</v>
      </c>
      <c r="AG509">
        <v>0</v>
      </c>
      <c r="AH509">
        <v>16238</v>
      </c>
      <c r="AI509">
        <v>18056</v>
      </c>
      <c r="AJ509">
        <v>8349</v>
      </c>
      <c r="AK509">
        <v>4100</v>
      </c>
      <c r="AL509">
        <v>4046</v>
      </c>
      <c r="AM509">
        <v>10944</v>
      </c>
      <c r="AN509">
        <v>87536</v>
      </c>
      <c r="AO509">
        <v>383559</v>
      </c>
      <c r="AP509">
        <v>0</v>
      </c>
      <c r="AQ509">
        <v>1</v>
      </c>
      <c r="AR509">
        <v>4</v>
      </c>
      <c r="AS509">
        <v>8</v>
      </c>
      <c r="AT509">
        <v>2</v>
      </c>
      <c r="AU509">
        <v>6</v>
      </c>
      <c r="AV509">
        <v>2</v>
      </c>
      <c r="AW509">
        <v>1</v>
      </c>
      <c r="AX509">
        <v>1</v>
      </c>
      <c r="AY509">
        <v>0</v>
      </c>
      <c r="AZ509">
        <v>0</v>
      </c>
      <c r="BA509">
        <v>9</v>
      </c>
      <c r="BB509">
        <v>9</v>
      </c>
      <c r="BC509">
        <v>7</v>
      </c>
      <c r="BD509">
        <v>0</v>
      </c>
      <c r="BE509">
        <v>0</v>
      </c>
      <c r="BF509">
        <v>2</v>
      </c>
      <c r="BG509">
        <v>0</v>
      </c>
      <c r="BH509">
        <v>2</v>
      </c>
      <c r="BI509">
        <v>0</v>
      </c>
      <c r="BJ509">
        <v>45.726507400000003</v>
      </c>
      <c r="BK509">
        <v>9.0669971</v>
      </c>
      <c r="BL509">
        <v>100</v>
      </c>
      <c r="BM509" t="s">
        <v>83</v>
      </c>
      <c r="BN509" t="s">
        <v>84</v>
      </c>
      <c r="BO509" t="s">
        <v>85</v>
      </c>
      <c r="BP509" t="s">
        <v>107</v>
      </c>
      <c r="BQ509" t="s">
        <v>108</v>
      </c>
      <c r="BR509" t="s">
        <v>281</v>
      </c>
      <c r="BS509">
        <v>934986</v>
      </c>
      <c r="BT509">
        <v>0</v>
      </c>
      <c r="BU509">
        <v>0</v>
      </c>
      <c r="BV509">
        <v>324781</v>
      </c>
      <c r="BW509">
        <v>361151</v>
      </c>
      <c r="BX509">
        <v>167013</v>
      </c>
      <c r="BY509">
        <v>82041</v>
      </c>
      <c r="BZ509">
        <v>1</v>
      </c>
      <c r="CA509" t="s">
        <v>282</v>
      </c>
      <c r="CB509" t="s">
        <v>283</v>
      </c>
      <c r="CC509" s="3">
        <v>46092.557106481479</v>
      </c>
      <c r="CD509" t="s">
        <v>91</v>
      </c>
    </row>
    <row r="510" spans="1:82" ht="16" x14ac:dyDescent="0.2">
      <c r="A510" t="s">
        <v>1192</v>
      </c>
      <c r="B510" t="s">
        <v>404</v>
      </c>
      <c r="C510" t="s">
        <v>405</v>
      </c>
      <c r="D510" t="s">
        <v>78</v>
      </c>
      <c r="E510" t="s">
        <v>406</v>
      </c>
      <c r="F510">
        <v>2</v>
      </c>
      <c r="G510">
        <v>50</v>
      </c>
      <c r="H510" t="str">
        <f t="shared" si="50"/>
        <v>2x50</v>
      </c>
      <c r="I510">
        <v>79</v>
      </c>
      <c r="J510" s="4">
        <f t="shared" si="51"/>
        <v>4.1145833333333333E-2</v>
      </c>
      <c r="K510">
        <v>119</v>
      </c>
      <c r="L510" s="4">
        <f t="shared" si="52"/>
        <v>6.1979166666666669E-2</v>
      </c>
      <c r="M510">
        <v>181</v>
      </c>
      <c r="N510" s="4">
        <f t="shared" si="53"/>
        <v>9.4270833333333345E-2</v>
      </c>
      <c r="O510">
        <v>361</v>
      </c>
      <c r="P510" s="4">
        <f t="shared" si="54"/>
        <v>0.18802083333333333</v>
      </c>
      <c r="Q510" s="6">
        <f t="shared" si="49"/>
        <v>2035</v>
      </c>
      <c r="R510" s="6">
        <f t="shared" si="55"/>
        <v>4</v>
      </c>
      <c r="S510">
        <v>77</v>
      </c>
      <c r="T510">
        <v>32</v>
      </c>
      <c r="U510">
        <v>-11</v>
      </c>
      <c r="V510">
        <v>1</v>
      </c>
      <c r="W510">
        <v>-3</v>
      </c>
      <c r="X510">
        <v>-30</v>
      </c>
      <c r="Y510" s="2" t="s">
        <v>407</v>
      </c>
      <c r="Z510">
        <v>43.996139999999997</v>
      </c>
      <c r="AA510">
        <v>12.645759999999999</v>
      </c>
      <c r="AB510" t="s">
        <v>78</v>
      </c>
      <c r="AC510" t="s">
        <v>81</v>
      </c>
      <c r="AD510" t="s">
        <v>82</v>
      </c>
      <c r="AE510">
        <v>75496</v>
      </c>
      <c r="AF510">
        <v>40126</v>
      </c>
      <c r="AG510">
        <v>0</v>
      </c>
      <c r="AH510">
        <v>7125</v>
      </c>
      <c r="AI510">
        <v>0</v>
      </c>
      <c r="AJ510">
        <v>13436</v>
      </c>
      <c r="AK510">
        <v>14809</v>
      </c>
      <c r="AL510">
        <v>8591</v>
      </c>
      <c r="AM510">
        <v>23990</v>
      </c>
      <c r="AN510">
        <v>57288</v>
      </c>
      <c r="AO510">
        <v>185551</v>
      </c>
      <c r="AP510">
        <v>0</v>
      </c>
      <c r="AQ510">
        <v>2</v>
      </c>
      <c r="AR510">
        <v>3</v>
      </c>
      <c r="AS510">
        <v>11</v>
      </c>
      <c r="AT510">
        <v>5</v>
      </c>
      <c r="AU510">
        <v>14</v>
      </c>
      <c r="AV510">
        <v>5</v>
      </c>
      <c r="AW510">
        <v>2</v>
      </c>
      <c r="AX510">
        <v>0</v>
      </c>
      <c r="AY510">
        <v>1</v>
      </c>
      <c r="AZ510">
        <v>0</v>
      </c>
      <c r="BA510">
        <v>13</v>
      </c>
      <c r="BB510">
        <v>46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6</v>
      </c>
      <c r="BI510">
        <v>0</v>
      </c>
      <c r="BJ510">
        <v>43.996139900000003</v>
      </c>
      <c r="BK510">
        <v>12.645739900000001</v>
      </c>
      <c r="BL510">
        <v>100</v>
      </c>
      <c r="BM510" t="s">
        <v>83</v>
      </c>
      <c r="BN510" t="s">
        <v>84</v>
      </c>
      <c r="BO510" t="s">
        <v>85</v>
      </c>
      <c r="BP510" t="s">
        <v>160</v>
      </c>
      <c r="BQ510" t="s">
        <v>170</v>
      </c>
      <c r="BR510" t="s">
        <v>408</v>
      </c>
      <c r="BS510">
        <v>1710627</v>
      </c>
      <c r="BT510">
        <v>1003151</v>
      </c>
      <c r="BU510">
        <v>0</v>
      </c>
      <c r="BV510">
        <v>142511</v>
      </c>
      <c r="BW510">
        <v>0</v>
      </c>
      <c r="BX510">
        <v>268733</v>
      </c>
      <c r="BY510">
        <v>296232</v>
      </c>
      <c r="BZ510">
        <v>1</v>
      </c>
      <c r="CA510" t="s">
        <v>409</v>
      </c>
      <c r="CB510" t="s">
        <v>410</v>
      </c>
      <c r="CC510" s="3">
        <v>46092.557106481479</v>
      </c>
      <c r="CD510" t="s">
        <v>91</v>
      </c>
    </row>
    <row r="511" spans="1:82" ht="16" x14ac:dyDescent="0.2">
      <c r="A511" t="s">
        <v>1193</v>
      </c>
      <c r="B511" t="s">
        <v>231</v>
      </c>
      <c r="C511" t="s">
        <v>232</v>
      </c>
      <c r="D511" t="s">
        <v>78</v>
      </c>
      <c r="E511" t="s">
        <v>233</v>
      </c>
      <c r="F511">
        <v>2</v>
      </c>
      <c r="G511">
        <v>50</v>
      </c>
      <c r="H511" t="str">
        <f t="shared" si="50"/>
        <v>2x50</v>
      </c>
      <c r="I511">
        <v>78</v>
      </c>
      <c r="J511" s="4">
        <f t="shared" si="51"/>
        <v>4.0625000000000001E-2</v>
      </c>
      <c r="K511">
        <v>118</v>
      </c>
      <c r="L511" s="4">
        <f t="shared" si="52"/>
        <v>6.1458333333333337E-2</v>
      </c>
      <c r="M511">
        <v>179</v>
      </c>
      <c r="N511" s="4">
        <f t="shared" si="53"/>
        <v>9.3229166666666655E-2</v>
      </c>
      <c r="O511">
        <v>357</v>
      </c>
      <c r="P511" s="4">
        <f t="shared" si="54"/>
        <v>0.18593750000000001</v>
      </c>
      <c r="Q511" s="6">
        <f t="shared" si="49"/>
        <v>2035</v>
      </c>
      <c r="R511" s="6">
        <f t="shared" si="55"/>
        <v>4</v>
      </c>
      <c r="S511">
        <v>77</v>
      </c>
      <c r="T511">
        <v>40</v>
      </c>
      <c r="U511">
        <v>-2</v>
      </c>
      <c r="V511">
        <v>-2</v>
      </c>
      <c r="W511">
        <v>-4</v>
      </c>
      <c r="X511">
        <v>-58</v>
      </c>
      <c r="Y511" s="2" t="s">
        <v>234</v>
      </c>
      <c r="Z511">
        <v>45.6759010141757</v>
      </c>
      <c r="AA511">
        <v>9.2120198509229407</v>
      </c>
      <c r="AB511" t="s">
        <v>78</v>
      </c>
      <c r="AC511" t="s">
        <v>81</v>
      </c>
      <c r="AD511" t="s">
        <v>82</v>
      </c>
      <c r="AE511">
        <v>236096</v>
      </c>
      <c r="AF511">
        <v>0</v>
      </c>
      <c r="AG511">
        <v>140934</v>
      </c>
      <c r="AH511">
        <v>0</v>
      </c>
      <c r="AI511">
        <v>38782</v>
      </c>
      <c r="AJ511">
        <v>52553</v>
      </c>
      <c r="AK511">
        <v>3827</v>
      </c>
      <c r="AL511">
        <v>6463</v>
      </c>
      <c r="AM511">
        <v>34528</v>
      </c>
      <c r="AN511">
        <v>186775</v>
      </c>
      <c r="AO511">
        <v>618304</v>
      </c>
      <c r="AP511">
        <v>0</v>
      </c>
      <c r="AQ511">
        <v>1</v>
      </c>
      <c r="AR511">
        <v>3</v>
      </c>
      <c r="AS511">
        <v>6</v>
      </c>
      <c r="AT511">
        <v>0</v>
      </c>
      <c r="AU511">
        <v>18</v>
      </c>
      <c r="AV511">
        <v>1</v>
      </c>
      <c r="AW511">
        <v>1</v>
      </c>
      <c r="AX511">
        <v>0</v>
      </c>
      <c r="AY511">
        <v>0</v>
      </c>
      <c r="AZ511">
        <v>0</v>
      </c>
      <c r="BA511">
        <v>6</v>
      </c>
      <c r="BB511">
        <v>30</v>
      </c>
      <c r="BC511">
        <v>0</v>
      </c>
      <c r="BD511">
        <v>0</v>
      </c>
      <c r="BE511">
        <v>0</v>
      </c>
      <c r="BF511">
        <v>2</v>
      </c>
      <c r="BG511">
        <v>0</v>
      </c>
      <c r="BH511">
        <v>8</v>
      </c>
      <c r="BI511">
        <v>0</v>
      </c>
      <c r="BJ511">
        <v>45.675989899999998</v>
      </c>
      <c r="BK511">
        <v>9.2120499999999996</v>
      </c>
      <c r="BL511">
        <v>100</v>
      </c>
      <c r="BM511" t="s">
        <v>83</v>
      </c>
      <c r="BN511" t="s">
        <v>84</v>
      </c>
      <c r="BO511" t="s">
        <v>85</v>
      </c>
      <c r="BP511" t="s">
        <v>107</v>
      </c>
      <c r="BQ511" t="s">
        <v>108</v>
      </c>
      <c r="BR511" t="s">
        <v>145</v>
      </c>
      <c r="BS511">
        <v>4083868</v>
      </c>
      <c r="BT511">
        <v>0</v>
      </c>
      <c r="BU511">
        <v>2268414</v>
      </c>
      <c r="BV511">
        <v>0</v>
      </c>
      <c r="BW511">
        <v>560469</v>
      </c>
      <c r="BX511">
        <v>1178418</v>
      </c>
      <c r="BY511">
        <v>76567</v>
      </c>
      <c r="BZ511">
        <v>1</v>
      </c>
      <c r="CA511" t="s">
        <v>235</v>
      </c>
      <c r="CB511" t="s">
        <v>236</v>
      </c>
      <c r="CC511" s="3">
        <v>46092.557106481479</v>
      </c>
      <c r="CD511" t="s">
        <v>91</v>
      </c>
    </row>
    <row r="512" spans="1:82" ht="16" x14ac:dyDescent="0.2">
      <c r="A512" t="s">
        <v>1194</v>
      </c>
      <c r="B512" t="s">
        <v>361</v>
      </c>
      <c r="C512" t="s">
        <v>362</v>
      </c>
      <c r="D512" t="s">
        <v>78</v>
      </c>
      <c r="E512" t="s">
        <v>363</v>
      </c>
      <c r="F512">
        <v>2</v>
      </c>
      <c r="G512">
        <v>50</v>
      </c>
      <c r="H512" t="str">
        <f t="shared" si="50"/>
        <v>2x50</v>
      </c>
      <c r="I512">
        <v>78</v>
      </c>
      <c r="J512" s="4">
        <f t="shared" si="51"/>
        <v>4.0625000000000001E-2</v>
      </c>
      <c r="K512">
        <v>117</v>
      </c>
      <c r="L512" s="4">
        <f t="shared" si="52"/>
        <v>6.0937499999999999E-2</v>
      </c>
      <c r="M512">
        <v>178</v>
      </c>
      <c r="N512" s="4">
        <f t="shared" si="53"/>
        <v>9.2708333333333337E-2</v>
      </c>
      <c r="O512">
        <v>355</v>
      </c>
      <c r="P512" s="4">
        <f t="shared" si="54"/>
        <v>0.18489583333333334</v>
      </c>
      <c r="Q512" s="6">
        <f t="shared" si="49"/>
        <v>2035</v>
      </c>
      <c r="R512" s="6">
        <f t="shared" si="55"/>
        <v>4</v>
      </c>
      <c r="S512">
        <v>77</v>
      </c>
      <c r="T512">
        <v>24</v>
      </c>
      <c r="U512">
        <v>-1</v>
      </c>
      <c r="V512">
        <v>-3</v>
      </c>
      <c r="W512">
        <v>-1</v>
      </c>
      <c r="X512">
        <v>-37</v>
      </c>
      <c r="Y512" s="2" t="s">
        <v>364</v>
      </c>
      <c r="Z512">
        <v>45.692639999999997</v>
      </c>
      <c r="AA512">
        <v>9.1022800000000004</v>
      </c>
      <c r="AB512" t="s">
        <v>78</v>
      </c>
      <c r="AC512" t="s">
        <v>81</v>
      </c>
      <c r="AD512" t="s">
        <v>82</v>
      </c>
      <c r="AE512">
        <v>114840</v>
      </c>
      <c r="AF512">
        <v>21704</v>
      </c>
      <c r="AG512">
        <v>0</v>
      </c>
      <c r="AH512">
        <v>37140</v>
      </c>
      <c r="AI512">
        <v>23760</v>
      </c>
      <c r="AJ512">
        <v>32236</v>
      </c>
      <c r="AK512">
        <v>0</v>
      </c>
      <c r="AL512">
        <v>4237</v>
      </c>
      <c r="AM512">
        <v>18208</v>
      </c>
      <c r="AN512">
        <v>93407</v>
      </c>
      <c r="AO512">
        <v>516459</v>
      </c>
      <c r="AP512">
        <v>1</v>
      </c>
      <c r="AQ512">
        <v>0</v>
      </c>
      <c r="AR512">
        <v>2</v>
      </c>
      <c r="AS512">
        <v>16</v>
      </c>
      <c r="AT512">
        <v>1</v>
      </c>
      <c r="AU512">
        <v>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26</v>
      </c>
      <c r="BB512">
        <v>37</v>
      </c>
      <c r="BC512">
        <v>24</v>
      </c>
      <c r="BD512">
        <v>0</v>
      </c>
      <c r="BE512">
        <v>0</v>
      </c>
      <c r="BF512">
        <v>0</v>
      </c>
      <c r="BG512">
        <v>0</v>
      </c>
      <c r="BH512">
        <v>4</v>
      </c>
      <c r="BI512">
        <v>0</v>
      </c>
      <c r="BJ512">
        <v>45.692601500000002</v>
      </c>
      <c r="BK512">
        <v>9.1022406999999994</v>
      </c>
      <c r="BL512">
        <v>100</v>
      </c>
      <c r="BM512" t="s">
        <v>83</v>
      </c>
      <c r="BN512" t="s">
        <v>84</v>
      </c>
      <c r="BO512" t="s">
        <v>85</v>
      </c>
      <c r="BP512" t="s">
        <v>107</v>
      </c>
      <c r="BQ512" t="s">
        <v>108</v>
      </c>
      <c r="BR512" t="s">
        <v>145</v>
      </c>
      <c r="BS512">
        <v>2595079</v>
      </c>
      <c r="BT512">
        <v>564329</v>
      </c>
      <c r="BU512">
        <v>0</v>
      </c>
      <c r="BV512">
        <v>910723</v>
      </c>
      <c r="BW512">
        <v>475217</v>
      </c>
      <c r="BX512">
        <v>644810</v>
      </c>
      <c r="BY512">
        <v>0</v>
      </c>
      <c r="BZ512">
        <v>1</v>
      </c>
      <c r="CA512" t="s">
        <v>365</v>
      </c>
      <c r="CB512" t="s">
        <v>366</v>
      </c>
      <c r="CC512" s="3">
        <v>46092.557106481479</v>
      </c>
      <c r="CD512" t="s">
        <v>91</v>
      </c>
    </row>
    <row r="513" spans="1:82" ht="16" x14ac:dyDescent="0.2">
      <c r="A513" t="s">
        <v>1195</v>
      </c>
      <c r="B513" t="s">
        <v>293</v>
      </c>
      <c r="C513" t="s">
        <v>294</v>
      </c>
      <c r="D513" t="s">
        <v>78</v>
      </c>
      <c r="E513" t="s">
        <v>295</v>
      </c>
      <c r="F513">
        <v>2</v>
      </c>
      <c r="G513">
        <v>50</v>
      </c>
      <c r="H513" t="str">
        <f t="shared" si="50"/>
        <v>2x50</v>
      </c>
      <c r="I513">
        <v>77</v>
      </c>
      <c r="J513" s="4">
        <f t="shared" si="51"/>
        <v>4.010416666666667E-2</v>
      </c>
      <c r="K513">
        <v>116</v>
      </c>
      <c r="L513" s="4">
        <f t="shared" si="52"/>
        <v>6.0416666666666667E-2</v>
      </c>
      <c r="M513">
        <v>176</v>
      </c>
      <c r="N513" s="4">
        <f t="shared" si="53"/>
        <v>9.1666666666666674E-2</v>
      </c>
      <c r="O513">
        <v>352</v>
      </c>
      <c r="P513" s="4">
        <f t="shared" si="54"/>
        <v>0.18333333333333335</v>
      </c>
      <c r="Q513" s="6">
        <f t="shared" si="49"/>
        <v>2035</v>
      </c>
      <c r="R513" s="6">
        <f t="shared" si="55"/>
        <v>4</v>
      </c>
      <c r="S513">
        <v>77</v>
      </c>
      <c r="T513">
        <v>27</v>
      </c>
      <c r="U513">
        <v>-2</v>
      </c>
      <c r="V513">
        <v>9</v>
      </c>
      <c r="W513">
        <v>-11</v>
      </c>
      <c r="X513">
        <v>-42</v>
      </c>
      <c r="Y513" s="2" t="s">
        <v>296</v>
      </c>
      <c r="Z513">
        <v>45.640895228938</v>
      </c>
      <c r="AA513">
        <v>9.6128151914067903</v>
      </c>
      <c r="AB513" t="s">
        <v>78</v>
      </c>
      <c r="AC513" t="s">
        <v>81</v>
      </c>
      <c r="AD513" t="s">
        <v>82</v>
      </c>
      <c r="AE513">
        <v>88728</v>
      </c>
      <c r="AF513">
        <v>0</v>
      </c>
      <c r="AG513">
        <v>0</v>
      </c>
      <c r="AH513">
        <v>35237</v>
      </c>
      <c r="AI513">
        <v>41167</v>
      </c>
      <c r="AJ513">
        <v>9460</v>
      </c>
      <c r="AK513">
        <v>2864</v>
      </c>
      <c r="AL513">
        <v>3951</v>
      </c>
      <c r="AM513">
        <v>18639</v>
      </c>
      <c r="AN513">
        <v>110547</v>
      </c>
      <c r="AO513">
        <v>433309</v>
      </c>
      <c r="AP513">
        <v>0</v>
      </c>
      <c r="AQ513">
        <v>0</v>
      </c>
      <c r="AR513">
        <v>3</v>
      </c>
      <c r="AS513">
        <v>4</v>
      </c>
      <c r="AT513">
        <v>3</v>
      </c>
      <c r="AU513">
        <v>8</v>
      </c>
      <c r="AV513">
        <v>2</v>
      </c>
      <c r="AW513">
        <v>0</v>
      </c>
      <c r="AX513">
        <v>1</v>
      </c>
      <c r="AY513">
        <v>0</v>
      </c>
      <c r="AZ513">
        <v>0</v>
      </c>
      <c r="BA513">
        <v>5</v>
      </c>
      <c r="BB513">
        <v>29</v>
      </c>
      <c r="BC513">
        <v>1</v>
      </c>
      <c r="BD513">
        <v>2</v>
      </c>
      <c r="BE513">
        <v>0</v>
      </c>
      <c r="BF513">
        <v>2</v>
      </c>
      <c r="BG513">
        <v>0</v>
      </c>
      <c r="BH513">
        <v>11</v>
      </c>
      <c r="BI513">
        <v>33</v>
      </c>
      <c r="BJ513">
        <v>45.641003499999997</v>
      </c>
      <c r="BK513">
        <v>9.6129010000000008</v>
      </c>
      <c r="BL513">
        <v>100</v>
      </c>
      <c r="BM513" t="s">
        <v>83</v>
      </c>
      <c r="BN513" t="s">
        <v>84</v>
      </c>
      <c r="BO513" t="s">
        <v>85</v>
      </c>
      <c r="BP513" t="s">
        <v>107</v>
      </c>
      <c r="BQ513" t="s">
        <v>108</v>
      </c>
      <c r="BR513" t="s">
        <v>297</v>
      </c>
      <c r="BS513">
        <v>2035930</v>
      </c>
      <c r="BT513">
        <v>0</v>
      </c>
      <c r="BU513">
        <v>0</v>
      </c>
      <c r="BV513">
        <v>821166</v>
      </c>
      <c r="BW513">
        <v>968225</v>
      </c>
      <c r="BX513">
        <v>189235</v>
      </c>
      <c r="BY513">
        <v>57304</v>
      </c>
      <c r="BZ513">
        <v>1</v>
      </c>
      <c r="CA513" t="s">
        <v>298</v>
      </c>
      <c r="CB513" t="s">
        <v>299</v>
      </c>
      <c r="CC513" s="3">
        <v>46092.557106481479</v>
      </c>
      <c r="CD513" t="s">
        <v>91</v>
      </c>
    </row>
    <row r="514" spans="1:82" ht="16" x14ac:dyDescent="0.2">
      <c r="A514" t="s">
        <v>1196</v>
      </c>
      <c r="B514" t="s">
        <v>354</v>
      </c>
      <c r="C514" t="s">
        <v>355</v>
      </c>
      <c r="D514" t="s">
        <v>78</v>
      </c>
      <c r="E514" t="s">
        <v>356</v>
      </c>
      <c r="F514">
        <v>2</v>
      </c>
      <c r="G514">
        <v>50</v>
      </c>
      <c r="H514" t="str">
        <f t="shared" si="50"/>
        <v>2x50</v>
      </c>
      <c r="I514">
        <v>77</v>
      </c>
      <c r="J514" s="4">
        <f t="shared" si="51"/>
        <v>4.010416666666667E-2</v>
      </c>
      <c r="K514">
        <v>116</v>
      </c>
      <c r="L514" s="4">
        <f t="shared" si="52"/>
        <v>6.0416666666666667E-2</v>
      </c>
      <c r="M514">
        <v>176</v>
      </c>
      <c r="N514" s="4">
        <f t="shared" si="53"/>
        <v>9.1666666666666674E-2</v>
      </c>
      <c r="O514">
        <v>351</v>
      </c>
      <c r="P514" s="4">
        <f t="shared" si="54"/>
        <v>0.18281250000000002</v>
      </c>
      <c r="Q514" s="6">
        <f t="shared" ref="Q514:Q577" si="56">IF(J514&gt;=0.13,2026,IF(L514&gt;=0.14,2027,IF(N514&gt;=0.14,2030,IF(P514&gt;=0.14,2035,"later"))))</f>
        <v>2035</v>
      </c>
      <c r="R514" s="6">
        <f t="shared" si="55"/>
        <v>4</v>
      </c>
      <c r="S514">
        <v>77</v>
      </c>
      <c r="T514">
        <v>15</v>
      </c>
      <c r="U514">
        <v>-10</v>
      </c>
      <c r="V514">
        <v>19</v>
      </c>
      <c r="W514">
        <v>-5</v>
      </c>
      <c r="X514">
        <v>-31</v>
      </c>
      <c r="Y514" s="2" t="s">
        <v>357</v>
      </c>
      <c r="Z514">
        <v>45.508908091499897</v>
      </c>
      <c r="AA514">
        <v>10.3238094594935</v>
      </c>
      <c r="AB514" t="s">
        <v>78</v>
      </c>
      <c r="AC514" t="s">
        <v>81</v>
      </c>
      <c r="AD514" t="s">
        <v>82</v>
      </c>
      <c r="AE514">
        <v>63041</v>
      </c>
      <c r="AF514">
        <v>0</v>
      </c>
      <c r="AG514">
        <v>39287</v>
      </c>
      <c r="AH514">
        <v>7496</v>
      </c>
      <c r="AI514">
        <v>0</v>
      </c>
      <c r="AJ514">
        <v>15229</v>
      </c>
      <c r="AK514">
        <v>1029</v>
      </c>
      <c r="AL514">
        <v>6403</v>
      </c>
      <c r="AM514">
        <v>14060</v>
      </c>
      <c r="AN514">
        <v>59617</v>
      </c>
      <c r="AO514">
        <v>247710</v>
      </c>
      <c r="AP514">
        <v>6</v>
      </c>
      <c r="AQ514">
        <v>0</v>
      </c>
      <c r="AR514">
        <v>7</v>
      </c>
      <c r="AS514">
        <v>16</v>
      </c>
      <c r="AT514">
        <v>0</v>
      </c>
      <c r="AU514">
        <v>19</v>
      </c>
      <c r="AV514">
        <v>9</v>
      </c>
      <c r="AW514">
        <v>1</v>
      </c>
      <c r="AX514">
        <v>0</v>
      </c>
      <c r="AY514">
        <v>0</v>
      </c>
      <c r="AZ514">
        <v>2</v>
      </c>
      <c r="BA514">
        <v>11</v>
      </c>
      <c r="BB514">
        <v>23</v>
      </c>
      <c r="BC514">
        <v>7</v>
      </c>
      <c r="BD514">
        <v>6</v>
      </c>
      <c r="BE514">
        <v>0</v>
      </c>
      <c r="BF514">
        <v>6</v>
      </c>
      <c r="BG514">
        <v>0</v>
      </c>
      <c r="BH514">
        <v>6</v>
      </c>
      <c r="BI514">
        <v>0</v>
      </c>
      <c r="BJ514">
        <v>45.508969899999997</v>
      </c>
      <c r="BK514">
        <v>10.32385</v>
      </c>
      <c r="BL514">
        <v>100</v>
      </c>
      <c r="BM514" t="s">
        <v>83</v>
      </c>
      <c r="BN514" t="s">
        <v>84</v>
      </c>
      <c r="BO514" t="s">
        <v>85</v>
      </c>
      <c r="BP514" t="s">
        <v>107</v>
      </c>
      <c r="BQ514" t="s">
        <v>108</v>
      </c>
      <c r="BR514" t="s">
        <v>179</v>
      </c>
      <c r="BS514">
        <v>1342650</v>
      </c>
      <c r="BT514">
        <v>0</v>
      </c>
      <c r="BU514">
        <v>902853</v>
      </c>
      <c r="BV514">
        <v>149938</v>
      </c>
      <c r="BW514">
        <v>0</v>
      </c>
      <c r="BX514">
        <v>269263</v>
      </c>
      <c r="BY514">
        <v>20596</v>
      </c>
      <c r="BZ514">
        <v>1</v>
      </c>
      <c r="CA514" t="s">
        <v>358</v>
      </c>
      <c r="CB514" t="s">
        <v>359</v>
      </c>
      <c r="CC514" s="3">
        <v>46092.557106481479</v>
      </c>
      <c r="CD514" t="s">
        <v>91</v>
      </c>
    </row>
    <row r="515" spans="1:82" ht="16" x14ac:dyDescent="0.2">
      <c r="A515" t="s">
        <v>1197</v>
      </c>
      <c r="B515" t="s">
        <v>347</v>
      </c>
      <c r="C515" t="s">
        <v>348</v>
      </c>
      <c r="D515" t="s">
        <v>78</v>
      </c>
      <c r="E515" t="s">
        <v>349</v>
      </c>
      <c r="F515">
        <v>2</v>
      </c>
      <c r="G515">
        <v>50</v>
      </c>
      <c r="H515" t="str">
        <f t="shared" ref="H515:H578" si="57">F515&amp;"x"&amp;G515</f>
        <v>2x50</v>
      </c>
      <c r="I515">
        <v>77</v>
      </c>
      <c r="J515" s="4">
        <f t="shared" ref="J515:J578" si="58">IF($G515=300,I515/75/$F515/24,IF($G515=150,I515/65/$F515/24,I515/40/$F515/24))</f>
        <v>4.010416666666667E-2</v>
      </c>
      <c r="K515">
        <v>116</v>
      </c>
      <c r="L515" s="4">
        <f t="shared" ref="L515:L578" si="59">IF($G515=300,K515/75/$F515/24,IF($G515=150,K515/65/$F515/24,K515/40/$F515/24))</f>
        <v>6.0416666666666667E-2</v>
      </c>
      <c r="M515">
        <v>176</v>
      </c>
      <c r="N515" s="4">
        <f t="shared" ref="N515:N578" si="60">IF($G515=300,M515/75/$F515/24,IF($G515=150,M515/65/$F515/24,M515/40/$F515/24))</f>
        <v>9.1666666666666674E-2</v>
      </c>
      <c r="O515">
        <v>350</v>
      </c>
      <c r="P515" s="4">
        <f t="shared" ref="P515:P578" si="61">IF($G515=300,O515/75/$F515/24,IF($G515=150,O515/65/$F515/24,O515/40/$F515/24))</f>
        <v>0.18229166666666666</v>
      </c>
      <c r="Q515" s="6">
        <f t="shared" si="56"/>
        <v>2035</v>
      </c>
      <c r="R515" s="6">
        <f t="shared" ref="R515:R578" si="62">IF(Q515=2026,1,IF(Q515=2027,2,IF(Q515=2030,3,IF(Q515=2035,4,666))))</f>
        <v>4</v>
      </c>
      <c r="S515">
        <v>77</v>
      </c>
      <c r="T515">
        <v>18</v>
      </c>
      <c r="U515">
        <v>-1</v>
      </c>
      <c r="V515">
        <v>2</v>
      </c>
      <c r="W515">
        <v>1</v>
      </c>
      <c r="X515">
        <v>-38</v>
      </c>
      <c r="Y515" s="2" t="s">
        <v>350</v>
      </c>
      <c r="Z515">
        <v>45.518430665843702</v>
      </c>
      <c r="AA515">
        <v>9.3526549641985497</v>
      </c>
      <c r="AB515" t="s">
        <v>78</v>
      </c>
      <c r="AC515" t="s">
        <v>81</v>
      </c>
      <c r="AD515" t="s">
        <v>82</v>
      </c>
      <c r="AE515">
        <v>66059</v>
      </c>
      <c r="AF515">
        <v>0</v>
      </c>
      <c r="AG515">
        <v>0</v>
      </c>
      <c r="AH515">
        <v>15443</v>
      </c>
      <c r="AI515">
        <v>20420</v>
      </c>
      <c r="AJ515">
        <v>25439</v>
      </c>
      <c r="AK515">
        <v>4757</v>
      </c>
      <c r="AL515">
        <v>6771</v>
      </c>
      <c r="AM515">
        <v>36038</v>
      </c>
      <c r="AN515">
        <v>163620</v>
      </c>
      <c r="AO515">
        <v>673893</v>
      </c>
      <c r="AP515">
        <v>0</v>
      </c>
      <c r="AQ515">
        <v>0</v>
      </c>
      <c r="AR515">
        <v>3</v>
      </c>
      <c r="AS515">
        <v>5</v>
      </c>
      <c r="AT515">
        <v>2</v>
      </c>
      <c r="AU515">
        <v>20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3</v>
      </c>
      <c r="BB515">
        <v>7</v>
      </c>
      <c r="BC515">
        <v>2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45.518380000000001</v>
      </c>
      <c r="BK515">
        <v>9.3526100000000003</v>
      </c>
      <c r="BL515">
        <v>100</v>
      </c>
      <c r="BM515" t="s">
        <v>83</v>
      </c>
      <c r="BN515" t="s">
        <v>84</v>
      </c>
      <c r="BO515" t="s">
        <v>85</v>
      </c>
      <c r="BP515" t="s">
        <v>107</v>
      </c>
      <c r="BQ515" t="s">
        <v>108</v>
      </c>
      <c r="BR515" t="s">
        <v>109</v>
      </c>
      <c r="BS515">
        <v>1321307</v>
      </c>
      <c r="BT515">
        <v>0</v>
      </c>
      <c r="BU515">
        <v>0</v>
      </c>
      <c r="BV515">
        <v>308890</v>
      </c>
      <c r="BW515">
        <v>408405</v>
      </c>
      <c r="BX515">
        <v>508840</v>
      </c>
      <c r="BY515">
        <v>95172</v>
      </c>
      <c r="BZ515">
        <v>1</v>
      </c>
      <c r="CA515" t="s">
        <v>351</v>
      </c>
      <c r="CB515" t="s">
        <v>352</v>
      </c>
      <c r="CC515" s="3">
        <v>46092.557106481479</v>
      </c>
      <c r="CD515" t="s">
        <v>91</v>
      </c>
    </row>
    <row r="516" spans="1:82" ht="16" x14ac:dyDescent="0.2">
      <c r="A516" t="s">
        <v>1198</v>
      </c>
      <c r="B516" t="s">
        <v>667</v>
      </c>
      <c r="C516" t="s">
        <v>668</v>
      </c>
      <c r="D516" t="s">
        <v>78</v>
      </c>
      <c r="E516" t="s">
        <v>669</v>
      </c>
      <c r="F516">
        <v>2</v>
      </c>
      <c r="G516">
        <v>50</v>
      </c>
      <c r="H516" t="str">
        <f t="shared" si="57"/>
        <v>2x50</v>
      </c>
      <c r="I516">
        <v>76</v>
      </c>
      <c r="J516" s="4">
        <f t="shared" si="58"/>
        <v>3.9583333333333331E-2</v>
      </c>
      <c r="K516">
        <v>115</v>
      </c>
      <c r="L516" s="4">
        <f t="shared" si="59"/>
        <v>5.9895833333333336E-2</v>
      </c>
      <c r="M516">
        <v>175</v>
      </c>
      <c r="N516" s="4">
        <f t="shared" si="60"/>
        <v>9.1145833333333329E-2</v>
      </c>
      <c r="O516">
        <v>349</v>
      </c>
      <c r="P516" s="4">
        <f t="shared" si="61"/>
        <v>0.18177083333333333</v>
      </c>
      <c r="Q516" s="6">
        <f t="shared" si="56"/>
        <v>2035</v>
      </c>
      <c r="R516" s="6">
        <f t="shared" si="62"/>
        <v>4</v>
      </c>
      <c r="S516">
        <v>77</v>
      </c>
      <c r="T516">
        <v>-7</v>
      </c>
      <c r="U516">
        <v>3</v>
      </c>
      <c r="V516">
        <v>26</v>
      </c>
      <c r="W516">
        <v>-9</v>
      </c>
      <c r="X516">
        <v>-22</v>
      </c>
      <c r="Y516" s="2" t="s">
        <v>670</v>
      </c>
      <c r="Z516">
        <v>44.736400895529897</v>
      </c>
      <c r="AA516">
        <v>8.8305127779121797</v>
      </c>
      <c r="AB516" t="s">
        <v>78</v>
      </c>
      <c r="AC516" t="s">
        <v>81</v>
      </c>
      <c r="AD516" t="s">
        <v>82</v>
      </c>
      <c r="AE516">
        <v>15570</v>
      </c>
      <c r="AF516">
        <v>0</v>
      </c>
      <c r="AG516">
        <v>0</v>
      </c>
      <c r="AH516">
        <v>0</v>
      </c>
      <c r="AI516">
        <v>0</v>
      </c>
      <c r="AJ516">
        <v>15570</v>
      </c>
      <c r="AK516">
        <v>0</v>
      </c>
      <c r="AL516">
        <v>211</v>
      </c>
      <c r="AM516">
        <v>2220</v>
      </c>
      <c r="AN516">
        <v>31482</v>
      </c>
      <c r="AO516">
        <v>64842</v>
      </c>
      <c r="AP516">
        <v>0</v>
      </c>
      <c r="AQ516">
        <v>0</v>
      </c>
      <c r="AR516">
        <v>7</v>
      </c>
      <c r="AS516">
        <v>12</v>
      </c>
      <c r="AT516">
        <v>2</v>
      </c>
      <c r="AU516">
        <v>7</v>
      </c>
      <c r="AV516">
        <v>1</v>
      </c>
      <c r="AW516">
        <v>0</v>
      </c>
      <c r="AX516">
        <v>2</v>
      </c>
      <c r="AY516">
        <v>0</v>
      </c>
      <c r="AZ516">
        <v>0</v>
      </c>
      <c r="BA516">
        <v>15</v>
      </c>
      <c r="BB516">
        <v>17</v>
      </c>
      <c r="BC516">
        <v>10</v>
      </c>
      <c r="BD516">
        <v>2</v>
      </c>
      <c r="BE516">
        <v>0</v>
      </c>
      <c r="BF516">
        <v>8</v>
      </c>
      <c r="BG516">
        <v>8</v>
      </c>
      <c r="BH516">
        <v>8</v>
      </c>
      <c r="BI516">
        <v>8</v>
      </c>
      <c r="BJ516">
        <v>44.736418800000003</v>
      </c>
      <c r="BK516">
        <v>8.8305284000000004</v>
      </c>
      <c r="BL516">
        <v>100</v>
      </c>
      <c r="BM516" t="s">
        <v>83</v>
      </c>
      <c r="BN516" t="s">
        <v>84</v>
      </c>
      <c r="BO516" t="s">
        <v>85</v>
      </c>
      <c r="BP516" t="s">
        <v>107</v>
      </c>
      <c r="BQ516" t="s">
        <v>203</v>
      </c>
      <c r="BR516" t="s">
        <v>671</v>
      </c>
      <c r="BS516">
        <v>311408</v>
      </c>
      <c r="BT516">
        <v>0</v>
      </c>
      <c r="BU516">
        <v>0</v>
      </c>
      <c r="BV516">
        <v>0</v>
      </c>
      <c r="BW516">
        <v>0</v>
      </c>
      <c r="BX516">
        <v>311408</v>
      </c>
      <c r="BY516">
        <v>0</v>
      </c>
      <c r="BZ516">
        <v>1</v>
      </c>
      <c r="CA516" t="s">
        <v>672</v>
      </c>
      <c r="CB516" t="s">
        <v>673</v>
      </c>
      <c r="CC516" s="3">
        <v>46092.557106481479</v>
      </c>
      <c r="CD516" t="s">
        <v>91</v>
      </c>
    </row>
    <row r="517" spans="1:82" ht="16" x14ac:dyDescent="0.2">
      <c r="A517" t="s">
        <v>1199</v>
      </c>
      <c r="B517" t="s">
        <v>390</v>
      </c>
      <c r="C517" t="s">
        <v>391</v>
      </c>
      <c r="D517" t="s">
        <v>78</v>
      </c>
      <c r="E517" t="s">
        <v>392</v>
      </c>
      <c r="F517">
        <v>2</v>
      </c>
      <c r="G517">
        <v>50</v>
      </c>
      <c r="H517" t="str">
        <f t="shared" si="57"/>
        <v>2x50</v>
      </c>
      <c r="I517">
        <v>76</v>
      </c>
      <c r="J517" s="4">
        <f t="shared" si="58"/>
        <v>3.9583333333333331E-2</v>
      </c>
      <c r="K517">
        <v>114</v>
      </c>
      <c r="L517" s="4">
        <f t="shared" si="59"/>
        <v>5.9375000000000004E-2</v>
      </c>
      <c r="M517">
        <v>174</v>
      </c>
      <c r="N517" s="4">
        <f t="shared" si="60"/>
        <v>9.0624999999999997E-2</v>
      </c>
      <c r="O517">
        <v>346</v>
      </c>
      <c r="P517" s="4">
        <f t="shared" si="61"/>
        <v>0.18020833333333333</v>
      </c>
      <c r="Q517" s="6">
        <f t="shared" si="56"/>
        <v>2035</v>
      </c>
      <c r="R517" s="6">
        <f t="shared" si="62"/>
        <v>4</v>
      </c>
      <c r="S517">
        <v>77</v>
      </c>
      <c r="T517">
        <v>12</v>
      </c>
      <c r="U517">
        <v>2</v>
      </c>
      <c r="V517">
        <v>6</v>
      </c>
      <c r="W517">
        <v>-1</v>
      </c>
      <c r="X517">
        <v>-37</v>
      </c>
      <c r="Y517" s="2" t="s">
        <v>393</v>
      </c>
      <c r="Z517">
        <v>43.805397399999997</v>
      </c>
      <c r="AA517">
        <v>11.1132697</v>
      </c>
      <c r="AB517" t="s">
        <v>78</v>
      </c>
      <c r="AC517" t="s">
        <v>81</v>
      </c>
      <c r="AD517" t="s">
        <v>82</v>
      </c>
      <c r="AE517">
        <v>26906</v>
      </c>
      <c r="AF517">
        <v>0</v>
      </c>
      <c r="AG517">
        <v>0</v>
      </c>
      <c r="AH517">
        <v>0</v>
      </c>
      <c r="AI517">
        <v>16760</v>
      </c>
      <c r="AJ517">
        <v>8904</v>
      </c>
      <c r="AK517">
        <v>1242</v>
      </c>
      <c r="AL517">
        <v>3756</v>
      </c>
      <c r="AM517">
        <v>15914</v>
      </c>
      <c r="AN517">
        <v>103128</v>
      </c>
      <c r="AO517">
        <v>503984</v>
      </c>
      <c r="AP517">
        <v>3</v>
      </c>
      <c r="AQ517">
        <v>1</v>
      </c>
      <c r="AR517">
        <v>4</v>
      </c>
      <c r="AS517">
        <v>15</v>
      </c>
      <c r="AT517">
        <v>4</v>
      </c>
      <c r="AU517">
        <v>20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4</v>
      </c>
      <c r="BI517">
        <v>0</v>
      </c>
      <c r="BJ517">
        <v>43.8054299</v>
      </c>
      <c r="BK517">
        <v>11.113152400000001</v>
      </c>
      <c r="BL517">
        <v>100</v>
      </c>
      <c r="BM517" t="s">
        <v>83</v>
      </c>
      <c r="BN517" t="s">
        <v>84</v>
      </c>
      <c r="BO517" t="s">
        <v>85</v>
      </c>
      <c r="BP517" t="s">
        <v>86</v>
      </c>
      <c r="BQ517" t="s">
        <v>212</v>
      </c>
      <c r="BR517" t="s">
        <v>213</v>
      </c>
      <c r="BS517">
        <v>538175</v>
      </c>
      <c r="BT517">
        <v>0</v>
      </c>
      <c r="BU517">
        <v>0</v>
      </c>
      <c r="BV517">
        <v>0</v>
      </c>
      <c r="BW517">
        <v>335221</v>
      </c>
      <c r="BX517">
        <v>178098</v>
      </c>
      <c r="BY517">
        <v>24856</v>
      </c>
      <c r="BZ517">
        <v>1</v>
      </c>
      <c r="CA517" t="s">
        <v>394</v>
      </c>
      <c r="CB517" t="s">
        <v>395</v>
      </c>
      <c r="CC517" s="3">
        <v>46092.557106481479</v>
      </c>
      <c r="CD517" t="s">
        <v>91</v>
      </c>
    </row>
    <row r="518" spans="1:82" ht="16" x14ac:dyDescent="0.2">
      <c r="A518" t="s">
        <v>1200</v>
      </c>
      <c r="B518" t="s">
        <v>441</v>
      </c>
      <c r="C518" t="s">
        <v>442</v>
      </c>
      <c r="D518" t="s">
        <v>78</v>
      </c>
      <c r="E518" t="s">
        <v>443</v>
      </c>
      <c r="F518">
        <v>2</v>
      </c>
      <c r="G518">
        <v>50</v>
      </c>
      <c r="H518" t="str">
        <f t="shared" si="57"/>
        <v>2x50</v>
      </c>
      <c r="I518">
        <v>76</v>
      </c>
      <c r="J518" s="4">
        <f t="shared" si="58"/>
        <v>3.9583333333333331E-2</v>
      </c>
      <c r="K518">
        <v>114</v>
      </c>
      <c r="L518" s="4">
        <f t="shared" si="59"/>
        <v>5.9375000000000004E-2</v>
      </c>
      <c r="M518">
        <v>173</v>
      </c>
      <c r="N518" s="4">
        <f t="shared" si="60"/>
        <v>9.0104166666666666E-2</v>
      </c>
      <c r="O518">
        <v>346</v>
      </c>
      <c r="P518" s="4">
        <f t="shared" si="61"/>
        <v>0.18020833333333333</v>
      </c>
      <c r="Q518" s="6">
        <f t="shared" si="56"/>
        <v>2035</v>
      </c>
      <c r="R518" s="6">
        <f t="shared" si="62"/>
        <v>4</v>
      </c>
      <c r="S518">
        <v>77</v>
      </c>
      <c r="T518">
        <v>8</v>
      </c>
      <c r="U518">
        <v>16</v>
      </c>
      <c r="V518">
        <v>-3</v>
      </c>
      <c r="W518">
        <v>-5</v>
      </c>
      <c r="X518">
        <v>-29</v>
      </c>
      <c r="Y518" s="2" t="s">
        <v>444</v>
      </c>
      <c r="Z518">
        <v>40.455229899999999</v>
      </c>
      <c r="AA518">
        <v>17.2685414</v>
      </c>
      <c r="AB518" t="s">
        <v>78</v>
      </c>
      <c r="AC518" t="s">
        <v>81</v>
      </c>
      <c r="AD518" t="s">
        <v>82</v>
      </c>
      <c r="AE518">
        <v>43997</v>
      </c>
      <c r="AF518">
        <v>0</v>
      </c>
      <c r="AG518">
        <v>0</v>
      </c>
      <c r="AH518">
        <v>0</v>
      </c>
      <c r="AI518">
        <v>0</v>
      </c>
      <c r="AJ518">
        <v>43997</v>
      </c>
      <c r="AK518">
        <v>0</v>
      </c>
      <c r="AL518">
        <v>29576</v>
      </c>
      <c r="AM518">
        <v>89223</v>
      </c>
      <c r="AN518">
        <v>129066</v>
      </c>
      <c r="AO518">
        <v>216513</v>
      </c>
      <c r="AP518">
        <v>1</v>
      </c>
      <c r="AQ518">
        <v>0</v>
      </c>
      <c r="AR518">
        <v>1</v>
      </c>
      <c r="AS518">
        <v>1</v>
      </c>
      <c r="AT518">
        <v>2</v>
      </c>
      <c r="AU518">
        <v>13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16</v>
      </c>
      <c r="BB518">
        <v>38</v>
      </c>
      <c r="BC518">
        <v>5</v>
      </c>
      <c r="BD518">
        <v>4</v>
      </c>
      <c r="BE518">
        <v>0</v>
      </c>
      <c r="BF518">
        <v>6</v>
      </c>
      <c r="BG518">
        <v>0</v>
      </c>
      <c r="BH518">
        <v>10</v>
      </c>
      <c r="BI518">
        <v>0</v>
      </c>
      <c r="BJ518">
        <v>40.455267300000003</v>
      </c>
      <c r="BK518">
        <v>17.2684839</v>
      </c>
      <c r="BL518">
        <v>100</v>
      </c>
      <c r="BM518" t="s">
        <v>83</v>
      </c>
      <c r="BN518" t="s">
        <v>84</v>
      </c>
      <c r="BO518" t="s">
        <v>85</v>
      </c>
      <c r="BP518" t="s">
        <v>97</v>
      </c>
      <c r="BQ518" t="s">
        <v>187</v>
      </c>
      <c r="BR518" t="s">
        <v>442</v>
      </c>
      <c r="BS518">
        <v>777417</v>
      </c>
      <c r="BT518">
        <v>0</v>
      </c>
      <c r="BU518">
        <v>0</v>
      </c>
      <c r="BV518">
        <v>0</v>
      </c>
      <c r="BW518">
        <v>0</v>
      </c>
      <c r="BX518">
        <v>777417</v>
      </c>
      <c r="BY518">
        <v>0</v>
      </c>
      <c r="BZ518">
        <v>1</v>
      </c>
      <c r="CA518" t="s">
        <v>445</v>
      </c>
      <c r="CB518" t="s">
        <v>446</v>
      </c>
      <c r="CC518" s="3">
        <v>46092.557106481479</v>
      </c>
      <c r="CD518" t="s">
        <v>91</v>
      </c>
    </row>
    <row r="519" spans="1:82" ht="16" x14ac:dyDescent="0.2">
      <c r="A519" t="s">
        <v>1201</v>
      </c>
      <c r="B519" t="s">
        <v>270</v>
      </c>
      <c r="C519" t="s">
        <v>271</v>
      </c>
      <c r="D519" t="s">
        <v>78</v>
      </c>
      <c r="E519" t="s">
        <v>272</v>
      </c>
      <c r="F519">
        <v>2</v>
      </c>
      <c r="G519">
        <v>50</v>
      </c>
      <c r="H519" t="str">
        <f t="shared" si="57"/>
        <v>2x50</v>
      </c>
      <c r="I519">
        <v>76</v>
      </c>
      <c r="J519" s="4">
        <f t="shared" si="58"/>
        <v>3.9583333333333331E-2</v>
      </c>
      <c r="K519">
        <v>114</v>
      </c>
      <c r="L519" s="4">
        <f t="shared" si="59"/>
        <v>5.9375000000000004E-2</v>
      </c>
      <c r="M519">
        <v>173</v>
      </c>
      <c r="N519" s="4">
        <f t="shared" si="60"/>
        <v>9.0104166666666666E-2</v>
      </c>
      <c r="O519">
        <v>345</v>
      </c>
      <c r="P519" s="4">
        <f t="shared" si="61"/>
        <v>0.1796875</v>
      </c>
      <c r="Q519" s="6">
        <f t="shared" si="56"/>
        <v>2035</v>
      </c>
      <c r="R519" s="6">
        <f t="shared" si="62"/>
        <v>4</v>
      </c>
      <c r="S519">
        <v>77</v>
      </c>
      <c r="T519">
        <v>28</v>
      </c>
      <c r="U519">
        <v>5</v>
      </c>
      <c r="V519">
        <v>-8</v>
      </c>
      <c r="W519">
        <v>0</v>
      </c>
      <c r="X519">
        <v>-47</v>
      </c>
      <c r="Y519" s="2" t="s">
        <v>273</v>
      </c>
      <c r="Z519">
        <v>45.004628760000003</v>
      </c>
      <c r="AA519">
        <v>7.673297228</v>
      </c>
      <c r="AB519" t="s">
        <v>78</v>
      </c>
      <c r="AC519" t="s">
        <v>81</v>
      </c>
      <c r="AD519" t="s">
        <v>82</v>
      </c>
      <c r="AE519">
        <v>97999</v>
      </c>
      <c r="AF519">
        <v>22783</v>
      </c>
      <c r="AG519">
        <v>0</v>
      </c>
      <c r="AH519">
        <v>36351</v>
      </c>
      <c r="AI519">
        <v>32660</v>
      </c>
      <c r="AJ519">
        <v>2777</v>
      </c>
      <c r="AK519">
        <v>3428</v>
      </c>
      <c r="AL519">
        <v>13776</v>
      </c>
      <c r="AM519">
        <v>59105</v>
      </c>
      <c r="AN519">
        <v>274389</v>
      </c>
      <c r="AO519">
        <v>919379</v>
      </c>
      <c r="AP519">
        <v>7</v>
      </c>
      <c r="AQ519">
        <v>0</v>
      </c>
      <c r="AR519">
        <v>3</v>
      </c>
      <c r="AS519">
        <v>7</v>
      </c>
      <c r="AT519">
        <v>4</v>
      </c>
      <c r="AU519">
        <v>31</v>
      </c>
      <c r="AV519">
        <v>3</v>
      </c>
      <c r="AW519">
        <v>1</v>
      </c>
      <c r="AX519">
        <v>0</v>
      </c>
      <c r="AY519">
        <v>0</v>
      </c>
      <c r="AZ519">
        <v>0</v>
      </c>
      <c r="BA519">
        <v>3</v>
      </c>
      <c r="BB519">
        <v>60</v>
      </c>
      <c r="BC519">
        <v>1</v>
      </c>
      <c r="BD519">
        <v>2</v>
      </c>
      <c r="BE519">
        <v>0</v>
      </c>
      <c r="BF519">
        <v>2</v>
      </c>
      <c r="BG519">
        <v>0</v>
      </c>
      <c r="BH519">
        <v>14</v>
      </c>
      <c r="BI519">
        <v>0</v>
      </c>
      <c r="BJ519">
        <v>45.004663899999997</v>
      </c>
      <c r="BK519">
        <v>7.6733604</v>
      </c>
      <c r="BL519">
        <v>100</v>
      </c>
      <c r="BM519" t="s">
        <v>83</v>
      </c>
      <c r="BN519" t="s">
        <v>84</v>
      </c>
      <c r="BO519" t="s">
        <v>85</v>
      </c>
      <c r="BP519" t="s">
        <v>107</v>
      </c>
      <c r="BQ519" t="s">
        <v>203</v>
      </c>
      <c r="BR519" t="s">
        <v>204</v>
      </c>
      <c r="BS519">
        <v>2225227</v>
      </c>
      <c r="BT519">
        <v>592381</v>
      </c>
      <c r="BU519">
        <v>0</v>
      </c>
      <c r="BV519">
        <v>855461</v>
      </c>
      <c r="BW519">
        <v>653247</v>
      </c>
      <c r="BX519">
        <v>55551</v>
      </c>
      <c r="BY519">
        <v>68587</v>
      </c>
      <c r="BZ519">
        <v>1</v>
      </c>
      <c r="CA519" t="s">
        <v>274</v>
      </c>
      <c r="CB519" t="s">
        <v>275</v>
      </c>
      <c r="CC519" s="3">
        <v>46092.557106481479</v>
      </c>
      <c r="CD519" t="s">
        <v>91</v>
      </c>
    </row>
    <row r="520" spans="1:82" ht="16" x14ac:dyDescent="0.2">
      <c r="A520" t="s">
        <v>1202</v>
      </c>
      <c r="B520" t="s">
        <v>309</v>
      </c>
      <c r="C520" t="s">
        <v>310</v>
      </c>
      <c r="D520" t="s">
        <v>78</v>
      </c>
      <c r="E520" t="s">
        <v>311</v>
      </c>
      <c r="F520">
        <v>2</v>
      </c>
      <c r="G520">
        <v>50</v>
      </c>
      <c r="H520" t="str">
        <f t="shared" si="57"/>
        <v>2x50</v>
      </c>
      <c r="I520">
        <v>74</v>
      </c>
      <c r="J520" s="4">
        <f t="shared" si="58"/>
        <v>3.8541666666666669E-2</v>
      </c>
      <c r="K520">
        <v>111</v>
      </c>
      <c r="L520" s="4">
        <f t="shared" si="59"/>
        <v>5.7812499999999996E-2</v>
      </c>
      <c r="M520">
        <v>169</v>
      </c>
      <c r="N520" s="4">
        <f t="shared" si="60"/>
        <v>8.8020833333333326E-2</v>
      </c>
      <c r="O520">
        <v>337</v>
      </c>
      <c r="P520" s="4">
        <f t="shared" si="61"/>
        <v>0.17552083333333335</v>
      </c>
      <c r="Q520" s="6">
        <f t="shared" si="56"/>
        <v>2035</v>
      </c>
      <c r="R520" s="6">
        <f t="shared" si="62"/>
        <v>4</v>
      </c>
      <c r="S520">
        <v>77</v>
      </c>
      <c r="T520">
        <v>27</v>
      </c>
      <c r="U520">
        <v>-12</v>
      </c>
      <c r="V520">
        <v>4</v>
      </c>
      <c r="W520">
        <v>0</v>
      </c>
      <c r="X520">
        <v>-40</v>
      </c>
      <c r="Y520" s="2" t="s">
        <v>312</v>
      </c>
      <c r="Z520">
        <v>45.426282578926099</v>
      </c>
      <c r="AA520">
        <v>8.6426109428872397</v>
      </c>
      <c r="AB520" t="s">
        <v>78</v>
      </c>
      <c r="AC520" t="s">
        <v>81</v>
      </c>
      <c r="AD520" t="s">
        <v>82</v>
      </c>
      <c r="AE520">
        <v>53017</v>
      </c>
      <c r="AF520">
        <v>0</v>
      </c>
      <c r="AG520">
        <v>28404</v>
      </c>
      <c r="AH520">
        <v>601</v>
      </c>
      <c r="AI520">
        <v>18814</v>
      </c>
      <c r="AJ520">
        <v>2916</v>
      </c>
      <c r="AK520">
        <v>2282</v>
      </c>
      <c r="AL520">
        <v>3890</v>
      </c>
      <c r="AM520">
        <v>18819</v>
      </c>
      <c r="AN520">
        <v>97732</v>
      </c>
      <c r="AO520">
        <v>167377</v>
      </c>
      <c r="AP520">
        <v>2</v>
      </c>
      <c r="AQ520">
        <v>0</v>
      </c>
      <c r="AR520">
        <v>4</v>
      </c>
      <c r="AS520">
        <v>10</v>
      </c>
      <c r="AT520">
        <v>2</v>
      </c>
      <c r="AU520">
        <v>15</v>
      </c>
      <c r="AV520">
        <v>0</v>
      </c>
      <c r="AW520">
        <v>1</v>
      </c>
      <c r="AX520">
        <v>1</v>
      </c>
      <c r="AY520">
        <v>0</v>
      </c>
      <c r="AZ520">
        <v>1</v>
      </c>
      <c r="BA520">
        <v>6</v>
      </c>
      <c r="BB520">
        <v>15</v>
      </c>
      <c r="BC520">
        <v>5</v>
      </c>
      <c r="BD520">
        <v>0</v>
      </c>
      <c r="BE520">
        <v>0</v>
      </c>
      <c r="BF520">
        <v>2</v>
      </c>
      <c r="BG520">
        <v>0</v>
      </c>
      <c r="BH520">
        <v>4</v>
      </c>
      <c r="BI520">
        <v>0</v>
      </c>
      <c r="BJ520">
        <v>45.426397199999997</v>
      </c>
      <c r="BK520">
        <v>8.6429290999999999</v>
      </c>
      <c r="BL520">
        <v>100</v>
      </c>
      <c r="BM520" t="s">
        <v>83</v>
      </c>
      <c r="BN520" t="s">
        <v>84</v>
      </c>
      <c r="BO520" t="s">
        <v>85</v>
      </c>
      <c r="BP520" t="s">
        <v>107</v>
      </c>
      <c r="BQ520" t="s">
        <v>203</v>
      </c>
      <c r="BR520" t="s">
        <v>310</v>
      </c>
      <c r="BS520">
        <v>1060490</v>
      </c>
      <c r="BT520">
        <v>0</v>
      </c>
      <c r="BU520">
        <v>568112</v>
      </c>
      <c r="BV520">
        <v>12037</v>
      </c>
      <c r="BW520">
        <v>376346</v>
      </c>
      <c r="BX520">
        <v>58345</v>
      </c>
      <c r="BY520">
        <v>45650</v>
      </c>
      <c r="BZ520">
        <v>1</v>
      </c>
      <c r="CA520" t="s">
        <v>313</v>
      </c>
      <c r="CB520" t="s">
        <v>314</v>
      </c>
      <c r="CC520" s="3">
        <v>46092.557106481479</v>
      </c>
      <c r="CD520" t="s">
        <v>91</v>
      </c>
    </row>
    <row r="521" spans="1:82" ht="16" x14ac:dyDescent="0.2">
      <c r="A521" t="s">
        <v>1203</v>
      </c>
      <c r="B521" t="s">
        <v>493</v>
      </c>
      <c r="C521" t="s">
        <v>494</v>
      </c>
      <c r="D521" t="s">
        <v>78</v>
      </c>
      <c r="E521" t="s">
        <v>495</v>
      </c>
      <c r="F521">
        <v>2</v>
      </c>
      <c r="G521">
        <v>50</v>
      </c>
      <c r="H521" t="str">
        <f t="shared" si="57"/>
        <v>2x50</v>
      </c>
      <c r="I521">
        <v>74</v>
      </c>
      <c r="J521" s="4">
        <f t="shared" si="58"/>
        <v>3.8541666666666669E-2</v>
      </c>
      <c r="K521">
        <v>111</v>
      </c>
      <c r="L521" s="4">
        <f t="shared" si="59"/>
        <v>5.7812499999999996E-2</v>
      </c>
      <c r="M521">
        <v>168</v>
      </c>
      <c r="N521" s="4">
        <f t="shared" si="60"/>
        <v>8.7500000000000008E-2</v>
      </c>
      <c r="O521">
        <v>336</v>
      </c>
      <c r="P521" s="4">
        <f t="shared" si="61"/>
        <v>0.17500000000000002</v>
      </c>
      <c r="Q521" s="6">
        <f t="shared" si="56"/>
        <v>2035</v>
      </c>
      <c r="R521" s="6">
        <f t="shared" si="62"/>
        <v>4</v>
      </c>
      <c r="S521">
        <v>77</v>
      </c>
      <c r="T521">
        <v>18</v>
      </c>
      <c r="U521">
        <v>-13</v>
      </c>
      <c r="V521">
        <v>14</v>
      </c>
      <c r="W521">
        <v>-6</v>
      </c>
      <c r="X521">
        <v>-29</v>
      </c>
      <c r="Y521" s="2" t="s">
        <v>496</v>
      </c>
      <c r="Z521">
        <v>45.149234633140402</v>
      </c>
      <c r="AA521">
        <v>9.9948157797580706</v>
      </c>
      <c r="AB521" t="s">
        <v>78</v>
      </c>
      <c r="AC521" t="s">
        <v>81</v>
      </c>
      <c r="AD521" t="s">
        <v>82</v>
      </c>
      <c r="AE521">
        <v>58738</v>
      </c>
      <c r="AF521">
        <v>0</v>
      </c>
      <c r="AG521">
        <v>0</v>
      </c>
      <c r="AH521">
        <v>26191</v>
      </c>
      <c r="AI521">
        <v>29765</v>
      </c>
      <c r="AJ521">
        <v>2335</v>
      </c>
      <c r="AK521">
        <v>447</v>
      </c>
      <c r="AL521">
        <v>3613</v>
      </c>
      <c r="AM521">
        <v>15098</v>
      </c>
      <c r="AN521">
        <v>73867</v>
      </c>
      <c r="AO521">
        <v>104579</v>
      </c>
      <c r="AP521">
        <v>0</v>
      </c>
      <c r="AQ521">
        <v>0</v>
      </c>
      <c r="AR521">
        <v>5</v>
      </c>
      <c r="AS521">
        <v>29</v>
      </c>
      <c r="AT521">
        <v>3</v>
      </c>
      <c r="AU521">
        <v>16</v>
      </c>
      <c r="AV521">
        <v>1</v>
      </c>
      <c r="AW521">
        <v>2</v>
      </c>
      <c r="AX521">
        <v>0</v>
      </c>
      <c r="AY521">
        <v>0</v>
      </c>
      <c r="AZ521">
        <v>0</v>
      </c>
      <c r="BA521">
        <v>22</v>
      </c>
      <c r="BB521">
        <v>43</v>
      </c>
      <c r="BC521">
        <v>17</v>
      </c>
      <c r="BD521">
        <v>4</v>
      </c>
      <c r="BE521">
        <v>0</v>
      </c>
      <c r="BF521">
        <v>10</v>
      </c>
      <c r="BG521">
        <v>0</v>
      </c>
      <c r="BH521">
        <v>14</v>
      </c>
      <c r="BI521">
        <v>0</v>
      </c>
      <c r="BJ521">
        <v>45.1492</v>
      </c>
      <c r="BK521">
        <v>9.9948399000000006</v>
      </c>
      <c r="BL521">
        <v>100</v>
      </c>
      <c r="BM521" t="s">
        <v>83</v>
      </c>
      <c r="BN521" t="s">
        <v>84</v>
      </c>
      <c r="BO521" t="s">
        <v>85</v>
      </c>
      <c r="BP521" t="s">
        <v>107</v>
      </c>
      <c r="BQ521" t="s">
        <v>108</v>
      </c>
      <c r="BR521" t="s">
        <v>435</v>
      </c>
      <c r="BS521">
        <v>1169738</v>
      </c>
      <c r="BT521">
        <v>0</v>
      </c>
      <c r="BU521">
        <v>0</v>
      </c>
      <c r="BV521">
        <v>523837</v>
      </c>
      <c r="BW521">
        <v>590215</v>
      </c>
      <c r="BX521">
        <v>46712</v>
      </c>
      <c r="BY521">
        <v>8974</v>
      </c>
      <c r="BZ521">
        <v>1</v>
      </c>
      <c r="CA521" t="s">
        <v>497</v>
      </c>
      <c r="CB521" t="s">
        <v>498</v>
      </c>
      <c r="CC521" s="3">
        <v>46092.557106481479</v>
      </c>
      <c r="CD521" t="s">
        <v>91</v>
      </c>
    </row>
    <row r="522" spans="1:82" ht="16" x14ac:dyDescent="0.2">
      <c r="A522" t="s">
        <v>1204</v>
      </c>
      <c r="B522" t="s">
        <v>603</v>
      </c>
      <c r="C522" t="s">
        <v>604</v>
      </c>
      <c r="D522" t="s">
        <v>78</v>
      </c>
      <c r="E522" t="s">
        <v>605</v>
      </c>
      <c r="F522">
        <v>2</v>
      </c>
      <c r="G522">
        <v>50</v>
      </c>
      <c r="H522" t="str">
        <f t="shared" si="57"/>
        <v>2x50</v>
      </c>
      <c r="I522">
        <v>73</v>
      </c>
      <c r="J522" s="4">
        <f t="shared" si="58"/>
        <v>3.802083333333333E-2</v>
      </c>
      <c r="K522">
        <v>111</v>
      </c>
      <c r="L522" s="4">
        <f t="shared" si="59"/>
        <v>5.7812499999999996E-2</v>
      </c>
      <c r="M522">
        <v>168</v>
      </c>
      <c r="N522" s="4">
        <f t="shared" si="60"/>
        <v>8.7500000000000008E-2</v>
      </c>
      <c r="O522">
        <v>336</v>
      </c>
      <c r="P522" s="4">
        <f t="shared" si="61"/>
        <v>0.17500000000000002</v>
      </c>
      <c r="Q522" s="6">
        <f t="shared" si="56"/>
        <v>2035</v>
      </c>
      <c r="R522" s="6">
        <f t="shared" si="62"/>
        <v>4</v>
      </c>
      <c r="S522">
        <v>77</v>
      </c>
      <c r="T522">
        <v>4</v>
      </c>
      <c r="U522">
        <v>4</v>
      </c>
      <c r="V522">
        <v>4</v>
      </c>
      <c r="W522">
        <v>-1</v>
      </c>
      <c r="X522">
        <v>-27</v>
      </c>
      <c r="Y522" s="2" t="s">
        <v>606</v>
      </c>
      <c r="Z522">
        <v>41.803801664339097</v>
      </c>
      <c r="AA522">
        <v>12.6044388625716</v>
      </c>
      <c r="AB522" t="s">
        <v>78</v>
      </c>
      <c r="AC522" t="s">
        <v>81</v>
      </c>
      <c r="AD522" t="s">
        <v>82</v>
      </c>
      <c r="AE522">
        <v>30062</v>
      </c>
      <c r="AF522">
        <v>0</v>
      </c>
      <c r="AG522">
        <v>0</v>
      </c>
      <c r="AH522">
        <v>0</v>
      </c>
      <c r="AI522">
        <v>9940</v>
      </c>
      <c r="AJ522">
        <v>20122</v>
      </c>
      <c r="AK522">
        <v>0</v>
      </c>
      <c r="AL522">
        <v>21399</v>
      </c>
      <c r="AM522">
        <v>50534</v>
      </c>
      <c r="AN522">
        <v>142746</v>
      </c>
      <c r="AO522">
        <v>751416</v>
      </c>
      <c r="AP522">
        <v>5</v>
      </c>
      <c r="AQ522">
        <v>0</v>
      </c>
      <c r="AR522">
        <v>3</v>
      </c>
      <c r="AS522">
        <v>11</v>
      </c>
      <c r="AT522">
        <v>2</v>
      </c>
      <c r="AU522">
        <v>29</v>
      </c>
      <c r="AV522">
        <v>7</v>
      </c>
      <c r="AW522">
        <v>0</v>
      </c>
      <c r="AX522">
        <v>2</v>
      </c>
      <c r="AY522">
        <v>0</v>
      </c>
      <c r="AZ522">
        <v>1</v>
      </c>
      <c r="BA522">
        <v>3</v>
      </c>
      <c r="BB522">
        <v>12</v>
      </c>
      <c r="BC522">
        <v>3</v>
      </c>
      <c r="BD522">
        <v>2</v>
      </c>
      <c r="BE522">
        <v>0</v>
      </c>
      <c r="BF522">
        <v>2</v>
      </c>
      <c r="BG522">
        <v>0</v>
      </c>
      <c r="BH522">
        <v>3</v>
      </c>
      <c r="BI522">
        <v>3</v>
      </c>
      <c r="BJ522">
        <v>41.803869900000002</v>
      </c>
      <c r="BK522">
        <v>12.604340000000001</v>
      </c>
      <c r="BL522">
        <v>100</v>
      </c>
      <c r="BM522" t="s">
        <v>83</v>
      </c>
      <c r="BN522" t="s">
        <v>84</v>
      </c>
      <c r="BO522" t="s">
        <v>85</v>
      </c>
      <c r="BP522" t="s">
        <v>86</v>
      </c>
      <c r="BQ522" t="s">
        <v>87</v>
      </c>
      <c r="BR522" t="s">
        <v>88</v>
      </c>
      <c r="BS522">
        <v>601359</v>
      </c>
      <c r="BT522">
        <v>0</v>
      </c>
      <c r="BU522">
        <v>0</v>
      </c>
      <c r="BV522">
        <v>0</v>
      </c>
      <c r="BW522">
        <v>198814</v>
      </c>
      <c r="BX522">
        <v>402545</v>
      </c>
      <c r="BY522">
        <v>0</v>
      </c>
      <c r="BZ522">
        <v>1</v>
      </c>
      <c r="CA522" t="s">
        <v>607</v>
      </c>
      <c r="CB522" t="s">
        <v>608</v>
      </c>
      <c r="CC522" s="3">
        <v>46092.557106481479</v>
      </c>
      <c r="CD522" t="s">
        <v>91</v>
      </c>
    </row>
    <row r="523" spans="1:82" ht="16" x14ac:dyDescent="0.2">
      <c r="A523" t="s">
        <v>1205</v>
      </c>
      <c r="B523" t="s">
        <v>208</v>
      </c>
      <c r="C523" t="s">
        <v>209</v>
      </c>
      <c r="D523" t="s">
        <v>78</v>
      </c>
      <c r="E523" t="s">
        <v>210</v>
      </c>
      <c r="F523">
        <v>2</v>
      </c>
      <c r="G523">
        <v>50</v>
      </c>
      <c r="H523" t="str">
        <f t="shared" si="57"/>
        <v>2x50</v>
      </c>
      <c r="I523">
        <v>73</v>
      </c>
      <c r="J523" s="4">
        <f t="shared" si="58"/>
        <v>3.802083333333333E-2</v>
      </c>
      <c r="K523">
        <v>110</v>
      </c>
      <c r="L523" s="4">
        <f t="shared" si="59"/>
        <v>5.7291666666666664E-2</v>
      </c>
      <c r="M523">
        <v>166</v>
      </c>
      <c r="N523" s="4">
        <f t="shared" si="60"/>
        <v>8.6458333333333345E-2</v>
      </c>
      <c r="O523">
        <v>332</v>
      </c>
      <c r="P523" s="4">
        <f t="shared" si="61"/>
        <v>0.17291666666666669</v>
      </c>
      <c r="Q523" s="6">
        <f t="shared" si="56"/>
        <v>2035</v>
      </c>
      <c r="R523" s="6">
        <f t="shared" si="62"/>
        <v>4</v>
      </c>
      <c r="S523">
        <v>77</v>
      </c>
      <c r="T523">
        <v>26</v>
      </c>
      <c r="U523">
        <v>0</v>
      </c>
      <c r="V523">
        <v>4</v>
      </c>
      <c r="W523">
        <v>-3</v>
      </c>
      <c r="X523">
        <v>-62</v>
      </c>
      <c r="Y523" s="2" t="s">
        <v>211</v>
      </c>
      <c r="Z523">
        <v>43.850749999999998</v>
      </c>
      <c r="AA523">
        <v>11.166650000000001</v>
      </c>
      <c r="AB523" t="s">
        <v>78</v>
      </c>
      <c r="AC523" t="s">
        <v>81</v>
      </c>
      <c r="AD523" t="s">
        <v>82</v>
      </c>
      <c r="AE523">
        <v>202793</v>
      </c>
      <c r="AF523">
        <v>143010</v>
      </c>
      <c r="AG523">
        <v>0</v>
      </c>
      <c r="AH523">
        <v>23172</v>
      </c>
      <c r="AI523">
        <v>10149</v>
      </c>
      <c r="AJ523">
        <v>16384</v>
      </c>
      <c r="AK523">
        <v>10078</v>
      </c>
      <c r="AL523">
        <v>4216</v>
      </c>
      <c r="AM523">
        <v>19633</v>
      </c>
      <c r="AN523">
        <v>110037</v>
      </c>
      <c r="AO523">
        <v>510772</v>
      </c>
      <c r="AP523">
        <v>0</v>
      </c>
      <c r="AQ523">
        <v>0</v>
      </c>
      <c r="AR523">
        <v>3</v>
      </c>
      <c r="AS523">
        <v>3</v>
      </c>
      <c r="AT523">
        <v>4</v>
      </c>
      <c r="AU523">
        <v>12</v>
      </c>
      <c r="AV523">
        <v>0</v>
      </c>
      <c r="AW523">
        <v>1</v>
      </c>
      <c r="AX523">
        <v>2</v>
      </c>
      <c r="AY523">
        <v>0</v>
      </c>
      <c r="AZ523">
        <v>0</v>
      </c>
      <c r="BA523">
        <v>13</v>
      </c>
      <c r="BB523">
        <v>39</v>
      </c>
      <c r="BC523">
        <v>4</v>
      </c>
      <c r="BD523">
        <v>3</v>
      </c>
      <c r="BE523">
        <v>7</v>
      </c>
      <c r="BF523">
        <v>3</v>
      </c>
      <c r="BG523">
        <v>7</v>
      </c>
      <c r="BH523">
        <v>3</v>
      </c>
      <c r="BI523">
        <v>31</v>
      </c>
      <c r="BJ523">
        <v>43.851007500000001</v>
      </c>
      <c r="BK523">
        <v>11.1665563</v>
      </c>
      <c r="BL523">
        <v>100</v>
      </c>
      <c r="BM523" t="s">
        <v>83</v>
      </c>
      <c r="BN523" t="s">
        <v>84</v>
      </c>
      <c r="BO523" t="s">
        <v>85</v>
      </c>
      <c r="BP523" t="s">
        <v>86</v>
      </c>
      <c r="BQ523" t="s">
        <v>212</v>
      </c>
      <c r="BR523" t="s">
        <v>213</v>
      </c>
      <c r="BS523">
        <v>4725046</v>
      </c>
      <c r="BT523">
        <v>3529231</v>
      </c>
      <c r="BU523">
        <v>0</v>
      </c>
      <c r="BV523">
        <v>463454</v>
      </c>
      <c r="BW523">
        <v>203007</v>
      </c>
      <c r="BX523">
        <v>327741</v>
      </c>
      <c r="BY523">
        <v>201613</v>
      </c>
      <c r="BZ523">
        <v>1</v>
      </c>
      <c r="CA523" t="s">
        <v>214</v>
      </c>
      <c r="CB523" t="s">
        <v>215</v>
      </c>
      <c r="CC523" s="3">
        <v>46092.557106481479</v>
      </c>
      <c r="CD523" t="s">
        <v>91</v>
      </c>
    </row>
    <row r="524" spans="1:82" ht="16" x14ac:dyDescent="0.2">
      <c r="A524" t="s">
        <v>1206</v>
      </c>
      <c r="B524" t="s">
        <v>224</v>
      </c>
      <c r="C524" t="s">
        <v>225</v>
      </c>
      <c r="D524" t="s">
        <v>78</v>
      </c>
      <c r="E524" t="s">
        <v>226</v>
      </c>
      <c r="F524">
        <v>2</v>
      </c>
      <c r="G524">
        <v>50</v>
      </c>
      <c r="H524" t="str">
        <f t="shared" si="57"/>
        <v>2x50</v>
      </c>
      <c r="I524">
        <v>72</v>
      </c>
      <c r="J524" s="4">
        <f t="shared" si="58"/>
        <v>3.7499999999999999E-2</v>
      </c>
      <c r="K524">
        <v>109</v>
      </c>
      <c r="L524" s="4">
        <f t="shared" si="59"/>
        <v>5.6770833333333333E-2</v>
      </c>
      <c r="M524">
        <v>165</v>
      </c>
      <c r="N524" s="4">
        <f t="shared" si="60"/>
        <v>8.59375E-2</v>
      </c>
      <c r="O524">
        <v>329</v>
      </c>
      <c r="P524" s="4">
        <f t="shared" si="61"/>
        <v>0.17135416666666667</v>
      </c>
      <c r="Q524" s="6">
        <f t="shared" si="56"/>
        <v>2035</v>
      </c>
      <c r="R524" s="6">
        <f t="shared" si="62"/>
        <v>4</v>
      </c>
      <c r="S524">
        <v>77</v>
      </c>
      <c r="T524">
        <v>40</v>
      </c>
      <c r="U524">
        <v>-3</v>
      </c>
      <c r="V524">
        <v>-9</v>
      </c>
      <c r="W524">
        <v>-1</v>
      </c>
      <c r="X524">
        <v>-61</v>
      </c>
      <c r="Y524" s="2" t="s">
        <v>227</v>
      </c>
      <c r="Z524">
        <v>45.662832350000002</v>
      </c>
      <c r="AA524">
        <v>9.21713263</v>
      </c>
      <c r="AB524" t="s">
        <v>78</v>
      </c>
      <c r="AC524" t="s">
        <v>81</v>
      </c>
      <c r="AD524" t="s">
        <v>82</v>
      </c>
      <c r="AE524">
        <v>193907</v>
      </c>
      <c r="AF524">
        <v>0</v>
      </c>
      <c r="AG524">
        <v>94890</v>
      </c>
      <c r="AH524">
        <v>0</v>
      </c>
      <c r="AI524">
        <v>13727</v>
      </c>
      <c r="AJ524">
        <v>74667</v>
      </c>
      <c r="AK524">
        <v>10623</v>
      </c>
      <c r="AL524">
        <v>5986</v>
      </c>
      <c r="AM524">
        <v>36455</v>
      </c>
      <c r="AN524">
        <v>211841</v>
      </c>
      <c r="AO524">
        <v>672437</v>
      </c>
      <c r="AP524">
        <v>0</v>
      </c>
      <c r="AQ524">
        <v>0</v>
      </c>
      <c r="AR524">
        <v>2</v>
      </c>
      <c r="AS524">
        <v>5</v>
      </c>
      <c r="AT524">
        <v>0</v>
      </c>
      <c r="AU524">
        <v>4</v>
      </c>
      <c r="AV524">
        <v>2</v>
      </c>
      <c r="AW524">
        <v>0</v>
      </c>
      <c r="AX524">
        <v>0</v>
      </c>
      <c r="AY524">
        <v>0</v>
      </c>
      <c r="AZ524">
        <v>0</v>
      </c>
      <c r="BA524">
        <v>6</v>
      </c>
      <c r="BB524">
        <v>23</v>
      </c>
      <c r="BC524">
        <v>0</v>
      </c>
      <c r="BD524">
        <v>0</v>
      </c>
      <c r="BE524">
        <v>0</v>
      </c>
      <c r="BF524">
        <v>2</v>
      </c>
      <c r="BG524">
        <v>0</v>
      </c>
      <c r="BH524">
        <v>4</v>
      </c>
      <c r="BI524">
        <v>0</v>
      </c>
      <c r="BJ524">
        <v>45.662960699999999</v>
      </c>
      <c r="BK524">
        <v>9.2171444999999999</v>
      </c>
      <c r="BL524">
        <v>100</v>
      </c>
      <c r="BM524" t="s">
        <v>83</v>
      </c>
      <c r="BN524" t="s">
        <v>84</v>
      </c>
      <c r="BO524" t="s">
        <v>85</v>
      </c>
      <c r="BP524" t="s">
        <v>107</v>
      </c>
      <c r="BQ524" t="s">
        <v>108</v>
      </c>
      <c r="BR524" t="s">
        <v>145</v>
      </c>
      <c r="BS524">
        <v>4315928</v>
      </c>
      <c r="BT524">
        <v>0</v>
      </c>
      <c r="BU524">
        <v>2409678</v>
      </c>
      <c r="BV524">
        <v>0</v>
      </c>
      <c r="BW524">
        <v>274542</v>
      </c>
      <c r="BX524">
        <v>1419143</v>
      </c>
      <c r="BY524">
        <v>212565</v>
      </c>
      <c r="BZ524">
        <v>1</v>
      </c>
      <c r="CA524" t="s">
        <v>228</v>
      </c>
      <c r="CB524" t="s">
        <v>229</v>
      </c>
      <c r="CC524" s="3">
        <v>46092.557106481479</v>
      </c>
      <c r="CD524" t="s">
        <v>91</v>
      </c>
    </row>
    <row r="525" spans="1:82" ht="16" x14ac:dyDescent="0.2">
      <c r="A525" t="s">
        <v>1207</v>
      </c>
      <c r="B525" t="s">
        <v>376</v>
      </c>
      <c r="C525" t="s">
        <v>377</v>
      </c>
      <c r="D525" t="s">
        <v>78</v>
      </c>
      <c r="E525" t="s">
        <v>378</v>
      </c>
      <c r="F525">
        <v>2</v>
      </c>
      <c r="G525">
        <v>50</v>
      </c>
      <c r="H525" t="str">
        <f t="shared" si="57"/>
        <v>2x50</v>
      </c>
      <c r="I525">
        <v>72</v>
      </c>
      <c r="J525" s="4">
        <f t="shared" si="58"/>
        <v>3.7499999999999999E-2</v>
      </c>
      <c r="K525">
        <v>108</v>
      </c>
      <c r="L525" s="4">
        <f t="shared" si="59"/>
        <v>5.6250000000000001E-2</v>
      </c>
      <c r="M525">
        <v>164</v>
      </c>
      <c r="N525" s="4">
        <f t="shared" si="60"/>
        <v>8.5416666666666655E-2</v>
      </c>
      <c r="O525">
        <v>328</v>
      </c>
      <c r="P525" s="4">
        <f t="shared" si="61"/>
        <v>0.17083333333333331</v>
      </c>
      <c r="Q525" s="6">
        <f t="shared" si="56"/>
        <v>2035</v>
      </c>
      <c r="R525" s="6">
        <f t="shared" si="62"/>
        <v>4</v>
      </c>
      <c r="S525">
        <v>77</v>
      </c>
      <c r="T525">
        <v>18</v>
      </c>
      <c r="U525">
        <v>2</v>
      </c>
      <c r="V525">
        <v>-3</v>
      </c>
      <c r="W525">
        <v>-2</v>
      </c>
      <c r="X525">
        <v>-37</v>
      </c>
      <c r="Y525" s="2" t="s">
        <v>379</v>
      </c>
      <c r="Z525">
        <v>43.735779999999998</v>
      </c>
      <c r="AA525">
        <v>11.29599</v>
      </c>
      <c r="AB525" t="s">
        <v>78</v>
      </c>
      <c r="AC525" t="s">
        <v>81</v>
      </c>
      <c r="AD525" t="s">
        <v>82</v>
      </c>
      <c r="AE525">
        <v>107998</v>
      </c>
      <c r="AF525">
        <v>47825</v>
      </c>
      <c r="AG525">
        <v>0</v>
      </c>
      <c r="AH525">
        <v>46119</v>
      </c>
      <c r="AI525">
        <v>0</v>
      </c>
      <c r="AJ525">
        <v>14054</v>
      </c>
      <c r="AK525">
        <v>0</v>
      </c>
      <c r="AL525">
        <v>4389</v>
      </c>
      <c r="AM525">
        <v>16210</v>
      </c>
      <c r="AN525">
        <v>126571</v>
      </c>
      <c r="AO525">
        <v>439266</v>
      </c>
      <c r="AP525">
        <v>0</v>
      </c>
      <c r="AQ525">
        <v>1</v>
      </c>
      <c r="AR525">
        <v>3</v>
      </c>
      <c r="AS525">
        <v>10</v>
      </c>
      <c r="AT525">
        <v>2</v>
      </c>
      <c r="AU525">
        <v>24</v>
      </c>
      <c r="AV525">
        <v>1</v>
      </c>
      <c r="AW525">
        <v>0</v>
      </c>
      <c r="AX525">
        <v>0</v>
      </c>
      <c r="AY525">
        <v>2</v>
      </c>
      <c r="AZ525">
        <v>0</v>
      </c>
      <c r="BA525">
        <v>10</v>
      </c>
      <c r="BB525">
        <v>22</v>
      </c>
      <c r="BC525">
        <v>2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4</v>
      </c>
      <c r="BJ525">
        <v>43.735883800000003</v>
      </c>
      <c r="BK525">
        <v>11.296255199999999</v>
      </c>
      <c r="BL525">
        <v>100</v>
      </c>
      <c r="BM525" t="s">
        <v>83</v>
      </c>
      <c r="BN525" t="s">
        <v>84</v>
      </c>
      <c r="BO525" t="s">
        <v>85</v>
      </c>
      <c r="BP525" t="s">
        <v>86</v>
      </c>
      <c r="BQ525" t="s">
        <v>212</v>
      </c>
      <c r="BR525" t="s">
        <v>213</v>
      </c>
      <c r="BS525">
        <v>2542112</v>
      </c>
      <c r="BT525">
        <v>1195645</v>
      </c>
      <c r="BU525">
        <v>0</v>
      </c>
      <c r="BV525">
        <v>1065330</v>
      </c>
      <c r="BW525">
        <v>0</v>
      </c>
      <c r="BX525">
        <v>281137</v>
      </c>
      <c r="BY525">
        <v>0</v>
      </c>
      <c r="BZ525">
        <v>1</v>
      </c>
      <c r="CA525" t="s">
        <v>380</v>
      </c>
      <c r="CB525" t="s">
        <v>381</v>
      </c>
      <c r="CC525" s="3">
        <v>46092.557106481479</v>
      </c>
      <c r="CD525" t="s">
        <v>91</v>
      </c>
    </row>
    <row r="526" spans="1:82" ht="16" x14ac:dyDescent="0.2">
      <c r="A526" t="s">
        <v>1208</v>
      </c>
      <c r="B526" t="s">
        <v>383</v>
      </c>
      <c r="C526" t="s">
        <v>384</v>
      </c>
      <c r="D526" t="s">
        <v>78</v>
      </c>
      <c r="E526" t="s">
        <v>385</v>
      </c>
      <c r="F526">
        <v>2</v>
      </c>
      <c r="G526">
        <v>50</v>
      </c>
      <c r="H526" t="str">
        <f t="shared" si="57"/>
        <v>2x50</v>
      </c>
      <c r="I526">
        <v>71</v>
      </c>
      <c r="J526" s="4">
        <f t="shared" si="58"/>
        <v>3.6979166666666667E-2</v>
      </c>
      <c r="K526">
        <v>108</v>
      </c>
      <c r="L526" s="4">
        <f t="shared" si="59"/>
        <v>5.6250000000000001E-2</v>
      </c>
      <c r="M526">
        <v>163</v>
      </c>
      <c r="N526" s="4">
        <f t="shared" si="60"/>
        <v>8.4895833333333337E-2</v>
      </c>
      <c r="O526">
        <v>326</v>
      </c>
      <c r="P526" s="4">
        <f t="shared" si="61"/>
        <v>0.16979166666666667</v>
      </c>
      <c r="Q526" s="6">
        <f t="shared" si="56"/>
        <v>2035</v>
      </c>
      <c r="R526" s="6">
        <f t="shared" si="62"/>
        <v>4</v>
      </c>
      <c r="S526">
        <v>77</v>
      </c>
      <c r="T526">
        <v>14</v>
      </c>
      <c r="U526">
        <v>-3</v>
      </c>
      <c r="V526">
        <v>4</v>
      </c>
      <c r="W526">
        <v>0</v>
      </c>
      <c r="X526">
        <v>-36</v>
      </c>
      <c r="Y526" s="2" t="s">
        <v>386</v>
      </c>
      <c r="Z526">
        <v>45.542691599016301</v>
      </c>
      <c r="AA526">
        <v>9.0104153595161502</v>
      </c>
      <c r="AB526" t="s">
        <v>78</v>
      </c>
      <c r="AC526" t="s">
        <v>81</v>
      </c>
      <c r="AD526" t="s">
        <v>82</v>
      </c>
      <c r="AE526">
        <v>74194</v>
      </c>
      <c r="AF526">
        <v>0</v>
      </c>
      <c r="AG526">
        <v>0</v>
      </c>
      <c r="AH526">
        <v>28734</v>
      </c>
      <c r="AI526">
        <v>27593</v>
      </c>
      <c r="AJ526">
        <v>17081</v>
      </c>
      <c r="AK526">
        <v>786</v>
      </c>
      <c r="AL526">
        <v>8574</v>
      </c>
      <c r="AM526">
        <v>30058</v>
      </c>
      <c r="AN526">
        <v>144477</v>
      </c>
      <c r="AO526">
        <v>608045</v>
      </c>
      <c r="AP526">
        <v>3</v>
      </c>
      <c r="AQ526">
        <v>0</v>
      </c>
      <c r="AR526">
        <v>2</v>
      </c>
      <c r="AS526">
        <v>18</v>
      </c>
      <c r="AT526">
        <v>5</v>
      </c>
      <c r="AU526">
        <v>29</v>
      </c>
      <c r="AV526">
        <v>1</v>
      </c>
      <c r="AW526">
        <v>0</v>
      </c>
      <c r="AX526">
        <v>2</v>
      </c>
      <c r="AY526">
        <v>0</v>
      </c>
      <c r="AZ526">
        <v>0</v>
      </c>
      <c r="BA526">
        <v>5</v>
      </c>
      <c r="BB526">
        <v>20</v>
      </c>
      <c r="BC526">
        <v>4</v>
      </c>
      <c r="BD526">
        <v>2</v>
      </c>
      <c r="BE526">
        <v>0</v>
      </c>
      <c r="BF526">
        <v>3</v>
      </c>
      <c r="BG526">
        <v>0</v>
      </c>
      <c r="BH526">
        <v>13</v>
      </c>
      <c r="BI526">
        <v>4</v>
      </c>
      <c r="BJ526">
        <v>45.542679300000003</v>
      </c>
      <c r="BK526">
        <v>9.0103826999999992</v>
      </c>
      <c r="BL526">
        <v>100</v>
      </c>
      <c r="BM526" t="s">
        <v>83</v>
      </c>
      <c r="BN526" t="s">
        <v>84</v>
      </c>
      <c r="BO526" t="s">
        <v>85</v>
      </c>
      <c r="BP526" t="s">
        <v>107</v>
      </c>
      <c r="BQ526" t="s">
        <v>108</v>
      </c>
      <c r="BR526" t="s">
        <v>109</v>
      </c>
      <c r="BS526">
        <v>1483989</v>
      </c>
      <c r="BT526">
        <v>0</v>
      </c>
      <c r="BU526">
        <v>0</v>
      </c>
      <c r="BV526">
        <v>574704</v>
      </c>
      <c r="BW526">
        <v>551894</v>
      </c>
      <c r="BX526">
        <v>341668</v>
      </c>
      <c r="BY526">
        <v>15723</v>
      </c>
      <c r="BZ526">
        <v>1</v>
      </c>
      <c r="CA526" t="s">
        <v>387</v>
      </c>
      <c r="CB526" t="s">
        <v>388</v>
      </c>
      <c r="CC526" s="3">
        <v>46092.557106481479</v>
      </c>
      <c r="CD526" t="s">
        <v>91</v>
      </c>
    </row>
    <row r="527" spans="1:82" ht="16" x14ac:dyDescent="0.2">
      <c r="A527" t="s">
        <v>1209</v>
      </c>
      <c r="B527" t="s">
        <v>331</v>
      </c>
      <c r="C527" t="s">
        <v>332</v>
      </c>
      <c r="D527" t="s">
        <v>78</v>
      </c>
      <c r="E527" t="s">
        <v>333</v>
      </c>
      <c r="F527">
        <v>2</v>
      </c>
      <c r="G527">
        <v>50</v>
      </c>
      <c r="H527" t="str">
        <f t="shared" si="57"/>
        <v>2x50</v>
      </c>
      <c r="I527">
        <v>70</v>
      </c>
      <c r="J527" s="4">
        <f t="shared" si="58"/>
        <v>3.6458333333333336E-2</v>
      </c>
      <c r="K527">
        <v>106</v>
      </c>
      <c r="L527" s="4">
        <f t="shared" si="59"/>
        <v>5.5208333333333331E-2</v>
      </c>
      <c r="M527">
        <v>161</v>
      </c>
      <c r="N527" s="4">
        <f t="shared" si="60"/>
        <v>8.3854166666666674E-2</v>
      </c>
      <c r="O527">
        <v>321</v>
      </c>
      <c r="P527" s="4">
        <f t="shared" si="61"/>
        <v>0.16718750000000002</v>
      </c>
      <c r="Q527" s="6">
        <f t="shared" si="56"/>
        <v>2035</v>
      </c>
      <c r="R527" s="6">
        <f t="shared" si="62"/>
        <v>4</v>
      </c>
      <c r="S527">
        <v>77</v>
      </c>
      <c r="T527">
        <v>19</v>
      </c>
      <c r="U527">
        <v>-1</v>
      </c>
      <c r="V527">
        <v>-2</v>
      </c>
      <c r="W527">
        <v>0</v>
      </c>
      <c r="X527">
        <v>-41</v>
      </c>
      <c r="Y527" s="2" t="s">
        <v>334</v>
      </c>
      <c r="Z527">
        <v>39.238190000000003</v>
      </c>
      <c r="AA527">
        <v>9.1237300000000001</v>
      </c>
      <c r="AB527" t="s">
        <v>78</v>
      </c>
      <c r="AC527" t="s">
        <v>81</v>
      </c>
      <c r="AD527" t="s">
        <v>82</v>
      </c>
      <c r="AE527">
        <v>69309</v>
      </c>
      <c r="AF527">
        <v>0</v>
      </c>
      <c r="AG527">
        <v>0</v>
      </c>
      <c r="AH527">
        <v>0</v>
      </c>
      <c r="AI527">
        <v>42701</v>
      </c>
      <c r="AJ527">
        <v>16678</v>
      </c>
      <c r="AK527">
        <v>9930</v>
      </c>
      <c r="AL527">
        <v>19024</v>
      </c>
      <c r="AM527">
        <v>79447</v>
      </c>
      <c r="AN527">
        <v>213403</v>
      </c>
      <c r="AO527">
        <v>318435</v>
      </c>
      <c r="AP527">
        <v>4</v>
      </c>
      <c r="AQ527">
        <v>0</v>
      </c>
      <c r="AR527">
        <v>6</v>
      </c>
      <c r="AS527">
        <v>11</v>
      </c>
      <c r="AT527">
        <v>2</v>
      </c>
      <c r="AU527">
        <v>30</v>
      </c>
      <c r="AV527">
        <v>4</v>
      </c>
      <c r="AW527">
        <v>1</v>
      </c>
      <c r="AX527">
        <v>1</v>
      </c>
      <c r="AY527">
        <v>0</v>
      </c>
      <c r="AZ527">
        <v>1</v>
      </c>
      <c r="BA527">
        <v>6</v>
      </c>
      <c r="BB527">
        <v>22</v>
      </c>
      <c r="BC527">
        <v>3</v>
      </c>
      <c r="BD527">
        <v>3</v>
      </c>
      <c r="BE527">
        <v>0</v>
      </c>
      <c r="BF527">
        <v>3</v>
      </c>
      <c r="BG527">
        <v>0</v>
      </c>
      <c r="BH527">
        <v>9</v>
      </c>
      <c r="BI527">
        <v>0</v>
      </c>
      <c r="BJ527">
        <v>39.238198699999998</v>
      </c>
      <c r="BK527">
        <v>9.1237288999999997</v>
      </c>
      <c r="BL527">
        <v>100</v>
      </c>
      <c r="BM527" t="s">
        <v>83</v>
      </c>
      <c r="BN527" t="s">
        <v>84</v>
      </c>
      <c r="BO527" t="s">
        <v>85</v>
      </c>
      <c r="BP527" t="s">
        <v>242</v>
      </c>
      <c r="BQ527" t="s">
        <v>335</v>
      </c>
      <c r="BR527" t="s">
        <v>332</v>
      </c>
      <c r="BS527">
        <v>1386340</v>
      </c>
      <c r="BT527">
        <v>0</v>
      </c>
      <c r="BU527">
        <v>0</v>
      </c>
      <c r="BV527">
        <v>0</v>
      </c>
      <c r="BW527">
        <v>854069</v>
      </c>
      <c r="BX527">
        <v>333617</v>
      </c>
      <c r="BY527">
        <v>198654</v>
      </c>
      <c r="BZ527">
        <v>1</v>
      </c>
      <c r="CA527" t="s">
        <v>336</v>
      </c>
      <c r="CB527" t="s">
        <v>337</v>
      </c>
      <c r="CC527" s="3">
        <v>46092.557106481479</v>
      </c>
      <c r="CD527" t="s">
        <v>91</v>
      </c>
    </row>
    <row r="528" spans="1:82" ht="16" x14ac:dyDescent="0.2">
      <c r="A528" t="s">
        <v>1210</v>
      </c>
      <c r="B528" t="s">
        <v>301</v>
      </c>
      <c r="C528" t="s">
        <v>302</v>
      </c>
      <c r="D528" t="s">
        <v>78</v>
      </c>
      <c r="E528" t="s">
        <v>303</v>
      </c>
      <c r="F528">
        <v>2</v>
      </c>
      <c r="G528">
        <v>50</v>
      </c>
      <c r="H528" t="str">
        <f t="shared" si="57"/>
        <v>2x50</v>
      </c>
      <c r="I528">
        <v>69</v>
      </c>
      <c r="J528" s="4">
        <f t="shared" si="58"/>
        <v>3.5937500000000004E-2</v>
      </c>
      <c r="K528">
        <v>104</v>
      </c>
      <c r="L528" s="4">
        <f t="shared" si="59"/>
        <v>5.4166666666666669E-2</v>
      </c>
      <c r="M528">
        <v>158</v>
      </c>
      <c r="N528" s="4">
        <f t="shared" si="60"/>
        <v>8.2291666666666666E-2</v>
      </c>
      <c r="O528">
        <v>316</v>
      </c>
      <c r="P528" s="4">
        <f t="shared" si="61"/>
        <v>0.16458333333333333</v>
      </c>
      <c r="Q528" s="6">
        <f t="shared" si="56"/>
        <v>2035</v>
      </c>
      <c r="R528" s="6">
        <f t="shared" si="62"/>
        <v>4</v>
      </c>
      <c r="S528">
        <v>77</v>
      </c>
      <c r="T528">
        <v>21</v>
      </c>
      <c r="U528">
        <v>-9</v>
      </c>
      <c r="V528">
        <v>-2</v>
      </c>
      <c r="W528">
        <v>4</v>
      </c>
      <c r="X528">
        <v>-38</v>
      </c>
      <c r="Y528" s="2" t="s">
        <v>304</v>
      </c>
      <c r="Z528">
        <v>45.721255977942903</v>
      </c>
      <c r="AA528">
        <v>8.6899832509229409</v>
      </c>
      <c r="AB528" t="s">
        <v>78</v>
      </c>
      <c r="AC528" t="s">
        <v>81</v>
      </c>
      <c r="AD528" t="s">
        <v>82</v>
      </c>
      <c r="AE528">
        <v>49341</v>
      </c>
      <c r="AF528">
        <v>0</v>
      </c>
      <c r="AG528">
        <v>39961</v>
      </c>
      <c r="AH528">
        <v>0</v>
      </c>
      <c r="AI528">
        <v>4000</v>
      </c>
      <c r="AJ528">
        <v>5380</v>
      </c>
      <c r="AK528">
        <v>0</v>
      </c>
      <c r="AL528">
        <v>3571</v>
      </c>
      <c r="AM528">
        <v>6126</v>
      </c>
      <c r="AN528">
        <v>44773</v>
      </c>
      <c r="AO528">
        <v>177081</v>
      </c>
      <c r="AP528">
        <v>1</v>
      </c>
      <c r="AQ528">
        <v>1</v>
      </c>
      <c r="AR528">
        <v>2</v>
      </c>
      <c r="AS528">
        <v>7</v>
      </c>
      <c r="AT528">
        <v>0</v>
      </c>
      <c r="AU528">
        <v>13</v>
      </c>
      <c r="AV528">
        <v>6</v>
      </c>
      <c r="AW528">
        <v>4</v>
      </c>
      <c r="AX528">
        <v>0</v>
      </c>
      <c r="AY528">
        <v>0</v>
      </c>
      <c r="AZ528">
        <v>2</v>
      </c>
      <c r="BA528">
        <v>6</v>
      </c>
      <c r="BB528">
        <v>6</v>
      </c>
      <c r="BC528">
        <v>4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45.721320800000001</v>
      </c>
      <c r="BK528">
        <v>8.6899504000000007</v>
      </c>
      <c r="BL528">
        <v>100</v>
      </c>
      <c r="BM528" t="s">
        <v>83</v>
      </c>
      <c r="BN528" t="s">
        <v>84</v>
      </c>
      <c r="BO528" t="s">
        <v>85</v>
      </c>
      <c r="BP528" t="s">
        <v>107</v>
      </c>
      <c r="BQ528" t="s">
        <v>108</v>
      </c>
      <c r="BR528" t="s">
        <v>305</v>
      </c>
      <c r="BS528">
        <v>986867</v>
      </c>
      <c r="BT528">
        <v>0</v>
      </c>
      <c r="BU528">
        <v>799228</v>
      </c>
      <c r="BV528">
        <v>0</v>
      </c>
      <c r="BW528">
        <v>80009</v>
      </c>
      <c r="BX528">
        <v>107630</v>
      </c>
      <c r="BY528">
        <v>0</v>
      </c>
      <c r="BZ528">
        <v>1</v>
      </c>
      <c r="CA528" t="s">
        <v>306</v>
      </c>
      <c r="CB528" t="s">
        <v>307</v>
      </c>
      <c r="CC528" s="3">
        <v>46092.557106481479</v>
      </c>
      <c r="CD528" t="s">
        <v>91</v>
      </c>
    </row>
    <row r="529" spans="1:82" ht="16" x14ac:dyDescent="0.2">
      <c r="A529" t="s">
        <v>1211</v>
      </c>
      <c r="B529" t="s">
        <v>630</v>
      </c>
      <c r="C529" t="s">
        <v>631</v>
      </c>
      <c r="D529" t="s">
        <v>78</v>
      </c>
      <c r="E529" t="s">
        <v>632</v>
      </c>
      <c r="F529">
        <v>2</v>
      </c>
      <c r="G529">
        <v>50</v>
      </c>
      <c r="H529" t="str">
        <f t="shared" si="57"/>
        <v>2x50</v>
      </c>
      <c r="I529">
        <v>67</v>
      </c>
      <c r="J529" s="4">
        <f t="shared" si="58"/>
        <v>3.4895833333333334E-2</v>
      </c>
      <c r="K529">
        <v>101</v>
      </c>
      <c r="L529" s="4">
        <f t="shared" si="59"/>
        <v>5.2604166666666667E-2</v>
      </c>
      <c r="M529">
        <v>153</v>
      </c>
      <c r="N529" s="4">
        <f t="shared" si="60"/>
        <v>7.9687500000000008E-2</v>
      </c>
      <c r="O529">
        <v>306</v>
      </c>
      <c r="P529" s="4">
        <f t="shared" si="61"/>
        <v>0.15937500000000002</v>
      </c>
      <c r="Q529" s="6">
        <f t="shared" si="56"/>
        <v>2035</v>
      </c>
      <c r="R529" s="6">
        <f t="shared" si="62"/>
        <v>4</v>
      </c>
      <c r="S529">
        <v>77</v>
      </c>
      <c r="T529">
        <v>-17</v>
      </c>
      <c r="U529">
        <v>-8</v>
      </c>
      <c r="V529">
        <v>30</v>
      </c>
      <c r="W529">
        <v>1</v>
      </c>
      <c r="X529">
        <v>-28</v>
      </c>
      <c r="Y529" s="2" t="s">
        <v>633</v>
      </c>
      <c r="Z529">
        <v>40.349670000000003</v>
      </c>
      <c r="AA529">
        <v>14.996090000000001</v>
      </c>
      <c r="AB529" t="s">
        <v>78</v>
      </c>
      <c r="AC529" t="s">
        <v>81</v>
      </c>
      <c r="AD529" t="s">
        <v>82</v>
      </c>
      <c r="AE529">
        <v>15371</v>
      </c>
      <c r="AF529">
        <v>0</v>
      </c>
      <c r="AG529">
        <v>0</v>
      </c>
      <c r="AH529">
        <v>0</v>
      </c>
      <c r="AI529">
        <v>7480</v>
      </c>
      <c r="AJ529">
        <v>7891</v>
      </c>
      <c r="AK529">
        <v>0</v>
      </c>
      <c r="AL529">
        <v>9926</v>
      </c>
      <c r="AM529">
        <v>16684</v>
      </c>
      <c r="AN529">
        <v>24610</v>
      </c>
      <c r="AO529">
        <v>45727</v>
      </c>
      <c r="AP529">
        <v>7</v>
      </c>
      <c r="AQ529">
        <v>0</v>
      </c>
      <c r="AR529">
        <v>6</v>
      </c>
      <c r="AS529">
        <v>11</v>
      </c>
      <c r="AT529">
        <v>2</v>
      </c>
      <c r="AU529">
        <v>19</v>
      </c>
      <c r="AV529">
        <v>5</v>
      </c>
      <c r="AW529">
        <v>0</v>
      </c>
      <c r="AX529">
        <v>5</v>
      </c>
      <c r="AY529">
        <v>1</v>
      </c>
      <c r="AZ529">
        <v>2</v>
      </c>
      <c r="BA529">
        <v>2</v>
      </c>
      <c r="BB529">
        <v>4</v>
      </c>
      <c r="BC529">
        <v>2</v>
      </c>
      <c r="BD529">
        <v>0</v>
      </c>
      <c r="BE529">
        <v>0</v>
      </c>
      <c r="BF529">
        <v>0</v>
      </c>
      <c r="BG529">
        <v>0</v>
      </c>
      <c r="BH529">
        <v>2</v>
      </c>
      <c r="BI529">
        <v>0</v>
      </c>
      <c r="BJ529">
        <v>40.349569199999998</v>
      </c>
      <c r="BK529">
        <v>14.9962529</v>
      </c>
      <c r="BL529">
        <v>100</v>
      </c>
      <c r="BM529" t="s">
        <v>83</v>
      </c>
      <c r="BN529" t="s">
        <v>84</v>
      </c>
      <c r="BO529" t="s">
        <v>85</v>
      </c>
      <c r="BP529" t="s">
        <v>97</v>
      </c>
      <c r="BQ529" t="s">
        <v>98</v>
      </c>
      <c r="BR529" t="s">
        <v>634</v>
      </c>
      <c r="BS529">
        <v>307467</v>
      </c>
      <c r="BT529">
        <v>0</v>
      </c>
      <c r="BU529">
        <v>0</v>
      </c>
      <c r="BV529">
        <v>0</v>
      </c>
      <c r="BW529">
        <v>149613</v>
      </c>
      <c r="BX529">
        <v>157854</v>
      </c>
      <c r="BY529">
        <v>0</v>
      </c>
      <c r="BZ529">
        <v>1</v>
      </c>
      <c r="CA529" t="s">
        <v>635</v>
      </c>
      <c r="CB529" t="s">
        <v>636</v>
      </c>
      <c r="CC529" s="3">
        <v>46092.557106481479</v>
      </c>
      <c r="CD529" t="s">
        <v>91</v>
      </c>
    </row>
    <row r="530" spans="1:82" ht="16" x14ac:dyDescent="0.2">
      <c r="A530" t="s">
        <v>1212</v>
      </c>
      <c r="B530" t="s">
        <v>486</v>
      </c>
      <c r="C530" t="s">
        <v>487</v>
      </c>
      <c r="D530" t="s">
        <v>78</v>
      </c>
      <c r="E530" t="s">
        <v>488</v>
      </c>
      <c r="F530">
        <v>2</v>
      </c>
      <c r="G530">
        <v>50</v>
      </c>
      <c r="H530" t="str">
        <f t="shared" si="57"/>
        <v>2x50</v>
      </c>
      <c r="I530">
        <v>67</v>
      </c>
      <c r="J530" s="4">
        <f t="shared" si="58"/>
        <v>3.4895833333333334E-2</v>
      </c>
      <c r="K530">
        <v>101</v>
      </c>
      <c r="L530" s="4">
        <f t="shared" si="59"/>
        <v>5.2604166666666667E-2</v>
      </c>
      <c r="M530">
        <v>153</v>
      </c>
      <c r="N530" s="4">
        <f t="shared" si="60"/>
        <v>7.9687500000000008E-2</v>
      </c>
      <c r="O530">
        <v>305</v>
      </c>
      <c r="P530" s="4">
        <f t="shared" si="61"/>
        <v>0.15885416666666666</v>
      </c>
      <c r="Q530" s="6">
        <f t="shared" si="56"/>
        <v>2035</v>
      </c>
      <c r="R530" s="6">
        <f t="shared" si="62"/>
        <v>4</v>
      </c>
      <c r="S530">
        <v>77</v>
      </c>
      <c r="T530">
        <v>10</v>
      </c>
      <c r="U530">
        <v>-2</v>
      </c>
      <c r="V530">
        <v>4</v>
      </c>
      <c r="W530">
        <v>-4</v>
      </c>
      <c r="X530">
        <v>-33</v>
      </c>
      <c r="Y530" s="2" t="s">
        <v>489</v>
      </c>
      <c r="Z530">
        <v>45.633763480705198</v>
      </c>
      <c r="AA530">
        <v>8.8334207826973206</v>
      </c>
      <c r="AB530" t="s">
        <v>78</v>
      </c>
      <c r="AC530" t="s">
        <v>81</v>
      </c>
      <c r="AD530" t="s">
        <v>82</v>
      </c>
      <c r="AE530">
        <v>122532</v>
      </c>
      <c r="AF530">
        <v>0</v>
      </c>
      <c r="AG530">
        <v>0</v>
      </c>
      <c r="AH530">
        <v>54210</v>
      </c>
      <c r="AI530">
        <v>11128</v>
      </c>
      <c r="AJ530">
        <v>44571</v>
      </c>
      <c r="AK530">
        <v>12623</v>
      </c>
      <c r="AL530">
        <v>7819</v>
      </c>
      <c r="AM530">
        <v>22609</v>
      </c>
      <c r="AN530">
        <v>176153</v>
      </c>
      <c r="AO530">
        <v>469344</v>
      </c>
      <c r="AP530">
        <v>2</v>
      </c>
      <c r="AQ530">
        <v>0</v>
      </c>
      <c r="AR530">
        <v>4</v>
      </c>
      <c r="AS530">
        <v>13</v>
      </c>
      <c r="AT530">
        <v>1</v>
      </c>
      <c r="AU530">
        <v>18</v>
      </c>
      <c r="AV530">
        <v>1</v>
      </c>
      <c r="AW530">
        <v>1</v>
      </c>
      <c r="AX530">
        <v>0</v>
      </c>
      <c r="AY530">
        <v>0</v>
      </c>
      <c r="AZ530">
        <v>0</v>
      </c>
      <c r="BA530">
        <v>14</v>
      </c>
      <c r="BB530">
        <v>30</v>
      </c>
      <c r="BC530">
        <v>14</v>
      </c>
      <c r="BD530">
        <v>2</v>
      </c>
      <c r="BE530">
        <v>0</v>
      </c>
      <c r="BF530">
        <v>2</v>
      </c>
      <c r="BG530">
        <v>0</v>
      </c>
      <c r="BH530">
        <v>12</v>
      </c>
      <c r="BI530">
        <v>0</v>
      </c>
      <c r="BJ530">
        <v>45.633851999999997</v>
      </c>
      <c r="BK530">
        <v>8.8332733999999995</v>
      </c>
      <c r="BL530">
        <v>100</v>
      </c>
      <c r="BM530" t="s">
        <v>83</v>
      </c>
      <c r="BN530" t="s">
        <v>84</v>
      </c>
      <c r="BO530" t="s">
        <v>85</v>
      </c>
      <c r="BP530" t="s">
        <v>107</v>
      </c>
      <c r="BQ530" t="s">
        <v>108</v>
      </c>
      <c r="BR530" t="s">
        <v>305</v>
      </c>
      <c r="BS530">
        <v>2079723</v>
      </c>
      <c r="BT530">
        <v>0</v>
      </c>
      <c r="BU530">
        <v>0</v>
      </c>
      <c r="BV530">
        <v>881330</v>
      </c>
      <c r="BW530">
        <v>222565</v>
      </c>
      <c r="BX530">
        <v>723343</v>
      </c>
      <c r="BY530">
        <v>252485</v>
      </c>
      <c r="BZ530">
        <v>1</v>
      </c>
      <c r="CA530" t="s">
        <v>490</v>
      </c>
      <c r="CB530" t="s">
        <v>491</v>
      </c>
      <c r="CC530" s="3">
        <v>46092.557106481479</v>
      </c>
      <c r="CD530" t="s">
        <v>91</v>
      </c>
    </row>
    <row r="531" spans="1:82" ht="16" x14ac:dyDescent="0.2">
      <c r="A531" t="s">
        <v>1213</v>
      </c>
      <c r="B531" t="s">
        <v>419</v>
      </c>
      <c r="C531" t="s">
        <v>420</v>
      </c>
      <c r="D531" t="s">
        <v>78</v>
      </c>
      <c r="E531" t="s">
        <v>421</v>
      </c>
      <c r="F531">
        <v>2</v>
      </c>
      <c r="G531">
        <v>50</v>
      </c>
      <c r="H531" t="str">
        <f t="shared" si="57"/>
        <v>2x50</v>
      </c>
      <c r="I531">
        <v>67</v>
      </c>
      <c r="J531" s="4">
        <f t="shared" si="58"/>
        <v>3.4895833333333334E-2</v>
      </c>
      <c r="K531">
        <v>101</v>
      </c>
      <c r="L531" s="4">
        <f t="shared" si="59"/>
        <v>5.2604166666666667E-2</v>
      </c>
      <c r="M531">
        <v>153</v>
      </c>
      <c r="N531" s="4">
        <f t="shared" si="60"/>
        <v>7.9687500000000008E-2</v>
      </c>
      <c r="O531">
        <v>305</v>
      </c>
      <c r="P531" s="4">
        <f t="shared" si="61"/>
        <v>0.15885416666666666</v>
      </c>
      <c r="Q531" s="6">
        <f t="shared" si="56"/>
        <v>2035</v>
      </c>
      <c r="R531" s="6">
        <f t="shared" si="62"/>
        <v>4</v>
      </c>
      <c r="S531">
        <v>77</v>
      </c>
      <c r="T531">
        <v>27</v>
      </c>
      <c r="U531">
        <v>-10</v>
      </c>
      <c r="V531">
        <v>-4</v>
      </c>
      <c r="W531">
        <v>-1</v>
      </c>
      <c r="X531">
        <v>-40</v>
      </c>
      <c r="Y531" s="2" t="s">
        <v>422</v>
      </c>
      <c r="Z531">
        <v>43.549980120000001</v>
      </c>
      <c r="AA531">
        <v>11.56096037</v>
      </c>
      <c r="AB531" t="s">
        <v>78</v>
      </c>
      <c r="AC531" t="s">
        <v>81</v>
      </c>
      <c r="AD531" t="s">
        <v>82</v>
      </c>
      <c r="AE531">
        <v>106421</v>
      </c>
      <c r="AF531">
        <v>79216</v>
      </c>
      <c r="AG531">
        <v>0</v>
      </c>
      <c r="AH531">
        <v>0</v>
      </c>
      <c r="AI531">
        <v>15083</v>
      </c>
      <c r="AJ531">
        <v>10099</v>
      </c>
      <c r="AK531">
        <v>2023</v>
      </c>
      <c r="AL531">
        <v>1277</v>
      </c>
      <c r="AM531">
        <v>8549</v>
      </c>
      <c r="AN531">
        <v>46015</v>
      </c>
      <c r="AO531">
        <v>83632</v>
      </c>
      <c r="AP531">
        <v>2</v>
      </c>
      <c r="AQ531">
        <v>0</v>
      </c>
      <c r="AR531">
        <v>6</v>
      </c>
      <c r="AS531">
        <v>4</v>
      </c>
      <c r="AT531">
        <v>2</v>
      </c>
      <c r="AU531">
        <v>21</v>
      </c>
      <c r="AV531">
        <v>2</v>
      </c>
      <c r="AW531">
        <v>0</v>
      </c>
      <c r="AX531">
        <v>1</v>
      </c>
      <c r="AY531">
        <v>0</v>
      </c>
      <c r="AZ531">
        <v>0</v>
      </c>
      <c r="BA531">
        <v>6</v>
      </c>
      <c r="BB531">
        <v>21</v>
      </c>
      <c r="BC531">
        <v>4</v>
      </c>
      <c r="BD531">
        <v>4</v>
      </c>
      <c r="BE531">
        <v>0</v>
      </c>
      <c r="BF531">
        <v>4</v>
      </c>
      <c r="BG531">
        <v>0</v>
      </c>
      <c r="BH531">
        <v>6</v>
      </c>
      <c r="BI531">
        <v>0</v>
      </c>
      <c r="BJ531">
        <v>43.549951</v>
      </c>
      <c r="BK531">
        <v>11.560915</v>
      </c>
      <c r="BL531">
        <v>100</v>
      </c>
      <c r="BM531" t="s">
        <v>83</v>
      </c>
      <c r="BN531" t="s">
        <v>84</v>
      </c>
      <c r="BO531" t="s">
        <v>85</v>
      </c>
      <c r="BP531" t="s">
        <v>86</v>
      </c>
      <c r="BQ531" t="s">
        <v>212</v>
      </c>
      <c r="BR531" t="s">
        <v>423</v>
      </c>
      <c r="BS531">
        <v>2524220</v>
      </c>
      <c r="BT531">
        <v>2018247</v>
      </c>
      <c r="BU531">
        <v>0</v>
      </c>
      <c r="BV531">
        <v>0</v>
      </c>
      <c r="BW531">
        <v>301694</v>
      </c>
      <c r="BX531">
        <v>163813</v>
      </c>
      <c r="BY531">
        <v>40466</v>
      </c>
      <c r="BZ531">
        <v>1</v>
      </c>
      <c r="CA531" t="s">
        <v>424</v>
      </c>
      <c r="CB531" t="s">
        <v>425</v>
      </c>
      <c r="CC531" s="3">
        <v>46092.557106481479</v>
      </c>
      <c r="CD531" t="s">
        <v>91</v>
      </c>
    </row>
    <row r="532" spans="1:82" ht="16" x14ac:dyDescent="0.2">
      <c r="A532" t="s">
        <v>1214</v>
      </c>
      <c r="B532" t="s">
        <v>538</v>
      </c>
      <c r="C532" t="s">
        <v>539</v>
      </c>
      <c r="D532" t="s">
        <v>78</v>
      </c>
      <c r="E532" t="s">
        <v>540</v>
      </c>
      <c r="F532">
        <v>2</v>
      </c>
      <c r="G532">
        <v>50</v>
      </c>
      <c r="H532" t="str">
        <f t="shared" si="57"/>
        <v>2x50</v>
      </c>
      <c r="I532">
        <v>65</v>
      </c>
      <c r="J532" s="4">
        <f t="shared" si="58"/>
        <v>3.3854166666666664E-2</v>
      </c>
      <c r="K532">
        <v>98</v>
      </c>
      <c r="L532" s="4">
        <f t="shared" si="59"/>
        <v>5.1041666666666673E-2</v>
      </c>
      <c r="M532">
        <v>149</v>
      </c>
      <c r="N532" s="4">
        <f t="shared" si="60"/>
        <v>7.7604166666666669E-2</v>
      </c>
      <c r="O532">
        <v>298</v>
      </c>
      <c r="P532" s="4">
        <f t="shared" si="61"/>
        <v>0.15520833333333334</v>
      </c>
      <c r="Q532" s="6">
        <f t="shared" si="56"/>
        <v>2035</v>
      </c>
      <c r="R532" s="6">
        <f t="shared" si="62"/>
        <v>4</v>
      </c>
      <c r="S532">
        <v>77</v>
      </c>
      <c r="T532">
        <v>18</v>
      </c>
      <c r="U532">
        <v>-11</v>
      </c>
      <c r="V532">
        <v>1</v>
      </c>
      <c r="W532">
        <v>-3</v>
      </c>
      <c r="X532">
        <v>-32</v>
      </c>
      <c r="Y532" s="2" t="s">
        <v>541</v>
      </c>
      <c r="Z532">
        <v>45.302909378343401</v>
      </c>
      <c r="AA532">
        <v>9.4870821374283292</v>
      </c>
      <c r="AB532" t="s">
        <v>78</v>
      </c>
      <c r="AC532" t="s">
        <v>81</v>
      </c>
      <c r="AD532" t="s">
        <v>82</v>
      </c>
      <c r="AE532">
        <v>74116</v>
      </c>
      <c r="AF532">
        <v>0</v>
      </c>
      <c r="AG532">
        <v>0</v>
      </c>
      <c r="AH532">
        <v>24689</v>
      </c>
      <c r="AI532">
        <v>18084</v>
      </c>
      <c r="AJ532">
        <v>26146</v>
      </c>
      <c r="AK532">
        <v>5197</v>
      </c>
      <c r="AL532">
        <v>10334</v>
      </c>
      <c r="AM532">
        <v>29571</v>
      </c>
      <c r="AN532">
        <v>60127</v>
      </c>
      <c r="AO532">
        <v>120363</v>
      </c>
      <c r="AP532">
        <v>2</v>
      </c>
      <c r="AQ532">
        <v>1</v>
      </c>
      <c r="AR532">
        <v>4</v>
      </c>
      <c r="AS532">
        <v>5</v>
      </c>
      <c r="AT532">
        <v>0</v>
      </c>
      <c r="AU532">
        <v>10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2</v>
      </c>
      <c r="BB532">
        <v>15</v>
      </c>
      <c r="BC532">
        <v>2</v>
      </c>
      <c r="BD532">
        <v>4</v>
      </c>
      <c r="BE532">
        <v>0</v>
      </c>
      <c r="BF532">
        <v>4</v>
      </c>
      <c r="BG532">
        <v>0</v>
      </c>
      <c r="BH532">
        <v>6</v>
      </c>
      <c r="BI532">
        <v>0</v>
      </c>
      <c r="BJ532">
        <v>45.3029443</v>
      </c>
      <c r="BK532">
        <v>9.4871209000000007</v>
      </c>
      <c r="BL532">
        <v>100</v>
      </c>
      <c r="BM532" t="s">
        <v>83</v>
      </c>
      <c r="BN532" t="s">
        <v>84</v>
      </c>
      <c r="BO532" t="s">
        <v>85</v>
      </c>
      <c r="BP532" t="s">
        <v>107</v>
      </c>
      <c r="BQ532" t="s">
        <v>108</v>
      </c>
      <c r="BR532" t="s">
        <v>539</v>
      </c>
      <c r="BS532">
        <v>1482451</v>
      </c>
      <c r="BT532">
        <v>0</v>
      </c>
      <c r="BU532">
        <v>0</v>
      </c>
      <c r="BV532">
        <v>493794</v>
      </c>
      <c r="BW532">
        <v>361692</v>
      </c>
      <c r="BX532">
        <v>523002</v>
      </c>
      <c r="BY532">
        <v>103963</v>
      </c>
      <c r="BZ532">
        <v>1</v>
      </c>
      <c r="CA532" t="s">
        <v>542</v>
      </c>
      <c r="CB532" t="s">
        <v>543</v>
      </c>
      <c r="CC532" s="3">
        <v>46092.557106481479</v>
      </c>
      <c r="CD532" t="s">
        <v>91</v>
      </c>
    </row>
    <row r="533" spans="1:82" ht="16" x14ac:dyDescent="0.2">
      <c r="A533" t="s">
        <v>1215</v>
      </c>
      <c r="B533" t="s">
        <v>479</v>
      </c>
      <c r="C533" t="s">
        <v>480</v>
      </c>
      <c r="D533" t="s">
        <v>78</v>
      </c>
      <c r="E533" t="s">
        <v>481</v>
      </c>
      <c r="F533">
        <v>2</v>
      </c>
      <c r="G533">
        <v>50</v>
      </c>
      <c r="H533" t="str">
        <f t="shared" si="57"/>
        <v>2x50</v>
      </c>
      <c r="I533">
        <v>65</v>
      </c>
      <c r="J533" s="4">
        <f t="shared" si="58"/>
        <v>3.3854166666666664E-2</v>
      </c>
      <c r="K533">
        <v>98</v>
      </c>
      <c r="L533" s="4">
        <f t="shared" si="59"/>
        <v>5.1041666666666673E-2</v>
      </c>
      <c r="M533">
        <v>149</v>
      </c>
      <c r="N533" s="4">
        <f t="shared" si="60"/>
        <v>7.7604166666666669E-2</v>
      </c>
      <c r="O533">
        <v>296</v>
      </c>
      <c r="P533" s="4">
        <f t="shared" si="61"/>
        <v>0.15416666666666667</v>
      </c>
      <c r="Q533" s="6">
        <f t="shared" si="56"/>
        <v>2035</v>
      </c>
      <c r="R533" s="6">
        <f t="shared" si="62"/>
        <v>4</v>
      </c>
      <c r="S533">
        <v>77</v>
      </c>
      <c r="T533">
        <v>4</v>
      </c>
      <c r="U533">
        <v>0</v>
      </c>
      <c r="V533">
        <v>1</v>
      </c>
      <c r="W533">
        <v>1</v>
      </c>
      <c r="X533">
        <v>-34</v>
      </c>
      <c r="Y533" s="2" t="s">
        <v>482</v>
      </c>
      <c r="Z533">
        <v>45.482546900000003</v>
      </c>
      <c r="AA533">
        <v>8.9633058000000005</v>
      </c>
      <c r="AB533" t="s">
        <v>78</v>
      </c>
      <c r="AC533" t="s">
        <v>81</v>
      </c>
      <c r="AD533" t="s">
        <v>82</v>
      </c>
      <c r="AE533">
        <v>60635</v>
      </c>
      <c r="AF533">
        <v>0</v>
      </c>
      <c r="AG533">
        <v>0</v>
      </c>
      <c r="AH533">
        <v>17172</v>
      </c>
      <c r="AI533">
        <v>10053</v>
      </c>
      <c r="AJ533">
        <v>22381</v>
      </c>
      <c r="AK533">
        <v>11029</v>
      </c>
      <c r="AL533">
        <v>8239</v>
      </c>
      <c r="AM533">
        <v>22409</v>
      </c>
      <c r="AN533">
        <v>94841</v>
      </c>
      <c r="AO533">
        <v>386818</v>
      </c>
      <c r="AP533">
        <v>0</v>
      </c>
      <c r="AQ533">
        <v>0</v>
      </c>
      <c r="AR533">
        <v>2</v>
      </c>
      <c r="AS533">
        <v>2</v>
      </c>
      <c r="AT533">
        <v>0</v>
      </c>
      <c r="AU533">
        <v>9</v>
      </c>
      <c r="AV533">
        <v>0</v>
      </c>
      <c r="AW533">
        <v>0</v>
      </c>
      <c r="AX533">
        <v>1</v>
      </c>
      <c r="AY533">
        <v>1</v>
      </c>
      <c r="AZ533">
        <v>0</v>
      </c>
      <c r="BA533">
        <v>20</v>
      </c>
      <c r="BB533">
        <v>33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2</v>
      </c>
      <c r="BI533">
        <v>0</v>
      </c>
      <c r="BJ533">
        <v>45.482489899999997</v>
      </c>
      <c r="BK533">
        <v>8.9632699999999996</v>
      </c>
      <c r="BL533">
        <v>100</v>
      </c>
      <c r="BM533" t="s">
        <v>83</v>
      </c>
      <c r="BN533" t="s">
        <v>84</v>
      </c>
      <c r="BO533" t="s">
        <v>85</v>
      </c>
      <c r="BP533" t="s">
        <v>107</v>
      </c>
      <c r="BQ533" t="s">
        <v>108</v>
      </c>
      <c r="BR533" t="s">
        <v>109</v>
      </c>
      <c r="BS533">
        <v>1127254</v>
      </c>
      <c r="BT533">
        <v>0</v>
      </c>
      <c r="BU533">
        <v>0</v>
      </c>
      <c r="BV533">
        <v>343459</v>
      </c>
      <c r="BW533">
        <v>201064</v>
      </c>
      <c r="BX533">
        <v>362151</v>
      </c>
      <c r="BY533">
        <v>220580</v>
      </c>
      <c r="BZ533">
        <v>1</v>
      </c>
      <c r="CA533" t="s">
        <v>483</v>
      </c>
      <c r="CB533" t="s">
        <v>484</v>
      </c>
      <c r="CC533" s="3">
        <v>46092.557106481479</v>
      </c>
      <c r="CD533" t="s">
        <v>91</v>
      </c>
    </row>
    <row r="534" spans="1:82" ht="16" x14ac:dyDescent="0.2">
      <c r="A534" t="s">
        <v>1216</v>
      </c>
      <c r="B534" t="s">
        <v>472</v>
      </c>
      <c r="C534" t="s">
        <v>473</v>
      </c>
      <c r="D534" t="s">
        <v>78</v>
      </c>
      <c r="E534" t="s">
        <v>474</v>
      </c>
      <c r="F534">
        <v>2</v>
      </c>
      <c r="G534">
        <v>50</v>
      </c>
      <c r="H534" t="str">
        <f t="shared" si="57"/>
        <v>2x50</v>
      </c>
      <c r="I534">
        <v>64</v>
      </c>
      <c r="J534" s="4">
        <f t="shared" si="58"/>
        <v>3.3333333333333333E-2</v>
      </c>
      <c r="K534">
        <v>97</v>
      </c>
      <c r="L534" s="4">
        <f t="shared" si="59"/>
        <v>5.0520833333333327E-2</v>
      </c>
      <c r="M534">
        <v>146</v>
      </c>
      <c r="N534" s="4">
        <f t="shared" si="60"/>
        <v>7.604166666666666E-2</v>
      </c>
      <c r="O534">
        <v>292</v>
      </c>
      <c r="P534" s="4">
        <f t="shared" si="61"/>
        <v>0.15208333333333332</v>
      </c>
      <c r="Q534" s="6">
        <f t="shared" si="56"/>
        <v>2035</v>
      </c>
      <c r="R534" s="6">
        <f t="shared" si="62"/>
        <v>4</v>
      </c>
      <c r="S534">
        <v>77</v>
      </c>
      <c r="T534">
        <v>3</v>
      </c>
      <c r="U534">
        <v>-10</v>
      </c>
      <c r="V534">
        <v>9</v>
      </c>
      <c r="W534">
        <v>4</v>
      </c>
      <c r="X534">
        <v>-33</v>
      </c>
      <c r="Y534" s="2" t="s">
        <v>475</v>
      </c>
      <c r="Z534">
        <v>45.326529999999998</v>
      </c>
      <c r="AA534">
        <v>9.1355400000000007</v>
      </c>
      <c r="AB534" t="s">
        <v>78</v>
      </c>
      <c r="AC534" t="s">
        <v>81</v>
      </c>
      <c r="AD534" t="s">
        <v>82</v>
      </c>
      <c r="AE534">
        <v>58690</v>
      </c>
      <c r="AF534">
        <v>0</v>
      </c>
      <c r="AG534">
        <v>0</v>
      </c>
      <c r="AH534">
        <v>45539</v>
      </c>
      <c r="AI534">
        <v>0</v>
      </c>
      <c r="AJ534">
        <v>13151</v>
      </c>
      <c r="AK534">
        <v>0</v>
      </c>
      <c r="AL534">
        <v>5432</v>
      </c>
      <c r="AM534">
        <v>8434</v>
      </c>
      <c r="AN534">
        <v>43328</v>
      </c>
      <c r="AO534">
        <v>205129</v>
      </c>
      <c r="AP534">
        <v>0</v>
      </c>
      <c r="AQ534">
        <v>0</v>
      </c>
      <c r="AR534">
        <v>4</v>
      </c>
      <c r="AS534">
        <v>4</v>
      </c>
      <c r="AT534">
        <v>4</v>
      </c>
      <c r="AU534">
        <v>7</v>
      </c>
      <c r="AV534">
        <v>9</v>
      </c>
      <c r="AW534">
        <v>1</v>
      </c>
      <c r="AX534">
        <v>2</v>
      </c>
      <c r="AY534">
        <v>0</v>
      </c>
      <c r="AZ534">
        <v>1</v>
      </c>
      <c r="BA534">
        <v>3</v>
      </c>
      <c r="BB534">
        <v>3</v>
      </c>
      <c r="BC534">
        <v>0</v>
      </c>
      <c r="BD534">
        <v>2</v>
      </c>
      <c r="BE534">
        <v>0</v>
      </c>
      <c r="BF534">
        <v>2</v>
      </c>
      <c r="BG534">
        <v>0</v>
      </c>
      <c r="BH534">
        <v>2</v>
      </c>
      <c r="BI534">
        <v>0</v>
      </c>
      <c r="BJ534">
        <v>45.326535499999999</v>
      </c>
      <c r="BK534">
        <v>9.1357391999999997</v>
      </c>
      <c r="BL534">
        <v>100</v>
      </c>
      <c r="BM534" t="s">
        <v>83</v>
      </c>
      <c r="BN534" t="s">
        <v>84</v>
      </c>
      <c r="BO534" t="s">
        <v>85</v>
      </c>
      <c r="BP534" t="s">
        <v>107</v>
      </c>
      <c r="BQ534" t="s">
        <v>108</v>
      </c>
      <c r="BR534" t="s">
        <v>109</v>
      </c>
      <c r="BS534">
        <v>1173885</v>
      </c>
      <c r="BT534">
        <v>0</v>
      </c>
      <c r="BU534">
        <v>0</v>
      </c>
      <c r="BV534">
        <v>910822</v>
      </c>
      <c r="BW534">
        <v>0</v>
      </c>
      <c r="BX534">
        <v>263063</v>
      </c>
      <c r="BY534">
        <v>0</v>
      </c>
      <c r="BZ534">
        <v>1</v>
      </c>
      <c r="CA534" t="s">
        <v>476</v>
      </c>
      <c r="CB534" t="s">
        <v>477</v>
      </c>
      <c r="CC534" s="3">
        <v>46092.557106481479</v>
      </c>
      <c r="CD534" t="s">
        <v>91</v>
      </c>
    </row>
    <row r="535" spans="1:82" ht="16" x14ac:dyDescent="0.2">
      <c r="A535" t="s">
        <v>1217</v>
      </c>
      <c r="B535" t="s">
        <v>531</v>
      </c>
      <c r="C535" t="s">
        <v>532</v>
      </c>
      <c r="D535" t="s">
        <v>78</v>
      </c>
      <c r="E535" t="s">
        <v>533</v>
      </c>
      <c r="F535">
        <v>2</v>
      </c>
      <c r="G535">
        <v>50</v>
      </c>
      <c r="H535" t="str">
        <f t="shared" si="57"/>
        <v>2x50</v>
      </c>
      <c r="I535">
        <v>63</v>
      </c>
      <c r="J535" s="4">
        <f t="shared" si="58"/>
        <v>3.2812500000000001E-2</v>
      </c>
      <c r="K535">
        <v>95</v>
      </c>
      <c r="L535" s="4">
        <f t="shared" si="59"/>
        <v>4.9479166666666664E-2</v>
      </c>
      <c r="M535">
        <v>144</v>
      </c>
      <c r="N535" s="4">
        <f t="shared" si="60"/>
        <v>7.4999999999999997E-2</v>
      </c>
      <c r="O535">
        <v>287</v>
      </c>
      <c r="P535" s="4">
        <f t="shared" si="61"/>
        <v>0.14947916666666666</v>
      </c>
      <c r="Q535" s="6">
        <f t="shared" si="56"/>
        <v>2035</v>
      </c>
      <c r="R535" s="6">
        <f t="shared" si="62"/>
        <v>4</v>
      </c>
      <c r="S535">
        <v>77</v>
      </c>
      <c r="T535">
        <v>5</v>
      </c>
      <c r="U535">
        <v>-2</v>
      </c>
      <c r="V535">
        <v>3</v>
      </c>
      <c r="W535">
        <v>-3</v>
      </c>
      <c r="X535">
        <v>-31</v>
      </c>
      <c r="Y535" s="2" t="s">
        <v>534</v>
      </c>
      <c r="Z535">
        <v>45.590515099999998</v>
      </c>
      <c r="AA535">
        <v>9.0504111999999992</v>
      </c>
      <c r="AB535" t="s">
        <v>78</v>
      </c>
      <c r="AC535" t="s">
        <v>81</v>
      </c>
      <c r="AD535" t="s">
        <v>82</v>
      </c>
      <c r="AE535">
        <v>44775</v>
      </c>
      <c r="AF535">
        <v>0</v>
      </c>
      <c r="AG535">
        <v>0</v>
      </c>
      <c r="AH535">
        <v>16158</v>
      </c>
      <c r="AI535">
        <v>0</v>
      </c>
      <c r="AJ535">
        <v>21245</v>
      </c>
      <c r="AK535">
        <v>7372</v>
      </c>
      <c r="AL535">
        <v>9548</v>
      </c>
      <c r="AM535">
        <v>31791</v>
      </c>
      <c r="AN535">
        <v>157161</v>
      </c>
      <c r="AO535">
        <v>675690</v>
      </c>
      <c r="AP535">
        <v>0</v>
      </c>
      <c r="AQ535">
        <v>1</v>
      </c>
      <c r="AR535">
        <v>4</v>
      </c>
      <c r="AS535">
        <v>11</v>
      </c>
      <c r="AT535">
        <v>0</v>
      </c>
      <c r="AU535">
        <v>19</v>
      </c>
      <c r="AV535">
        <v>3</v>
      </c>
      <c r="AW535">
        <v>0</v>
      </c>
      <c r="AX535">
        <v>0</v>
      </c>
      <c r="AY535">
        <v>0</v>
      </c>
      <c r="AZ535">
        <v>0</v>
      </c>
      <c r="BA535">
        <v>7</v>
      </c>
      <c r="BB535">
        <v>18</v>
      </c>
      <c r="BC535">
        <v>4</v>
      </c>
      <c r="BD535">
        <v>2</v>
      </c>
      <c r="BE535">
        <v>0</v>
      </c>
      <c r="BF535">
        <v>4</v>
      </c>
      <c r="BG535">
        <v>0</v>
      </c>
      <c r="BH535">
        <v>10</v>
      </c>
      <c r="BI535">
        <v>0</v>
      </c>
      <c r="BJ535">
        <v>45.590637800000003</v>
      </c>
      <c r="BK535">
        <v>9.0503678999999995</v>
      </c>
      <c r="BL535">
        <v>100</v>
      </c>
      <c r="BM535" t="s">
        <v>83</v>
      </c>
      <c r="BN535" t="s">
        <v>84</v>
      </c>
      <c r="BO535" t="s">
        <v>85</v>
      </c>
      <c r="BP535" t="s">
        <v>107</v>
      </c>
      <c r="BQ535" t="s">
        <v>108</v>
      </c>
      <c r="BR535" t="s">
        <v>305</v>
      </c>
      <c r="BS535">
        <v>895644</v>
      </c>
      <c r="BT535">
        <v>0</v>
      </c>
      <c r="BU535">
        <v>0</v>
      </c>
      <c r="BV535">
        <v>323192</v>
      </c>
      <c r="BW535">
        <v>0</v>
      </c>
      <c r="BX535">
        <v>424962</v>
      </c>
      <c r="BY535">
        <v>147490</v>
      </c>
      <c r="BZ535">
        <v>1</v>
      </c>
      <c r="CA535" t="s">
        <v>535</v>
      </c>
      <c r="CB535" t="s">
        <v>536</v>
      </c>
      <c r="CC535" s="3">
        <v>46092.557106481479</v>
      </c>
      <c r="CD535" t="s">
        <v>91</v>
      </c>
    </row>
    <row r="536" spans="1:82" ht="16" x14ac:dyDescent="0.2">
      <c r="A536" t="s">
        <v>1218</v>
      </c>
      <c r="B536" t="s">
        <v>515</v>
      </c>
      <c r="C536" t="s">
        <v>516</v>
      </c>
      <c r="D536" t="s">
        <v>78</v>
      </c>
      <c r="E536" t="s">
        <v>517</v>
      </c>
      <c r="F536">
        <v>2</v>
      </c>
      <c r="G536">
        <v>50</v>
      </c>
      <c r="H536" t="str">
        <f t="shared" si="57"/>
        <v>2x50</v>
      </c>
      <c r="I536">
        <v>63</v>
      </c>
      <c r="J536" s="4">
        <f t="shared" si="58"/>
        <v>3.2812500000000001E-2</v>
      </c>
      <c r="K536">
        <v>95</v>
      </c>
      <c r="L536" s="4">
        <f t="shared" si="59"/>
        <v>4.9479166666666664E-2</v>
      </c>
      <c r="M536">
        <v>144</v>
      </c>
      <c r="N536" s="4">
        <f t="shared" si="60"/>
        <v>7.4999999999999997E-2</v>
      </c>
      <c r="O536">
        <v>286</v>
      </c>
      <c r="P536" s="4">
        <f t="shared" si="61"/>
        <v>0.14895833333333333</v>
      </c>
      <c r="Q536" s="6">
        <f t="shared" si="56"/>
        <v>2035</v>
      </c>
      <c r="R536" s="6">
        <f t="shared" si="62"/>
        <v>4</v>
      </c>
      <c r="S536">
        <v>77</v>
      </c>
      <c r="T536">
        <v>11</v>
      </c>
      <c r="U536">
        <v>-10</v>
      </c>
      <c r="V536">
        <v>1</v>
      </c>
      <c r="W536">
        <v>1</v>
      </c>
      <c r="X536">
        <v>-31</v>
      </c>
      <c r="Y536" s="2" t="s">
        <v>518</v>
      </c>
      <c r="Z536">
        <v>45.64284</v>
      </c>
      <c r="AA536">
        <v>11.77336</v>
      </c>
      <c r="AB536" t="s">
        <v>78</v>
      </c>
      <c r="AC536" t="s">
        <v>81</v>
      </c>
      <c r="AD536" t="s">
        <v>82</v>
      </c>
      <c r="AE536">
        <v>67358</v>
      </c>
      <c r="AF536">
        <v>0</v>
      </c>
      <c r="AG536">
        <v>20549</v>
      </c>
      <c r="AH536">
        <v>26964</v>
      </c>
      <c r="AI536">
        <v>0</v>
      </c>
      <c r="AJ536">
        <v>19845</v>
      </c>
      <c r="AK536">
        <v>0</v>
      </c>
      <c r="AL536">
        <v>3841</v>
      </c>
      <c r="AM536">
        <v>11982</v>
      </c>
      <c r="AN536">
        <v>44200</v>
      </c>
      <c r="AO536">
        <v>139715</v>
      </c>
      <c r="AP536">
        <v>0</v>
      </c>
      <c r="AQ536">
        <v>1</v>
      </c>
      <c r="AR536">
        <v>4</v>
      </c>
      <c r="AS536">
        <v>6</v>
      </c>
      <c r="AT536">
        <v>1</v>
      </c>
      <c r="AU536">
        <v>10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4</v>
      </c>
      <c r="BB536">
        <v>16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45.642820700000001</v>
      </c>
      <c r="BK536">
        <v>11.773377200000001</v>
      </c>
      <c r="BL536">
        <v>100</v>
      </c>
      <c r="BM536" t="s">
        <v>83</v>
      </c>
      <c r="BN536" t="s">
        <v>84</v>
      </c>
      <c r="BO536" t="s">
        <v>85</v>
      </c>
      <c r="BP536" t="s">
        <v>160</v>
      </c>
      <c r="BQ536" t="s">
        <v>161</v>
      </c>
      <c r="BR536" t="s">
        <v>519</v>
      </c>
      <c r="BS536">
        <v>1347317</v>
      </c>
      <c r="BT536">
        <v>0</v>
      </c>
      <c r="BU536">
        <v>410998</v>
      </c>
      <c r="BV536">
        <v>539321</v>
      </c>
      <c r="BW536">
        <v>0</v>
      </c>
      <c r="BX536">
        <v>396998</v>
      </c>
      <c r="BY536">
        <v>0</v>
      </c>
      <c r="BZ536">
        <v>1</v>
      </c>
      <c r="CA536" t="s">
        <v>520</v>
      </c>
      <c r="CB536" t="s">
        <v>521</v>
      </c>
      <c r="CC536" s="3">
        <v>46092.557106481479</v>
      </c>
      <c r="CD536" t="s">
        <v>91</v>
      </c>
    </row>
    <row r="537" spans="1:82" ht="16" x14ac:dyDescent="0.2">
      <c r="A537" t="s">
        <v>1219</v>
      </c>
      <c r="B537" t="s">
        <v>620</v>
      </c>
      <c r="C537" t="s">
        <v>621</v>
      </c>
      <c r="D537" t="s">
        <v>78</v>
      </c>
      <c r="E537" t="s">
        <v>622</v>
      </c>
      <c r="F537">
        <v>2</v>
      </c>
      <c r="G537">
        <v>50</v>
      </c>
      <c r="H537" t="str">
        <f t="shared" si="57"/>
        <v>2x50</v>
      </c>
      <c r="I537">
        <v>63</v>
      </c>
      <c r="J537" s="4">
        <f t="shared" si="58"/>
        <v>3.2812500000000001E-2</v>
      </c>
      <c r="K537">
        <v>95</v>
      </c>
      <c r="L537" s="4">
        <f t="shared" si="59"/>
        <v>4.9479166666666664E-2</v>
      </c>
      <c r="M537">
        <v>143</v>
      </c>
      <c r="N537" s="4">
        <f t="shared" si="60"/>
        <v>7.4479166666666666E-2</v>
      </c>
      <c r="O537">
        <v>286</v>
      </c>
      <c r="P537" s="4">
        <f t="shared" si="61"/>
        <v>0.14895833333333333</v>
      </c>
      <c r="Q537" s="6">
        <f t="shared" si="56"/>
        <v>2035</v>
      </c>
      <c r="R537" s="6">
        <f t="shared" si="62"/>
        <v>4</v>
      </c>
      <c r="S537">
        <v>77</v>
      </c>
      <c r="T537">
        <v>23</v>
      </c>
      <c r="U537">
        <v>-11</v>
      </c>
      <c r="V537">
        <v>-6</v>
      </c>
      <c r="W537">
        <v>-3</v>
      </c>
      <c r="X537">
        <v>-31</v>
      </c>
      <c r="Y537" s="2" t="s">
        <v>623</v>
      </c>
      <c r="Z537">
        <v>45.787334195420001</v>
      </c>
      <c r="AA537">
        <v>8.9563561940144201</v>
      </c>
      <c r="AB537" t="s">
        <v>78</v>
      </c>
      <c r="AC537" t="s">
        <v>81</v>
      </c>
      <c r="AD537" t="s">
        <v>82</v>
      </c>
      <c r="AE537">
        <v>30697</v>
      </c>
      <c r="AF537">
        <v>0</v>
      </c>
      <c r="AG537">
        <v>10032</v>
      </c>
      <c r="AH537">
        <v>0</v>
      </c>
      <c r="AI537">
        <v>17462</v>
      </c>
      <c r="AJ537">
        <v>3203</v>
      </c>
      <c r="AK537">
        <v>0</v>
      </c>
      <c r="AL537">
        <v>4078</v>
      </c>
      <c r="AM537">
        <v>14068</v>
      </c>
      <c r="AN537">
        <v>64051</v>
      </c>
      <c r="AO537">
        <v>292516</v>
      </c>
      <c r="AP537">
        <v>2</v>
      </c>
      <c r="AQ537">
        <v>0</v>
      </c>
      <c r="AR537">
        <v>2</v>
      </c>
      <c r="AS537">
        <v>10</v>
      </c>
      <c r="AT537">
        <v>0</v>
      </c>
      <c r="AU537">
        <v>6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4</v>
      </c>
      <c r="BB537">
        <v>6</v>
      </c>
      <c r="BC537">
        <v>2</v>
      </c>
      <c r="BD537">
        <v>0</v>
      </c>
      <c r="BE537">
        <v>0</v>
      </c>
      <c r="BF537">
        <v>2</v>
      </c>
      <c r="BG537">
        <v>0</v>
      </c>
      <c r="BH537">
        <v>6</v>
      </c>
      <c r="BI537">
        <v>0</v>
      </c>
      <c r="BJ537">
        <v>45.7871776</v>
      </c>
      <c r="BK537">
        <v>8.9566085999999991</v>
      </c>
      <c r="BL537">
        <v>100</v>
      </c>
      <c r="BM537" t="s">
        <v>83</v>
      </c>
      <c r="BN537" t="s">
        <v>84</v>
      </c>
      <c r="BO537" t="s">
        <v>85</v>
      </c>
      <c r="BP537" t="s">
        <v>107</v>
      </c>
      <c r="BQ537" t="s">
        <v>108</v>
      </c>
      <c r="BR537" t="s">
        <v>281</v>
      </c>
      <c r="BS537">
        <v>613996</v>
      </c>
      <c r="BT537">
        <v>0</v>
      </c>
      <c r="BU537">
        <v>200652</v>
      </c>
      <c r="BV537">
        <v>0</v>
      </c>
      <c r="BW537">
        <v>349255</v>
      </c>
      <c r="BX537">
        <v>64089</v>
      </c>
      <c r="BY537">
        <v>0</v>
      </c>
      <c r="BZ537">
        <v>1</v>
      </c>
      <c r="CA537" t="s">
        <v>624</v>
      </c>
      <c r="CB537" t="s">
        <v>625</v>
      </c>
      <c r="CC537" s="3">
        <v>46092.557106481479</v>
      </c>
      <c r="CD537" t="s">
        <v>91</v>
      </c>
    </row>
    <row r="538" spans="1:82" ht="16" x14ac:dyDescent="0.2">
      <c r="A538" t="s">
        <v>1220</v>
      </c>
      <c r="B538" t="s">
        <v>725</v>
      </c>
      <c r="C538" t="s">
        <v>726</v>
      </c>
      <c r="D538" t="s">
        <v>78</v>
      </c>
      <c r="E538" t="s">
        <v>727</v>
      </c>
      <c r="F538">
        <v>2</v>
      </c>
      <c r="G538">
        <v>50</v>
      </c>
      <c r="H538" t="str">
        <f t="shared" si="57"/>
        <v>2x50</v>
      </c>
      <c r="I538">
        <v>63</v>
      </c>
      <c r="J538" s="4">
        <f t="shared" si="58"/>
        <v>3.2812500000000001E-2</v>
      </c>
      <c r="K538">
        <v>94</v>
      </c>
      <c r="L538" s="4">
        <f t="shared" si="59"/>
        <v>4.8958333333333333E-2</v>
      </c>
      <c r="M538">
        <v>143</v>
      </c>
      <c r="N538" s="4">
        <f t="shared" si="60"/>
        <v>7.4479166666666666E-2</v>
      </c>
      <c r="O538">
        <v>286</v>
      </c>
      <c r="P538" s="4">
        <f t="shared" si="61"/>
        <v>0.14895833333333333</v>
      </c>
      <c r="Q538" s="6">
        <f t="shared" si="56"/>
        <v>2035</v>
      </c>
      <c r="R538" s="6">
        <f t="shared" si="62"/>
        <v>4</v>
      </c>
      <c r="S538">
        <v>77</v>
      </c>
      <c r="T538">
        <v>7</v>
      </c>
      <c r="U538">
        <v>-13</v>
      </c>
      <c r="V538">
        <v>3</v>
      </c>
      <c r="W538">
        <v>3</v>
      </c>
      <c r="X538">
        <v>-25</v>
      </c>
      <c r="Y538" s="2" t="s">
        <v>728</v>
      </c>
      <c r="Z538">
        <v>45.538870000000003</v>
      </c>
      <c r="AA538">
        <v>10.53124</v>
      </c>
      <c r="AB538" t="s">
        <v>78</v>
      </c>
      <c r="AC538" t="s">
        <v>81</v>
      </c>
      <c r="AD538" t="s">
        <v>82</v>
      </c>
      <c r="AE538">
        <v>38719</v>
      </c>
      <c r="AF538">
        <v>0</v>
      </c>
      <c r="AG538">
        <v>0</v>
      </c>
      <c r="AH538">
        <v>22915</v>
      </c>
      <c r="AI538">
        <v>0</v>
      </c>
      <c r="AJ538">
        <v>14121</v>
      </c>
      <c r="AK538">
        <v>1683</v>
      </c>
      <c r="AL538">
        <v>1204</v>
      </c>
      <c r="AM538">
        <v>6143</v>
      </c>
      <c r="AN538">
        <v>20881</v>
      </c>
      <c r="AO538">
        <v>111799</v>
      </c>
      <c r="AP538">
        <v>2</v>
      </c>
      <c r="AQ538">
        <v>1</v>
      </c>
      <c r="AR538">
        <v>2</v>
      </c>
      <c r="AS538">
        <v>10</v>
      </c>
      <c r="AT538">
        <v>2</v>
      </c>
      <c r="AU538">
        <v>10</v>
      </c>
      <c r="AV538">
        <v>0</v>
      </c>
      <c r="AW538">
        <v>1</v>
      </c>
      <c r="AX538">
        <v>2</v>
      </c>
      <c r="AY538">
        <v>0</v>
      </c>
      <c r="AZ538">
        <v>0</v>
      </c>
      <c r="BA538">
        <v>4</v>
      </c>
      <c r="BB538">
        <v>24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2</v>
      </c>
      <c r="BI538">
        <v>0</v>
      </c>
      <c r="BJ538">
        <v>45.538974699999997</v>
      </c>
      <c r="BK538">
        <v>10.5311907</v>
      </c>
      <c r="BL538">
        <v>100</v>
      </c>
      <c r="BM538" t="s">
        <v>83</v>
      </c>
      <c r="BN538" t="s">
        <v>84</v>
      </c>
      <c r="BO538" t="s">
        <v>85</v>
      </c>
      <c r="BP538" t="s">
        <v>107</v>
      </c>
      <c r="BQ538" t="s">
        <v>108</v>
      </c>
      <c r="BR538" t="s">
        <v>179</v>
      </c>
      <c r="BS538">
        <v>774451</v>
      </c>
      <c r="BT538">
        <v>0</v>
      </c>
      <c r="BU538">
        <v>0</v>
      </c>
      <c r="BV538">
        <v>458324</v>
      </c>
      <c r="BW538">
        <v>0</v>
      </c>
      <c r="BX538">
        <v>282457</v>
      </c>
      <c r="BY538">
        <v>33670</v>
      </c>
      <c r="BZ538">
        <v>1</v>
      </c>
      <c r="CA538" t="s">
        <v>729</v>
      </c>
      <c r="CB538" t="s">
        <v>730</v>
      </c>
      <c r="CC538" s="3">
        <v>46092.557106481479</v>
      </c>
      <c r="CD538" t="s">
        <v>91</v>
      </c>
    </row>
    <row r="539" spans="1:82" ht="16" x14ac:dyDescent="0.2">
      <c r="A539" t="s">
        <v>1221</v>
      </c>
      <c r="B539" t="s">
        <v>523</v>
      </c>
      <c r="C539" t="s">
        <v>524</v>
      </c>
      <c r="D539" t="s">
        <v>78</v>
      </c>
      <c r="E539" t="s">
        <v>525</v>
      </c>
      <c r="F539">
        <v>2</v>
      </c>
      <c r="G539">
        <v>50</v>
      </c>
      <c r="H539" t="str">
        <f t="shared" si="57"/>
        <v>2x50</v>
      </c>
      <c r="I539">
        <v>62</v>
      </c>
      <c r="J539" s="4">
        <f t="shared" si="58"/>
        <v>3.229166666666667E-2</v>
      </c>
      <c r="K539">
        <v>94</v>
      </c>
      <c r="L539" s="4">
        <f t="shared" si="59"/>
        <v>4.8958333333333333E-2</v>
      </c>
      <c r="M539">
        <v>143</v>
      </c>
      <c r="N539" s="4">
        <f t="shared" si="60"/>
        <v>7.4479166666666666E-2</v>
      </c>
      <c r="O539">
        <v>285</v>
      </c>
      <c r="P539" s="4">
        <f t="shared" si="61"/>
        <v>0.1484375</v>
      </c>
      <c r="Q539" s="6">
        <f t="shared" si="56"/>
        <v>2035</v>
      </c>
      <c r="R539" s="6">
        <f t="shared" si="62"/>
        <v>4</v>
      </c>
      <c r="S539">
        <v>77</v>
      </c>
      <c r="T539">
        <v>16</v>
      </c>
      <c r="U539">
        <v>-10</v>
      </c>
      <c r="V539">
        <v>0</v>
      </c>
      <c r="W539">
        <v>-1</v>
      </c>
      <c r="X539">
        <v>-35</v>
      </c>
      <c r="Y539" s="2" t="s">
        <v>526</v>
      </c>
      <c r="Z539">
        <v>45.689129007680002</v>
      </c>
      <c r="AA539">
        <v>11.4842185865053</v>
      </c>
      <c r="AB539" t="s">
        <v>78</v>
      </c>
      <c r="AC539" t="s">
        <v>81</v>
      </c>
      <c r="AD539" t="s">
        <v>82</v>
      </c>
      <c r="AE539">
        <v>39893</v>
      </c>
      <c r="AF539">
        <v>0</v>
      </c>
      <c r="AG539">
        <v>0</v>
      </c>
      <c r="AH539">
        <v>0</v>
      </c>
      <c r="AI539">
        <v>32595</v>
      </c>
      <c r="AJ539">
        <v>7298</v>
      </c>
      <c r="AK539">
        <v>0</v>
      </c>
      <c r="AL539">
        <v>2790</v>
      </c>
      <c r="AM539">
        <v>12185</v>
      </c>
      <c r="AN539">
        <v>54584</v>
      </c>
      <c r="AO539">
        <v>172006</v>
      </c>
      <c r="AP539">
        <v>3</v>
      </c>
      <c r="AQ539">
        <v>0</v>
      </c>
      <c r="AR539">
        <v>6</v>
      </c>
      <c r="AS539">
        <v>16</v>
      </c>
      <c r="AT539">
        <v>1</v>
      </c>
      <c r="AU539">
        <v>29</v>
      </c>
      <c r="AV539">
        <v>2</v>
      </c>
      <c r="AW539">
        <v>1</v>
      </c>
      <c r="AX539">
        <v>0</v>
      </c>
      <c r="AY539">
        <v>0</v>
      </c>
      <c r="AZ539">
        <v>0</v>
      </c>
      <c r="BA539">
        <v>8</v>
      </c>
      <c r="BB539">
        <v>16</v>
      </c>
      <c r="BC539">
        <v>2</v>
      </c>
      <c r="BD539">
        <v>0</v>
      </c>
      <c r="BE539">
        <v>0</v>
      </c>
      <c r="BF539">
        <v>4</v>
      </c>
      <c r="BG539">
        <v>0</v>
      </c>
      <c r="BH539">
        <v>4</v>
      </c>
      <c r="BI539">
        <v>0</v>
      </c>
      <c r="BJ539">
        <v>45.689099599999999</v>
      </c>
      <c r="BK539">
        <v>11.4842213</v>
      </c>
      <c r="BL539">
        <v>100</v>
      </c>
      <c r="BM539" t="s">
        <v>83</v>
      </c>
      <c r="BN539" t="s">
        <v>84</v>
      </c>
      <c r="BO539" t="s">
        <v>85</v>
      </c>
      <c r="BP539" t="s">
        <v>160</v>
      </c>
      <c r="BQ539" t="s">
        <v>161</v>
      </c>
      <c r="BR539" t="s">
        <v>527</v>
      </c>
      <c r="BS539">
        <v>797949</v>
      </c>
      <c r="BT539">
        <v>0</v>
      </c>
      <c r="BU539">
        <v>0</v>
      </c>
      <c r="BV539">
        <v>0</v>
      </c>
      <c r="BW539">
        <v>651960</v>
      </c>
      <c r="BX539">
        <v>145989</v>
      </c>
      <c r="BY539">
        <v>0</v>
      </c>
      <c r="BZ539">
        <v>1</v>
      </c>
      <c r="CA539" t="s">
        <v>528</v>
      </c>
      <c r="CB539" t="s">
        <v>529</v>
      </c>
      <c r="CC539" s="3">
        <v>46092.557106481479</v>
      </c>
      <c r="CD539" t="s">
        <v>91</v>
      </c>
    </row>
    <row r="540" spans="1:82" ht="16" x14ac:dyDescent="0.2">
      <c r="A540" t="s">
        <v>1222</v>
      </c>
      <c r="B540" t="s">
        <v>589</v>
      </c>
      <c r="C540" t="s">
        <v>590</v>
      </c>
      <c r="D540" t="s">
        <v>78</v>
      </c>
      <c r="E540" t="s">
        <v>591</v>
      </c>
      <c r="F540">
        <v>2</v>
      </c>
      <c r="G540">
        <v>50</v>
      </c>
      <c r="H540" t="str">
        <f t="shared" si="57"/>
        <v>2x50</v>
      </c>
      <c r="I540">
        <v>62</v>
      </c>
      <c r="J540" s="4">
        <f t="shared" si="58"/>
        <v>3.229166666666667E-2</v>
      </c>
      <c r="K540">
        <v>94</v>
      </c>
      <c r="L540" s="4">
        <f t="shared" si="59"/>
        <v>4.8958333333333333E-2</v>
      </c>
      <c r="M540">
        <v>143</v>
      </c>
      <c r="N540" s="4">
        <f t="shared" si="60"/>
        <v>7.4479166666666666E-2</v>
      </c>
      <c r="O540">
        <v>285</v>
      </c>
      <c r="P540" s="4">
        <f t="shared" si="61"/>
        <v>0.1484375</v>
      </c>
      <c r="Q540" s="6">
        <f t="shared" si="56"/>
        <v>2035</v>
      </c>
      <c r="R540" s="6">
        <f t="shared" si="62"/>
        <v>4</v>
      </c>
      <c r="S540">
        <v>77</v>
      </c>
      <c r="T540">
        <v>9</v>
      </c>
      <c r="U540">
        <v>-11</v>
      </c>
      <c r="V540">
        <v>10</v>
      </c>
      <c r="W540">
        <v>-4</v>
      </c>
      <c r="X540">
        <v>-33</v>
      </c>
      <c r="Y540" s="2" t="s">
        <v>592</v>
      </c>
      <c r="Z540">
        <v>45.393527400000004</v>
      </c>
      <c r="AA540">
        <v>11.031562600000001</v>
      </c>
      <c r="AB540" t="s">
        <v>78</v>
      </c>
      <c r="AC540" t="s">
        <v>81</v>
      </c>
      <c r="AD540" t="s">
        <v>82</v>
      </c>
      <c r="AE540">
        <v>69324</v>
      </c>
      <c r="AF540">
        <v>0</v>
      </c>
      <c r="AG540">
        <v>0</v>
      </c>
      <c r="AH540">
        <v>43630</v>
      </c>
      <c r="AI540">
        <v>15353</v>
      </c>
      <c r="AJ540">
        <v>10341</v>
      </c>
      <c r="AK540">
        <v>0</v>
      </c>
      <c r="AL540">
        <v>4063</v>
      </c>
      <c r="AM540">
        <v>14149</v>
      </c>
      <c r="AN540">
        <v>87257</v>
      </c>
      <c r="AO540">
        <v>338447</v>
      </c>
      <c r="AP540">
        <v>1</v>
      </c>
      <c r="AQ540">
        <v>0</v>
      </c>
      <c r="AR540">
        <v>8</v>
      </c>
      <c r="AS540">
        <v>18</v>
      </c>
      <c r="AT540">
        <v>1</v>
      </c>
      <c r="AU540">
        <v>27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6</v>
      </c>
      <c r="BB540">
        <v>10</v>
      </c>
      <c r="BC540">
        <v>5</v>
      </c>
      <c r="BD540">
        <v>6</v>
      </c>
      <c r="BE540">
        <v>0</v>
      </c>
      <c r="BF540">
        <v>8</v>
      </c>
      <c r="BG540">
        <v>0</v>
      </c>
      <c r="BH540">
        <v>8</v>
      </c>
      <c r="BI540">
        <v>0</v>
      </c>
      <c r="BJ540">
        <v>45.393520000000002</v>
      </c>
      <c r="BK540">
        <v>11.031560000000001</v>
      </c>
      <c r="BL540">
        <v>100</v>
      </c>
      <c r="BM540" t="s">
        <v>83</v>
      </c>
      <c r="BN540" t="s">
        <v>84</v>
      </c>
      <c r="BO540" t="s">
        <v>85</v>
      </c>
      <c r="BP540" t="s">
        <v>160</v>
      </c>
      <c r="BQ540" t="s">
        <v>161</v>
      </c>
      <c r="BR540" t="s">
        <v>162</v>
      </c>
      <c r="BS540">
        <v>1648350</v>
      </c>
      <c r="BT540">
        <v>0</v>
      </c>
      <c r="BU540">
        <v>0</v>
      </c>
      <c r="BV540">
        <v>1134408</v>
      </c>
      <c r="BW540">
        <v>307091</v>
      </c>
      <c r="BX540">
        <v>206851</v>
      </c>
      <c r="BY540">
        <v>0</v>
      </c>
      <c r="BZ540">
        <v>1</v>
      </c>
      <c r="CA540" t="s">
        <v>593</v>
      </c>
      <c r="CB540" t="s">
        <v>594</v>
      </c>
      <c r="CC540" s="3">
        <v>46092.557106481479</v>
      </c>
      <c r="CD540" t="s">
        <v>91</v>
      </c>
    </row>
    <row r="541" spans="1:82" ht="16" x14ac:dyDescent="0.2">
      <c r="A541" t="s">
        <v>1223</v>
      </c>
      <c r="B541" t="s">
        <v>574</v>
      </c>
      <c r="C541" t="s">
        <v>575</v>
      </c>
      <c r="D541" t="s">
        <v>78</v>
      </c>
      <c r="E541" t="s">
        <v>576</v>
      </c>
      <c r="F541">
        <v>2</v>
      </c>
      <c r="G541">
        <v>50</v>
      </c>
      <c r="H541" t="str">
        <f t="shared" si="57"/>
        <v>2x50</v>
      </c>
      <c r="I541">
        <v>61</v>
      </c>
      <c r="J541" s="4">
        <f t="shared" si="58"/>
        <v>3.1770833333333331E-2</v>
      </c>
      <c r="K541">
        <v>93</v>
      </c>
      <c r="L541" s="4">
        <f t="shared" si="59"/>
        <v>4.8437500000000001E-2</v>
      </c>
      <c r="M541">
        <v>141</v>
      </c>
      <c r="N541" s="4">
        <f t="shared" si="60"/>
        <v>7.3437500000000003E-2</v>
      </c>
      <c r="O541">
        <v>281</v>
      </c>
      <c r="P541" s="4">
        <f t="shared" si="61"/>
        <v>0.14635416666666667</v>
      </c>
      <c r="Q541" s="6">
        <f t="shared" si="56"/>
        <v>2035</v>
      </c>
      <c r="R541" s="6">
        <f t="shared" si="62"/>
        <v>4</v>
      </c>
      <c r="S541">
        <v>77</v>
      </c>
      <c r="T541">
        <v>24</v>
      </c>
      <c r="U541">
        <v>-13</v>
      </c>
      <c r="V541">
        <v>-2</v>
      </c>
      <c r="W541">
        <v>-5</v>
      </c>
      <c r="X541">
        <v>-33</v>
      </c>
      <c r="Y541" s="2" t="s">
        <v>577</v>
      </c>
      <c r="Z541">
        <v>44.722234870075397</v>
      </c>
      <c r="AA541">
        <v>10.622212249077</v>
      </c>
      <c r="AB541" t="s">
        <v>78</v>
      </c>
      <c r="AC541" t="s">
        <v>81</v>
      </c>
      <c r="AD541" t="s">
        <v>82</v>
      </c>
      <c r="AE541">
        <v>65151</v>
      </c>
      <c r="AF541">
        <v>0</v>
      </c>
      <c r="AG541">
        <v>0</v>
      </c>
      <c r="AH541">
        <v>18080</v>
      </c>
      <c r="AI541">
        <v>42593</v>
      </c>
      <c r="AJ541">
        <v>4478</v>
      </c>
      <c r="AK541">
        <v>0</v>
      </c>
      <c r="AL541">
        <v>2871</v>
      </c>
      <c r="AM541">
        <v>15456</v>
      </c>
      <c r="AN541">
        <v>113992</v>
      </c>
      <c r="AO541">
        <v>201574</v>
      </c>
      <c r="AP541">
        <v>1</v>
      </c>
      <c r="AQ541">
        <v>2</v>
      </c>
      <c r="AR541">
        <v>2</v>
      </c>
      <c r="AS541">
        <v>2</v>
      </c>
      <c r="AT541">
        <v>0</v>
      </c>
      <c r="AU541">
        <v>10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33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8</v>
      </c>
      <c r="BI541">
        <v>0</v>
      </c>
      <c r="BJ541">
        <v>44.722169899999997</v>
      </c>
      <c r="BK541">
        <v>10.6227099</v>
      </c>
      <c r="BL541">
        <v>100</v>
      </c>
      <c r="BM541" t="s">
        <v>83</v>
      </c>
      <c r="BN541" t="s">
        <v>84</v>
      </c>
      <c r="BO541" t="s">
        <v>85</v>
      </c>
      <c r="BP541" t="s">
        <v>160</v>
      </c>
      <c r="BQ541" t="s">
        <v>170</v>
      </c>
      <c r="BR541" t="s">
        <v>578</v>
      </c>
      <c r="BS541">
        <v>1431134</v>
      </c>
      <c r="BT541">
        <v>0</v>
      </c>
      <c r="BU541">
        <v>0</v>
      </c>
      <c r="BV541">
        <v>361616</v>
      </c>
      <c r="BW541">
        <v>979936</v>
      </c>
      <c r="BX541">
        <v>89582</v>
      </c>
      <c r="BY541">
        <v>0</v>
      </c>
      <c r="BZ541">
        <v>1</v>
      </c>
      <c r="CA541" t="s">
        <v>579</v>
      </c>
      <c r="CB541" t="s">
        <v>580</v>
      </c>
      <c r="CC541" s="3">
        <v>46092.557106481479</v>
      </c>
      <c r="CD541" t="s">
        <v>91</v>
      </c>
    </row>
    <row r="542" spans="1:82" ht="16" x14ac:dyDescent="0.2">
      <c r="A542" t="s">
        <v>1224</v>
      </c>
      <c r="B542" t="s">
        <v>545</v>
      </c>
      <c r="C542" t="s">
        <v>546</v>
      </c>
      <c r="D542" t="s">
        <v>78</v>
      </c>
      <c r="E542" t="s">
        <v>547</v>
      </c>
      <c r="F542">
        <v>2</v>
      </c>
      <c r="G542">
        <v>50</v>
      </c>
      <c r="H542" t="str">
        <f t="shared" si="57"/>
        <v>2x50</v>
      </c>
      <c r="I542">
        <v>61</v>
      </c>
      <c r="J542" s="4">
        <f t="shared" si="58"/>
        <v>3.1770833333333331E-2</v>
      </c>
      <c r="K542">
        <v>92</v>
      </c>
      <c r="L542" s="4">
        <f t="shared" si="59"/>
        <v>4.7916666666666663E-2</v>
      </c>
      <c r="M542">
        <v>139</v>
      </c>
      <c r="N542" s="4">
        <f t="shared" si="60"/>
        <v>7.239583333333334E-2</v>
      </c>
      <c r="O542">
        <v>277</v>
      </c>
      <c r="P542" s="4">
        <f t="shared" si="61"/>
        <v>0.14427083333333332</v>
      </c>
      <c r="Q542" s="6">
        <f t="shared" si="56"/>
        <v>2035</v>
      </c>
      <c r="R542" s="6">
        <f t="shared" si="62"/>
        <v>4</v>
      </c>
      <c r="S542">
        <v>77</v>
      </c>
      <c r="T542">
        <v>5</v>
      </c>
      <c r="U542">
        <v>-12</v>
      </c>
      <c r="V542">
        <v>8</v>
      </c>
      <c r="W542">
        <v>0</v>
      </c>
      <c r="X542">
        <v>-31</v>
      </c>
      <c r="Y542" s="2" t="s">
        <v>548</v>
      </c>
      <c r="Z542">
        <v>44.781399999999998</v>
      </c>
      <c r="AA542">
        <v>10.3421</v>
      </c>
      <c r="AB542" t="s">
        <v>78</v>
      </c>
      <c r="AC542" t="s">
        <v>81</v>
      </c>
      <c r="AD542" t="s">
        <v>82</v>
      </c>
      <c r="AE542">
        <v>66264</v>
      </c>
      <c r="AF542">
        <v>0</v>
      </c>
      <c r="AG542">
        <v>0</v>
      </c>
      <c r="AH542">
        <v>23865</v>
      </c>
      <c r="AI542">
        <v>0</v>
      </c>
      <c r="AJ542">
        <v>36362</v>
      </c>
      <c r="AK542">
        <v>6037</v>
      </c>
      <c r="AL542">
        <v>12384</v>
      </c>
      <c r="AM542">
        <v>53587</v>
      </c>
      <c r="AN542">
        <v>160946</v>
      </c>
      <c r="AO542">
        <v>217431</v>
      </c>
      <c r="AP542">
        <v>1</v>
      </c>
      <c r="AQ542">
        <v>5</v>
      </c>
      <c r="AR542">
        <v>3</v>
      </c>
      <c r="AS542">
        <v>6</v>
      </c>
      <c r="AT542">
        <v>3</v>
      </c>
      <c r="AU542">
        <v>8</v>
      </c>
      <c r="AV542">
        <v>9</v>
      </c>
      <c r="AW542">
        <v>0</v>
      </c>
      <c r="AX542">
        <v>1</v>
      </c>
      <c r="AY542">
        <v>0</v>
      </c>
      <c r="AZ542">
        <v>0</v>
      </c>
      <c r="BA542">
        <v>12</v>
      </c>
      <c r="BB542">
        <v>28</v>
      </c>
      <c r="BC542">
        <v>6</v>
      </c>
      <c r="BD542">
        <v>4</v>
      </c>
      <c r="BE542">
        <v>0</v>
      </c>
      <c r="BF542">
        <v>4</v>
      </c>
      <c r="BG542">
        <v>0</v>
      </c>
      <c r="BH542">
        <v>4</v>
      </c>
      <c r="BI542">
        <v>0</v>
      </c>
      <c r="BJ542">
        <v>44.781359299999998</v>
      </c>
      <c r="BK542">
        <v>10.341948500000001</v>
      </c>
      <c r="BL542">
        <v>100</v>
      </c>
      <c r="BM542" t="s">
        <v>83</v>
      </c>
      <c r="BN542" t="s">
        <v>84</v>
      </c>
      <c r="BO542" t="s">
        <v>85</v>
      </c>
      <c r="BP542" t="s">
        <v>160</v>
      </c>
      <c r="BQ542" t="s">
        <v>170</v>
      </c>
      <c r="BR542" t="s">
        <v>171</v>
      </c>
      <c r="BS542">
        <v>1325383</v>
      </c>
      <c r="BT542">
        <v>0</v>
      </c>
      <c r="BU542">
        <v>0</v>
      </c>
      <c r="BV542">
        <v>477327</v>
      </c>
      <c r="BW542">
        <v>0</v>
      </c>
      <c r="BX542">
        <v>727306</v>
      </c>
      <c r="BY542">
        <v>120750</v>
      </c>
      <c r="BZ542">
        <v>1</v>
      </c>
      <c r="CA542" t="s">
        <v>549</v>
      </c>
      <c r="CB542" t="s">
        <v>550</v>
      </c>
      <c r="CC542" s="3">
        <v>46092.557106481479</v>
      </c>
      <c r="CD542" t="s">
        <v>91</v>
      </c>
    </row>
    <row r="543" spans="1:82" ht="16" x14ac:dyDescent="0.2">
      <c r="A543" t="s">
        <v>1225</v>
      </c>
      <c r="B543" t="s">
        <v>248</v>
      </c>
      <c r="C543" t="s">
        <v>249</v>
      </c>
      <c r="D543" t="s">
        <v>78</v>
      </c>
      <c r="E543" t="s">
        <v>250</v>
      </c>
      <c r="F543">
        <v>2</v>
      </c>
      <c r="G543">
        <v>50</v>
      </c>
      <c r="H543" t="str">
        <f t="shared" si="57"/>
        <v>2x50</v>
      </c>
      <c r="I543">
        <v>60</v>
      </c>
      <c r="J543" s="4">
        <f t="shared" si="58"/>
        <v>3.125E-2</v>
      </c>
      <c r="K543">
        <v>90</v>
      </c>
      <c r="L543" s="4">
        <f t="shared" si="59"/>
        <v>4.6875E-2</v>
      </c>
      <c r="M543">
        <v>137</v>
      </c>
      <c r="N543" s="4">
        <f t="shared" si="60"/>
        <v>7.1354166666666663E-2</v>
      </c>
      <c r="O543">
        <v>273</v>
      </c>
      <c r="P543" s="4">
        <f t="shared" si="61"/>
        <v>0.14218749999999999</v>
      </c>
      <c r="Q543" s="6">
        <f t="shared" si="56"/>
        <v>2035</v>
      </c>
      <c r="R543" s="6">
        <f t="shared" si="62"/>
        <v>4</v>
      </c>
      <c r="S543">
        <v>77</v>
      </c>
      <c r="T543">
        <v>35</v>
      </c>
      <c r="U543">
        <v>-1</v>
      </c>
      <c r="V543">
        <v>-16</v>
      </c>
      <c r="W543">
        <v>-2</v>
      </c>
      <c r="X543">
        <v>-63</v>
      </c>
      <c r="Y543" s="2" t="s">
        <v>251</v>
      </c>
      <c r="Z543">
        <v>41.981140000000003</v>
      </c>
      <c r="AA543">
        <v>12.416320000000001</v>
      </c>
      <c r="AB543" t="s">
        <v>78</v>
      </c>
      <c r="AC543" t="s">
        <v>81</v>
      </c>
      <c r="AD543" t="s">
        <v>82</v>
      </c>
      <c r="AE543">
        <v>222440</v>
      </c>
      <c r="AF543">
        <v>165680</v>
      </c>
      <c r="AG543">
        <v>0</v>
      </c>
      <c r="AH543">
        <v>0</v>
      </c>
      <c r="AI543">
        <v>27982</v>
      </c>
      <c r="AJ543">
        <v>28778</v>
      </c>
      <c r="AK543">
        <v>0</v>
      </c>
      <c r="AL543">
        <v>5255</v>
      </c>
      <c r="AM543">
        <v>19410</v>
      </c>
      <c r="AN543">
        <v>117846</v>
      </c>
      <c r="AO543">
        <v>697284</v>
      </c>
      <c r="AP543">
        <v>2</v>
      </c>
      <c r="AQ543">
        <v>0</v>
      </c>
      <c r="AR543">
        <v>1</v>
      </c>
      <c r="AS543">
        <v>2</v>
      </c>
      <c r="AT543">
        <v>2</v>
      </c>
      <c r="AU543">
        <v>22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5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2</v>
      </c>
      <c r="BI543">
        <v>0</v>
      </c>
      <c r="BJ543">
        <v>41.980959900000002</v>
      </c>
      <c r="BK543">
        <v>12.416189899999999</v>
      </c>
      <c r="BL543">
        <v>100</v>
      </c>
      <c r="BM543" t="s">
        <v>83</v>
      </c>
      <c r="BN543" t="s">
        <v>84</v>
      </c>
      <c r="BO543" t="s">
        <v>85</v>
      </c>
      <c r="BP543" t="s">
        <v>86</v>
      </c>
      <c r="BQ543" t="s">
        <v>87</v>
      </c>
      <c r="BR543" t="s">
        <v>88</v>
      </c>
      <c r="BS543">
        <v>4111295</v>
      </c>
      <c r="BT543">
        <v>2976037</v>
      </c>
      <c r="BU543">
        <v>0</v>
      </c>
      <c r="BV543">
        <v>0</v>
      </c>
      <c r="BW543">
        <v>559665</v>
      </c>
      <c r="BX543">
        <v>575593</v>
      </c>
      <c r="BY543">
        <v>0</v>
      </c>
      <c r="BZ543">
        <v>1</v>
      </c>
      <c r="CA543" t="s">
        <v>252</v>
      </c>
      <c r="CB543" t="s">
        <v>253</v>
      </c>
      <c r="CC543" s="3">
        <v>46092.557106481479</v>
      </c>
      <c r="CD543" t="s">
        <v>91</v>
      </c>
    </row>
    <row r="544" spans="1:82" ht="16" x14ac:dyDescent="0.2">
      <c r="A544" t="s">
        <v>1226</v>
      </c>
      <c r="B544" t="s">
        <v>776</v>
      </c>
      <c r="C544" t="s">
        <v>777</v>
      </c>
      <c r="D544" t="s">
        <v>78</v>
      </c>
      <c r="E544" t="s">
        <v>778</v>
      </c>
      <c r="F544">
        <v>2</v>
      </c>
      <c r="G544">
        <v>50</v>
      </c>
      <c r="H544" t="str">
        <f t="shared" si="57"/>
        <v>2x50</v>
      </c>
      <c r="I544">
        <v>60</v>
      </c>
      <c r="J544" s="4">
        <f t="shared" si="58"/>
        <v>3.125E-2</v>
      </c>
      <c r="K544">
        <v>90</v>
      </c>
      <c r="L544" s="4">
        <f t="shared" si="59"/>
        <v>4.6875E-2</v>
      </c>
      <c r="M544">
        <v>137</v>
      </c>
      <c r="N544" s="4">
        <f t="shared" si="60"/>
        <v>7.1354166666666663E-2</v>
      </c>
      <c r="O544">
        <v>273</v>
      </c>
      <c r="P544" s="4">
        <f t="shared" si="61"/>
        <v>0.14218749999999999</v>
      </c>
      <c r="Q544" s="6">
        <f t="shared" si="56"/>
        <v>2035</v>
      </c>
      <c r="R544" s="6">
        <f t="shared" si="62"/>
        <v>4</v>
      </c>
      <c r="S544">
        <v>77</v>
      </c>
      <c r="T544">
        <v>10</v>
      </c>
      <c r="U544">
        <v>-11</v>
      </c>
      <c r="V544">
        <v>6</v>
      </c>
      <c r="W544">
        <v>-7</v>
      </c>
      <c r="X544">
        <v>-26</v>
      </c>
      <c r="Y544" s="2" t="s">
        <v>779</v>
      </c>
      <c r="Z544">
        <v>45.502467249499198</v>
      </c>
      <c r="AA544">
        <v>9.6300387932526892</v>
      </c>
      <c r="AB544" t="s">
        <v>78</v>
      </c>
      <c r="AC544" t="s">
        <v>81</v>
      </c>
      <c r="AD544" t="s">
        <v>82</v>
      </c>
      <c r="AE544">
        <v>70183</v>
      </c>
      <c r="AF544">
        <v>49055</v>
      </c>
      <c r="AG544">
        <v>0</v>
      </c>
      <c r="AH544">
        <v>11876</v>
      </c>
      <c r="AI544">
        <v>0</v>
      </c>
      <c r="AJ544">
        <v>9252</v>
      </c>
      <c r="AK544">
        <v>0</v>
      </c>
      <c r="AL544">
        <v>4457</v>
      </c>
      <c r="AM544">
        <v>13351</v>
      </c>
      <c r="AN544">
        <v>61214</v>
      </c>
      <c r="AO544">
        <v>167022</v>
      </c>
      <c r="AP544">
        <v>1</v>
      </c>
      <c r="AQ544">
        <v>1</v>
      </c>
      <c r="AR544">
        <v>6</v>
      </c>
      <c r="AS544">
        <v>20</v>
      </c>
      <c r="AT544">
        <v>2</v>
      </c>
      <c r="AU544">
        <v>28</v>
      </c>
      <c r="AV544">
        <v>1</v>
      </c>
      <c r="AW544">
        <v>1</v>
      </c>
      <c r="AX544">
        <v>0</v>
      </c>
      <c r="AY544">
        <v>0</v>
      </c>
      <c r="AZ544">
        <v>0</v>
      </c>
      <c r="BA544">
        <v>1</v>
      </c>
      <c r="BB544">
        <v>8</v>
      </c>
      <c r="BC544">
        <v>0</v>
      </c>
      <c r="BD544">
        <v>0</v>
      </c>
      <c r="BE544">
        <v>0</v>
      </c>
      <c r="BF544">
        <v>2</v>
      </c>
      <c r="BG544">
        <v>0</v>
      </c>
      <c r="BH544">
        <v>8</v>
      </c>
      <c r="BI544">
        <v>16</v>
      </c>
      <c r="BJ544">
        <v>45.502499999999998</v>
      </c>
      <c r="BK544">
        <v>9.6300898999999998</v>
      </c>
      <c r="BL544">
        <v>100</v>
      </c>
      <c r="BM544" t="s">
        <v>83</v>
      </c>
      <c r="BN544" t="s">
        <v>84</v>
      </c>
      <c r="BO544" t="s">
        <v>85</v>
      </c>
      <c r="BP544" t="s">
        <v>107</v>
      </c>
      <c r="BQ544" t="s">
        <v>108</v>
      </c>
      <c r="BR544" t="s">
        <v>297</v>
      </c>
      <c r="BS544">
        <v>1698135</v>
      </c>
      <c r="BT544">
        <v>1275454</v>
      </c>
      <c r="BU544">
        <v>0</v>
      </c>
      <c r="BV544">
        <v>237548</v>
      </c>
      <c r="BW544">
        <v>0</v>
      </c>
      <c r="BX544">
        <v>185133</v>
      </c>
      <c r="BY544">
        <v>0</v>
      </c>
      <c r="BZ544">
        <v>1</v>
      </c>
      <c r="CA544" t="s">
        <v>780</v>
      </c>
      <c r="CB544" t="s">
        <v>781</v>
      </c>
      <c r="CC544" s="3">
        <v>46092.557106481479</v>
      </c>
      <c r="CD544" t="s">
        <v>91</v>
      </c>
    </row>
    <row r="545" spans="1:82" ht="16" x14ac:dyDescent="0.2">
      <c r="A545" t="s">
        <v>1227</v>
      </c>
      <c r="B545" t="s">
        <v>552</v>
      </c>
      <c r="C545" t="s">
        <v>423</v>
      </c>
      <c r="D545" t="s">
        <v>78</v>
      </c>
      <c r="E545" t="s">
        <v>553</v>
      </c>
      <c r="F545">
        <v>2</v>
      </c>
      <c r="G545">
        <v>50</v>
      </c>
      <c r="H545" t="str">
        <f t="shared" si="57"/>
        <v>2x50</v>
      </c>
      <c r="I545">
        <v>60</v>
      </c>
      <c r="J545" s="4">
        <f t="shared" si="58"/>
        <v>3.125E-2</v>
      </c>
      <c r="K545">
        <v>90</v>
      </c>
      <c r="L545" s="4">
        <f t="shared" si="59"/>
        <v>4.6875E-2</v>
      </c>
      <c r="M545">
        <v>136</v>
      </c>
      <c r="N545" s="4">
        <f t="shared" si="60"/>
        <v>7.0833333333333331E-2</v>
      </c>
      <c r="O545">
        <v>272</v>
      </c>
      <c r="P545" s="4">
        <f t="shared" si="61"/>
        <v>0.14166666666666666</v>
      </c>
      <c r="Q545" s="6">
        <f t="shared" si="56"/>
        <v>2035</v>
      </c>
      <c r="R545" s="6">
        <f t="shared" si="62"/>
        <v>4</v>
      </c>
      <c r="S545">
        <v>77</v>
      </c>
      <c r="T545">
        <v>13</v>
      </c>
      <c r="U545">
        <v>-11</v>
      </c>
      <c r="V545">
        <v>-3</v>
      </c>
      <c r="W545">
        <v>1</v>
      </c>
      <c r="X545">
        <v>-32</v>
      </c>
      <c r="Y545" s="2" t="s">
        <v>554</v>
      </c>
      <c r="Z545">
        <v>43.4522209</v>
      </c>
      <c r="AA545">
        <v>11.88124</v>
      </c>
      <c r="AB545" t="s">
        <v>78</v>
      </c>
      <c r="AC545" t="s">
        <v>81</v>
      </c>
      <c r="AD545" t="s">
        <v>82</v>
      </c>
      <c r="AE545">
        <v>46565</v>
      </c>
      <c r="AF545">
        <v>0</v>
      </c>
      <c r="AG545">
        <v>15028</v>
      </c>
      <c r="AH545">
        <v>18399</v>
      </c>
      <c r="AI545">
        <v>5991</v>
      </c>
      <c r="AJ545">
        <v>5404</v>
      </c>
      <c r="AK545">
        <v>1743</v>
      </c>
      <c r="AL545">
        <v>12627</v>
      </c>
      <c r="AM545">
        <v>39989</v>
      </c>
      <c r="AN545">
        <v>73253</v>
      </c>
      <c r="AO545">
        <v>102463</v>
      </c>
      <c r="AP545">
        <v>0</v>
      </c>
      <c r="AQ545">
        <v>0</v>
      </c>
      <c r="AR545">
        <v>1</v>
      </c>
      <c r="AS545">
        <v>2</v>
      </c>
      <c r="AT545">
        <v>1</v>
      </c>
      <c r="AU545">
        <v>19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10</v>
      </c>
      <c r="BB545">
        <v>20</v>
      </c>
      <c r="BC545">
        <v>10</v>
      </c>
      <c r="BD545">
        <v>0</v>
      </c>
      <c r="BE545">
        <v>0</v>
      </c>
      <c r="BF545">
        <v>0</v>
      </c>
      <c r="BG545">
        <v>0</v>
      </c>
      <c r="BH545">
        <v>2</v>
      </c>
      <c r="BI545">
        <v>0</v>
      </c>
      <c r="BJ545">
        <v>43.452114399999999</v>
      </c>
      <c r="BK545">
        <v>11.8813212</v>
      </c>
      <c r="BL545">
        <v>100</v>
      </c>
      <c r="BM545" t="s">
        <v>83</v>
      </c>
      <c r="BN545" t="s">
        <v>84</v>
      </c>
      <c r="BO545" t="s">
        <v>85</v>
      </c>
      <c r="BP545" t="s">
        <v>86</v>
      </c>
      <c r="BQ545" t="s">
        <v>212</v>
      </c>
      <c r="BR545" t="s">
        <v>423</v>
      </c>
      <c r="BS545">
        <v>931456</v>
      </c>
      <c r="BT545">
        <v>0</v>
      </c>
      <c r="BU545">
        <v>300580</v>
      </c>
      <c r="BV545">
        <v>368041</v>
      </c>
      <c r="BW545">
        <v>119832</v>
      </c>
      <c r="BX545">
        <v>108114</v>
      </c>
      <c r="BY545">
        <v>34889</v>
      </c>
      <c r="BZ545">
        <v>1</v>
      </c>
      <c r="CA545" t="s">
        <v>555</v>
      </c>
      <c r="CB545" t="s">
        <v>556</v>
      </c>
      <c r="CC545" s="3">
        <v>46092.557106481479</v>
      </c>
      <c r="CD545" t="s">
        <v>91</v>
      </c>
    </row>
    <row r="546" spans="1:82" ht="16" x14ac:dyDescent="0.2">
      <c r="A546" t="s">
        <v>1228</v>
      </c>
      <c r="B546" t="s">
        <v>458</v>
      </c>
      <c r="C546" t="s">
        <v>459</v>
      </c>
      <c r="D546" t="s">
        <v>78</v>
      </c>
      <c r="E546" t="s">
        <v>460</v>
      </c>
      <c r="F546">
        <v>2</v>
      </c>
      <c r="G546">
        <v>50</v>
      </c>
      <c r="H546" t="str">
        <f t="shared" si="57"/>
        <v>2x50</v>
      </c>
      <c r="I546">
        <v>59</v>
      </c>
      <c r="J546" s="4">
        <f t="shared" si="58"/>
        <v>3.0729166666666669E-2</v>
      </c>
      <c r="K546">
        <v>90</v>
      </c>
      <c r="L546" s="4">
        <f t="shared" si="59"/>
        <v>4.6875E-2</v>
      </c>
      <c r="M546">
        <v>136</v>
      </c>
      <c r="N546" s="4">
        <f t="shared" si="60"/>
        <v>7.0833333333333331E-2</v>
      </c>
      <c r="O546">
        <v>272</v>
      </c>
      <c r="P546" s="4">
        <f t="shared" si="61"/>
        <v>0.14166666666666666</v>
      </c>
      <c r="Q546" s="6">
        <f t="shared" si="56"/>
        <v>2035</v>
      </c>
      <c r="R546" s="6">
        <f t="shared" si="62"/>
        <v>4</v>
      </c>
      <c r="S546">
        <v>77</v>
      </c>
      <c r="T546">
        <v>17</v>
      </c>
      <c r="U546">
        <v>-13</v>
      </c>
      <c r="V546">
        <v>4</v>
      </c>
      <c r="W546">
        <v>-3</v>
      </c>
      <c r="X546">
        <v>-40</v>
      </c>
      <c r="Y546" s="2" t="s">
        <v>461</v>
      </c>
      <c r="Z546">
        <v>44.548679999999997</v>
      </c>
      <c r="AA546">
        <v>10.797639999999999</v>
      </c>
      <c r="AB546" t="s">
        <v>78</v>
      </c>
      <c r="AC546" t="s">
        <v>81</v>
      </c>
      <c r="AD546" t="s">
        <v>82</v>
      </c>
      <c r="AE546">
        <v>73261</v>
      </c>
      <c r="AF546">
        <v>0</v>
      </c>
      <c r="AG546">
        <v>0</v>
      </c>
      <c r="AH546">
        <v>0</v>
      </c>
      <c r="AI546">
        <v>36143</v>
      </c>
      <c r="AJ546">
        <v>26183</v>
      </c>
      <c r="AK546">
        <v>10935</v>
      </c>
      <c r="AL546">
        <v>10536</v>
      </c>
      <c r="AM546">
        <v>30689</v>
      </c>
      <c r="AN546">
        <v>79623</v>
      </c>
      <c r="AO546">
        <v>162896</v>
      </c>
      <c r="AP546">
        <v>3</v>
      </c>
      <c r="AQ546">
        <v>0</v>
      </c>
      <c r="AR546">
        <v>3</v>
      </c>
      <c r="AS546">
        <v>10</v>
      </c>
      <c r="AT546">
        <v>0</v>
      </c>
      <c r="AU546">
        <v>33</v>
      </c>
      <c r="AV546">
        <v>5</v>
      </c>
      <c r="AW546">
        <v>2</v>
      </c>
      <c r="AX546">
        <v>2</v>
      </c>
      <c r="AY546">
        <v>0</v>
      </c>
      <c r="AZ546">
        <v>2</v>
      </c>
      <c r="BA546">
        <v>21</v>
      </c>
      <c r="BB546">
        <v>55</v>
      </c>
      <c r="BC546">
        <v>4</v>
      </c>
      <c r="BD546">
        <v>0</v>
      </c>
      <c r="BE546">
        <v>0</v>
      </c>
      <c r="BF546">
        <v>6</v>
      </c>
      <c r="BG546">
        <v>0</v>
      </c>
      <c r="BH546">
        <v>8</v>
      </c>
      <c r="BI546">
        <v>0</v>
      </c>
      <c r="BJ546">
        <v>44.548670000000001</v>
      </c>
      <c r="BK546">
        <v>10.7974999</v>
      </c>
      <c r="BL546">
        <v>100</v>
      </c>
      <c r="BM546" t="s">
        <v>83</v>
      </c>
      <c r="BN546" t="s">
        <v>84</v>
      </c>
      <c r="BO546" t="s">
        <v>85</v>
      </c>
      <c r="BP546" t="s">
        <v>160</v>
      </c>
      <c r="BQ546" t="s">
        <v>170</v>
      </c>
      <c r="BR546" t="s">
        <v>462</v>
      </c>
      <c r="BS546">
        <v>1139497</v>
      </c>
      <c r="BT546">
        <v>0</v>
      </c>
      <c r="BU546">
        <v>0</v>
      </c>
      <c r="BV546">
        <v>0</v>
      </c>
      <c r="BW546">
        <v>397020</v>
      </c>
      <c r="BX546">
        <v>523705</v>
      </c>
      <c r="BY546">
        <v>218772</v>
      </c>
      <c r="BZ546">
        <v>1</v>
      </c>
      <c r="CA546" t="s">
        <v>463</v>
      </c>
      <c r="CB546" t="s">
        <v>464</v>
      </c>
      <c r="CC546" s="3">
        <v>46092.557106481479</v>
      </c>
      <c r="CD546" t="s">
        <v>91</v>
      </c>
    </row>
    <row r="547" spans="1:82" ht="16" x14ac:dyDescent="0.2">
      <c r="A547" t="s">
        <v>1229</v>
      </c>
      <c r="B547" t="s">
        <v>323</v>
      </c>
      <c r="C547" t="s">
        <v>324</v>
      </c>
      <c r="D547" t="s">
        <v>78</v>
      </c>
      <c r="E547" t="s">
        <v>325</v>
      </c>
      <c r="F547">
        <v>2</v>
      </c>
      <c r="G547">
        <v>50</v>
      </c>
      <c r="H547" t="str">
        <f t="shared" si="57"/>
        <v>2x50</v>
      </c>
      <c r="I547">
        <v>59</v>
      </c>
      <c r="J547" s="4">
        <f t="shared" si="58"/>
        <v>3.0729166666666669E-2</v>
      </c>
      <c r="K547">
        <v>90</v>
      </c>
      <c r="L547" s="4">
        <f t="shared" si="59"/>
        <v>4.6875E-2</v>
      </c>
      <c r="M547">
        <v>136</v>
      </c>
      <c r="N547" s="4">
        <f t="shared" si="60"/>
        <v>7.0833333333333331E-2</v>
      </c>
      <c r="O547">
        <v>271</v>
      </c>
      <c r="P547" s="4">
        <f t="shared" si="61"/>
        <v>0.14114583333333333</v>
      </c>
      <c r="Q547" s="6">
        <f t="shared" si="56"/>
        <v>2035</v>
      </c>
      <c r="R547" s="6">
        <f t="shared" si="62"/>
        <v>4</v>
      </c>
      <c r="S547">
        <v>77</v>
      </c>
      <c r="T547">
        <v>30</v>
      </c>
      <c r="U547">
        <v>-14</v>
      </c>
      <c r="V547">
        <v>-1</v>
      </c>
      <c r="W547">
        <v>-8</v>
      </c>
      <c r="X547">
        <v>-44</v>
      </c>
      <c r="Y547" s="2" t="s">
        <v>326</v>
      </c>
      <c r="Z547">
        <v>44.423740000000002</v>
      </c>
      <c r="AA547">
        <v>12.167870000000001</v>
      </c>
      <c r="AB547" t="s">
        <v>78</v>
      </c>
      <c r="AC547" t="s">
        <v>81</v>
      </c>
      <c r="AD547" t="s">
        <v>82</v>
      </c>
      <c r="AE547">
        <v>94705</v>
      </c>
      <c r="AF547">
        <v>21725</v>
      </c>
      <c r="AG547">
        <v>47117</v>
      </c>
      <c r="AH547">
        <v>7441</v>
      </c>
      <c r="AI547">
        <v>16873</v>
      </c>
      <c r="AJ547">
        <v>1549</v>
      </c>
      <c r="AK547">
        <v>0</v>
      </c>
      <c r="AL547">
        <v>3819</v>
      </c>
      <c r="AM547">
        <v>19880</v>
      </c>
      <c r="AN547">
        <v>84496</v>
      </c>
      <c r="AO547">
        <v>121551</v>
      </c>
      <c r="AP547">
        <v>0</v>
      </c>
      <c r="AQ547">
        <v>1</v>
      </c>
      <c r="AR547">
        <v>4</v>
      </c>
      <c r="AS547">
        <v>6</v>
      </c>
      <c r="AT547">
        <v>0</v>
      </c>
      <c r="AU547">
        <v>10</v>
      </c>
      <c r="AV547">
        <v>2</v>
      </c>
      <c r="AW547">
        <v>3</v>
      </c>
      <c r="AX547">
        <v>0</v>
      </c>
      <c r="AY547">
        <v>0</v>
      </c>
      <c r="AZ547">
        <v>0</v>
      </c>
      <c r="BA547">
        <v>5</v>
      </c>
      <c r="BB547">
        <v>22</v>
      </c>
      <c r="BC547">
        <v>3</v>
      </c>
      <c r="BD547">
        <v>2</v>
      </c>
      <c r="BE547">
        <v>4</v>
      </c>
      <c r="BF547">
        <v>2</v>
      </c>
      <c r="BG547">
        <v>4</v>
      </c>
      <c r="BH547">
        <v>10</v>
      </c>
      <c r="BI547">
        <v>4</v>
      </c>
      <c r="BJ547">
        <v>44.423812900000001</v>
      </c>
      <c r="BK547">
        <v>12.167848299999999</v>
      </c>
      <c r="BL547">
        <v>100</v>
      </c>
      <c r="BM547" t="s">
        <v>83</v>
      </c>
      <c r="BN547" t="s">
        <v>84</v>
      </c>
      <c r="BO547" t="s">
        <v>85</v>
      </c>
      <c r="BP547" t="s">
        <v>160</v>
      </c>
      <c r="BQ547" t="s">
        <v>170</v>
      </c>
      <c r="BR547" t="s">
        <v>327</v>
      </c>
      <c r="BS547">
        <v>1894209</v>
      </c>
      <c r="BT547">
        <v>434511</v>
      </c>
      <c r="BU547">
        <v>942374</v>
      </c>
      <c r="BV547">
        <v>148829</v>
      </c>
      <c r="BW547">
        <v>337513</v>
      </c>
      <c r="BX547">
        <v>30982</v>
      </c>
      <c r="BY547">
        <v>0</v>
      </c>
      <c r="BZ547">
        <v>1</v>
      </c>
      <c r="CA547" t="s">
        <v>328</v>
      </c>
      <c r="CB547" t="s">
        <v>329</v>
      </c>
      <c r="CC547" s="3">
        <v>46092.557106481479</v>
      </c>
      <c r="CD547" t="s">
        <v>91</v>
      </c>
    </row>
    <row r="548" spans="1:82" ht="16" x14ac:dyDescent="0.2">
      <c r="A548" t="s">
        <v>1230</v>
      </c>
      <c r="B548" t="s">
        <v>611</v>
      </c>
      <c r="C548" t="s">
        <v>612</v>
      </c>
      <c r="D548" t="s">
        <v>78</v>
      </c>
      <c r="E548" t="s">
        <v>613</v>
      </c>
      <c r="F548">
        <v>2</v>
      </c>
      <c r="G548">
        <v>50</v>
      </c>
      <c r="H548" t="str">
        <f t="shared" si="57"/>
        <v>2x50</v>
      </c>
      <c r="I548">
        <v>59</v>
      </c>
      <c r="J548" s="4">
        <f t="shared" si="58"/>
        <v>3.0729166666666669E-2</v>
      </c>
      <c r="K548">
        <v>89</v>
      </c>
      <c r="L548" s="4">
        <f t="shared" si="59"/>
        <v>4.6354166666666669E-2</v>
      </c>
      <c r="M548">
        <v>135</v>
      </c>
      <c r="N548" s="4">
        <f t="shared" si="60"/>
        <v>7.03125E-2</v>
      </c>
      <c r="O548">
        <v>270</v>
      </c>
      <c r="P548" s="4">
        <f t="shared" si="61"/>
        <v>0.140625</v>
      </c>
      <c r="Q548" s="6">
        <f t="shared" si="56"/>
        <v>2035</v>
      </c>
      <c r="R548" s="6">
        <f t="shared" si="62"/>
        <v>4</v>
      </c>
      <c r="S548">
        <v>77</v>
      </c>
      <c r="T548">
        <v>4</v>
      </c>
      <c r="U548">
        <v>-13</v>
      </c>
      <c r="V548">
        <v>13</v>
      </c>
      <c r="W548">
        <v>-6</v>
      </c>
      <c r="X548">
        <v>-28</v>
      </c>
      <c r="Y548" s="2" t="s">
        <v>614</v>
      </c>
      <c r="Z548">
        <v>44.817087954999899</v>
      </c>
      <c r="AA548">
        <v>11.607328093252599</v>
      </c>
      <c r="AB548" t="s">
        <v>78</v>
      </c>
      <c r="AC548" t="s">
        <v>81</v>
      </c>
      <c r="AD548" t="s">
        <v>82</v>
      </c>
      <c r="AE548">
        <v>46087</v>
      </c>
      <c r="AF548">
        <v>0</v>
      </c>
      <c r="AG548">
        <v>0</v>
      </c>
      <c r="AH548">
        <v>37545</v>
      </c>
      <c r="AI548">
        <v>4016</v>
      </c>
      <c r="AJ548">
        <v>3968</v>
      </c>
      <c r="AK548">
        <v>558</v>
      </c>
      <c r="AL548">
        <v>9117</v>
      </c>
      <c r="AM548">
        <v>30481</v>
      </c>
      <c r="AN548">
        <v>90579</v>
      </c>
      <c r="AO548">
        <v>137268</v>
      </c>
      <c r="AP548">
        <v>2</v>
      </c>
      <c r="AQ548">
        <v>1</v>
      </c>
      <c r="AR548">
        <v>2</v>
      </c>
      <c r="AS548">
        <v>34</v>
      </c>
      <c r="AT548">
        <v>0</v>
      </c>
      <c r="AU548">
        <v>20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14</v>
      </c>
      <c r="BB548">
        <v>33</v>
      </c>
      <c r="BC548">
        <v>1</v>
      </c>
      <c r="BD548">
        <v>6</v>
      </c>
      <c r="BE548">
        <v>0</v>
      </c>
      <c r="BF548">
        <v>8</v>
      </c>
      <c r="BG548">
        <v>0</v>
      </c>
      <c r="BH548">
        <v>12</v>
      </c>
      <c r="BI548">
        <v>0</v>
      </c>
      <c r="BJ548">
        <v>44.8171757</v>
      </c>
      <c r="BK548">
        <v>11.6068993</v>
      </c>
      <c r="BL548">
        <v>100</v>
      </c>
      <c r="BM548" t="s">
        <v>83</v>
      </c>
      <c r="BN548" t="s">
        <v>84</v>
      </c>
      <c r="BO548" t="s">
        <v>85</v>
      </c>
      <c r="BP548" t="s">
        <v>160</v>
      </c>
      <c r="BQ548" t="s">
        <v>170</v>
      </c>
      <c r="BR548" t="s">
        <v>615</v>
      </c>
      <c r="BS548">
        <v>921813</v>
      </c>
      <c r="BT548">
        <v>0</v>
      </c>
      <c r="BU548">
        <v>0</v>
      </c>
      <c r="BV548">
        <v>750935</v>
      </c>
      <c r="BW548">
        <v>80333</v>
      </c>
      <c r="BX548">
        <v>79370</v>
      </c>
      <c r="BY548">
        <v>11175</v>
      </c>
      <c r="BZ548">
        <v>1</v>
      </c>
      <c r="CA548" t="s">
        <v>616</v>
      </c>
      <c r="CB548" t="s">
        <v>617</v>
      </c>
      <c r="CC548" s="3">
        <v>46092.557106481479</v>
      </c>
      <c r="CD548" t="s">
        <v>91</v>
      </c>
    </row>
    <row r="549" spans="1:82" ht="16" x14ac:dyDescent="0.2">
      <c r="A549" t="s">
        <v>898</v>
      </c>
      <c r="B549" t="s">
        <v>899</v>
      </c>
      <c r="C549" t="s">
        <v>900</v>
      </c>
      <c r="D549" t="s">
        <v>78</v>
      </c>
      <c r="E549" t="s">
        <v>901</v>
      </c>
      <c r="F549">
        <v>4</v>
      </c>
      <c r="G549">
        <v>300</v>
      </c>
      <c r="H549" t="str">
        <f t="shared" si="57"/>
        <v>4x300</v>
      </c>
      <c r="I549">
        <v>219</v>
      </c>
      <c r="J549" s="4">
        <f t="shared" si="58"/>
        <v>3.0416666666666665E-2</v>
      </c>
      <c r="K549">
        <v>331</v>
      </c>
      <c r="L549" s="4">
        <f t="shared" si="59"/>
        <v>4.597222222222222E-2</v>
      </c>
      <c r="M549">
        <v>501</v>
      </c>
      <c r="N549" s="4">
        <f t="shared" si="60"/>
        <v>6.958333333333333E-2</v>
      </c>
      <c r="O549">
        <v>1000</v>
      </c>
      <c r="P549" s="4">
        <f t="shared" si="61"/>
        <v>0.1388888888888889</v>
      </c>
      <c r="Q549" s="6" t="str">
        <f t="shared" si="56"/>
        <v>later</v>
      </c>
      <c r="R549" s="6">
        <f t="shared" si="62"/>
        <v>666</v>
      </c>
      <c r="S549">
        <v>245</v>
      </c>
      <c r="T549">
        <v>-72</v>
      </c>
      <c r="U549">
        <v>-23</v>
      </c>
      <c r="V549">
        <v>6</v>
      </c>
      <c r="W549">
        <v>10</v>
      </c>
      <c r="X549">
        <v>95</v>
      </c>
      <c r="Y549" s="2" t="s">
        <v>902</v>
      </c>
      <c r="Z549">
        <v>45.033625767784002</v>
      </c>
      <c r="AA549">
        <v>11.7774479355824</v>
      </c>
      <c r="AB549" t="s">
        <v>78</v>
      </c>
      <c r="AC549" t="s">
        <v>81</v>
      </c>
      <c r="AD549" t="s">
        <v>82</v>
      </c>
      <c r="AE549">
        <v>15439</v>
      </c>
      <c r="AF549">
        <v>0</v>
      </c>
      <c r="AG549">
        <v>0</v>
      </c>
      <c r="AH549">
        <v>8055</v>
      </c>
      <c r="AI549">
        <v>0</v>
      </c>
      <c r="AJ549">
        <v>7384</v>
      </c>
      <c r="AK549">
        <v>0</v>
      </c>
      <c r="AL549">
        <v>546</v>
      </c>
      <c r="AM549">
        <v>3668</v>
      </c>
      <c r="AN549">
        <v>37187</v>
      </c>
      <c r="AO549">
        <v>76687</v>
      </c>
      <c r="AP549">
        <v>1</v>
      </c>
      <c r="AQ549">
        <v>0</v>
      </c>
      <c r="AR549">
        <v>12</v>
      </c>
      <c r="AS549">
        <v>13</v>
      </c>
      <c r="AT549">
        <v>0</v>
      </c>
      <c r="AU549">
        <v>25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4</v>
      </c>
      <c r="BB549">
        <v>7</v>
      </c>
      <c r="BC549">
        <v>4</v>
      </c>
      <c r="BD549">
        <v>2</v>
      </c>
      <c r="BE549">
        <v>0</v>
      </c>
      <c r="BF549">
        <v>2</v>
      </c>
      <c r="BG549">
        <v>0</v>
      </c>
      <c r="BH549">
        <v>2</v>
      </c>
      <c r="BI549">
        <v>0</v>
      </c>
      <c r="BJ549">
        <v>45.033762600000003</v>
      </c>
      <c r="BK549">
        <v>11.7775178</v>
      </c>
      <c r="BL549">
        <v>1200</v>
      </c>
      <c r="BM549" t="s">
        <v>83</v>
      </c>
      <c r="BN549" t="s">
        <v>84</v>
      </c>
      <c r="BO549" t="s">
        <v>85</v>
      </c>
      <c r="BP549" t="s">
        <v>160</v>
      </c>
      <c r="BQ549" t="s">
        <v>161</v>
      </c>
      <c r="BR549" t="s">
        <v>900</v>
      </c>
      <c r="BS549">
        <v>292820</v>
      </c>
      <c r="BT549">
        <v>0</v>
      </c>
      <c r="BU549">
        <v>0</v>
      </c>
      <c r="BV549">
        <v>161105</v>
      </c>
      <c r="BW549">
        <v>0</v>
      </c>
      <c r="BX549">
        <v>131715</v>
      </c>
      <c r="BY549">
        <v>0</v>
      </c>
      <c r="BZ549">
        <v>1</v>
      </c>
      <c r="CA549" t="s">
        <v>903</v>
      </c>
      <c r="CB549" t="s">
        <v>904</v>
      </c>
      <c r="CC549" s="3">
        <v>46092.557106481479</v>
      </c>
      <c r="CD549" t="s">
        <v>91</v>
      </c>
    </row>
    <row r="550" spans="1:82" ht="16" x14ac:dyDescent="0.2">
      <c r="A550" t="s">
        <v>905</v>
      </c>
      <c r="B550" t="s">
        <v>906</v>
      </c>
      <c r="C550" t="s">
        <v>907</v>
      </c>
      <c r="D550" t="s">
        <v>78</v>
      </c>
      <c r="E550" t="s">
        <v>908</v>
      </c>
      <c r="F550">
        <v>4</v>
      </c>
      <c r="G550">
        <v>300</v>
      </c>
      <c r="H550" t="str">
        <f t="shared" si="57"/>
        <v>4x300</v>
      </c>
      <c r="I550">
        <v>214</v>
      </c>
      <c r="J550" s="4">
        <f t="shared" si="58"/>
        <v>2.9722222222222223E-2</v>
      </c>
      <c r="K550">
        <v>324</v>
      </c>
      <c r="L550" s="4">
        <f t="shared" si="59"/>
        <v>4.5000000000000005E-2</v>
      </c>
      <c r="M550">
        <v>491</v>
      </c>
      <c r="N550" s="4">
        <f t="shared" si="60"/>
        <v>6.8194444444444446E-2</v>
      </c>
      <c r="O550">
        <v>979</v>
      </c>
      <c r="P550" s="4">
        <f t="shared" si="61"/>
        <v>0.13597222222222222</v>
      </c>
      <c r="Q550" s="6" t="str">
        <f t="shared" si="56"/>
        <v>later</v>
      </c>
      <c r="R550" s="6">
        <f t="shared" si="62"/>
        <v>666</v>
      </c>
      <c r="S550">
        <v>245</v>
      </c>
      <c r="T550">
        <v>-68</v>
      </c>
      <c r="U550">
        <v>-24</v>
      </c>
      <c r="V550">
        <v>7</v>
      </c>
      <c r="W550">
        <v>-3</v>
      </c>
      <c r="X550">
        <v>90</v>
      </c>
      <c r="Y550" s="2" t="s">
        <v>909</v>
      </c>
      <c r="Z550">
        <v>42.348129999999998</v>
      </c>
      <c r="AA550">
        <v>13.351430000000001</v>
      </c>
      <c r="AB550" t="s">
        <v>78</v>
      </c>
      <c r="AC550" t="s">
        <v>81</v>
      </c>
      <c r="AD550" t="s">
        <v>82</v>
      </c>
      <c r="AE550">
        <v>1928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1928</v>
      </c>
      <c r="AL550">
        <v>254</v>
      </c>
      <c r="AM550">
        <v>2747</v>
      </c>
      <c r="AN550">
        <v>35329</v>
      </c>
      <c r="AO550">
        <v>75093</v>
      </c>
      <c r="AP550">
        <v>1</v>
      </c>
      <c r="AQ550">
        <v>0</v>
      </c>
      <c r="AR550">
        <v>4</v>
      </c>
      <c r="AS550">
        <v>14</v>
      </c>
      <c r="AT550">
        <v>1</v>
      </c>
      <c r="AU550">
        <v>15</v>
      </c>
      <c r="AV550">
        <v>1</v>
      </c>
      <c r="AW550">
        <v>0</v>
      </c>
      <c r="AX550">
        <v>0</v>
      </c>
      <c r="AY550">
        <v>1</v>
      </c>
      <c r="AZ550">
        <v>3</v>
      </c>
      <c r="BA550">
        <v>6</v>
      </c>
      <c r="BB550">
        <v>10</v>
      </c>
      <c r="BC550">
        <v>2</v>
      </c>
      <c r="BD550">
        <v>4</v>
      </c>
      <c r="BE550">
        <v>0</v>
      </c>
      <c r="BF550">
        <v>4</v>
      </c>
      <c r="BG550">
        <v>0</v>
      </c>
      <c r="BH550">
        <v>4</v>
      </c>
      <c r="BI550">
        <v>0</v>
      </c>
      <c r="BJ550">
        <v>42.348097500000002</v>
      </c>
      <c r="BK550">
        <v>13.351402800000001</v>
      </c>
      <c r="BL550">
        <v>1200</v>
      </c>
      <c r="BM550" t="s">
        <v>83</v>
      </c>
      <c r="BN550" t="s">
        <v>84</v>
      </c>
      <c r="BO550" t="s">
        <v>85</v>
      </c>
      <c r="BP550" t="s">
        <v>97</v>
      </c>
      <c r="BQ550" t="s">
        <v>870</v>
      </c>
      <c r="BR550" t="s">
        <v>910</v>
      </c>
      <c r="BS550">
        <v>38573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38573</v>
      </c>
      <c r="BZ550">
        <v>1</v>
      </c>
      <c r="CA550" t="s">
        <v>911</v>
      </c>
      <c r="CB550" t="s">
        <v>912</v>
      </c>
      <c r="CC550" s="3">
        <v>46092.557106481479</v>
      </c>
      <c r="CD550" t="s">
        <v>91</v>
      </c>
    </row>
    <row r="551" spans="1:82" ht="16" x14ac:dyDescent="0.2">
      <c r="A551" t="s">
        <v>913</v>
      </c>
      <c r="B551" t="s">
        <v>914</v>
      </c>
      <c r="C551" t="s">
        <v>915</v>
      </c>
      <c r="D551" t="s">
        <v>78</v>
      </c>
      <c r="E551" t="s">
        <v>916</v>
      </c>
      <c r="F551">
        <v>4</v>
      </c>
      <c r="G551">
        <v>300</v>
      </c>
      <c r="H551" t="str">
        <f t="shared" si="57"/>
        <v>4x300</v>
      </c>
      <c r="I551">
        <v>214</v>
      </c>
      <c r="J551" s="4">
        <f t="shared" si="58"/>
        <v>2.9722222222222223E-2</v>
      </c>
      <c r="K551">
        <v>323</v>
      </c>
      <c r="L551" s="4">
        <f t="shared" si="59"/>
        <v>4.4861111111111109E-2</v>
      </c>
      <c r="M551">
        <v>489</v>
      </c>
      <c r="N551" s="4">
        <f t="shared" si="60"/>
        <v>6.7916666666666667E-2</v>
      </c>
      <c r="O551">
        <v>976</v>
      </c>
      <c r="P551" s="4">
        <f t="shared" si="61"/>
        <v>0.13555555555555557</v>
      </c>
      <c r="Q551" s="6" t="str">
        <f t="shared" si="56"/>
        <v>later</v>
      </c>
      <c r="R551" s="6">
        <f t="shared" si="62"/>
        <v>666</v>
      </c>
      <c r="S551">
        <v>245</v>
      </c>
      <c r="T551">
        <v>-44</v>
      </c>
      <c r="U551">
        <v>-30</v>
      </c>
      <c r="V551">
        <v>11</v>
      </c>
      <c r="W551">
        <v>-25</v>
      </c>
      <c r="X551">
        <v>93</v>
      </c>
      <c r="Y551" s="2" t="s">
        <v>917</v>
      </c>
      <c r="Z551">
        <v>40.953808000000002</v>
      </c>
      <c r="AA551">
        <v>9.4968459999999997</v>
      </c>
      <c r="AB551" t="s">
        <v>78</v>
      </c>
      <c r="AC551" t="s">
        <v>81</v>
      </c>
      <c r="AD551" t="s">
        <v>82</v>
      </c>
      <c r="AE551">
        <v>20002</v>
      </c>
      <c r="AF551">
        <v>0</v>
      </c>
      <c r="AG551">
        <v>18988</v>
      </c>
      <c r="AH551">
        <v>0</v>
      </c>
      <c r="AI551">
        <v>0</v>
      </c>
      <c r="AJ551">
        <v>1014</v>
      </c>
      <c r="AK551">
        <v>0</v>
      </c>
      <c r="AL551">
        <v>2107</v>
      </c>
      <c r="AM551">
        <v>7799</v>
      </c>
      <c r="AN551">
        <v>43421</v>
      </c>
      <c r="AO551">
        <v>51734</v>
      </c>
      <c r="AP551">
        <v>1</v>
      </c>
      <c r="AQ551">
        <v>2</v>
      </c>
      <c r="AR551">
        <v>4</v>
      </c>
      <c r="AS551">
        <v>3</v>
      </c>
      <c r="AT551">
        <v>2</v>
      </c>
      <c r="AU551">
        <v>20</v>
      </c>
      <c r="AV551">
        <v>4</v>
      </c>
      <c r="AW551">
        <v>0</v>
      </c>
      <c r="AX551">
        <v>2</v>
      </c>
      <c r="AY551">
        <v>0</v>
      </c>
      <c r="AZ551">
        <v>4</v>
      </c>
      <c r="BA551">
        <v>10</v>
      </c>
      <c r="BB551">
        <v>28</v>
      </c>
      <c r="BC551">
        <v>8</v>
      </c>
      <c r="BD551">
        <v>0</v>
      </c>
      <c r="BE551">
        <v>0</v>
      </c>
      <c r="BF551">
        <v>8</v>
      </c>
      <c r="BG551">
        <v>0</v>
      </c>
      <c r="BH551">
        <v>12</v>
      </c>
      <c r="BI551">
        <v>0</v>
      </c>
      <c r="BJ551">
        <v>40.953898199999998</v>
      </c>
      <c r="BK551">
        <v>9.4970441000000001</v>
      </c>
      <c r="BL551">
        <v>1200</v>
      </c>
      <c r="BM551" t="s">
        <v>83</v>
      </c>
      <c r="BN551" t="s">
        <v>84</v>
      </c>
      <c r="BO551" t="s">
        <v>85</v>
      </c>
      <c r="BP551" t="s">
        <v>242</v>
      </c>
      <c r="BQ551" t="s">
        <v>335</v>
      </c>
      <c r="BR551" t="s">
        <v>918</v>
      </c>
      <c r="BS551">
        <v>385997</v>
      </c>
      <c r="BT551">
        <v>0</v>
      </c>
      <c r="BU551">
        <v>365704</v>
      </c>
      <c r="BV551">
        <v>0</v>
      </c>
      <c r="BW551">
        <v>0</v>
      </c>
      <c r="BX551">
        <v>20293</v>
      </c>
      <c r="BY551">
        <v>0</v>
      </c>
      <c r="BZ551">
        <v>1</v>
      </c>
      <c r="CA551" t="s">
        <v>919</v>
      </c>
      <c r="CB551" t="s">
        <v>920</v>
      </c>
      <c r="CC551" s="3">
        <v>46092.557106481479</v>
      </c>
      <c r="CD551" t="s">
        <v>91</v>
      </c>
    </row>
    <row r="552" spans="1:82" ht="16" x14ac:dyDescent="0.2">
      <c r="A552" t="s">
        <v>921</v>
      </c>
      <c r="B552" t="s">
        <v>922</v>
      </c>
      <c r="C552" t="s">
        <v>923</v>
      </c>
      <c r="D552" t="s">
        <v>78</v>
      </c>
      <c r="E552" t="s">
        <v>924</v>
      </c>
      <c r="F552">
        <v>4</v>
      </c>
      <c r="G552">
        <v>300</v>
      </c>
      <c r="H552" t="str">
        <f t="shared" si="57"/>
        <v>4x300</v>
      </c>
      <c r="I552">
        <v>213</v>
      </c>
      <c r="J552" s="4">
        <f t="shared" si="58"/>
        <v>2.9583333333333333E-2</v>
      </c>
      <c r="K552">
        <v>321</v>
      </c>
      <c r="L552" s="4">
        <f t="shared" si="59"/>
        <v>4.4583333333333336E-2</v>
      </c>
      <c r="M552">
        <v>487</v>
      </c>
      <c r="N552" s="4">
        <f t="shared" si="60"/>
        <v>6.7638888888888887E-2</v>
      </c>
      <c r="O552">
        <v>971</v>
      </c>
      <c r="P552" s="4">
        <f t="shared" si="61"/>
        <v>0.13486111111111113</v>
      </c>
      <c r="Q552" s="6" t="str">
        <f t="shared" si="56"/>
        <v>later</v>
      </c>
      <c r="R552" s="6">
        <f t="shared" si="62"/>
        <v>666</v>
      </c>
      <c r="S552">
        <v>245</v>
      </c>
      <c r="T552">
        <v>-66</v>
      </c>
      <c r="U552">
        <v>-24</v>
      </c>
      <c r="V552">
        <v>0</v>
      </c>
      <c r="W552">
        <v>-2</v>
      </c>
      <c r="X552">
        <v>97</v>
      </c>
      <c r="Y552" s="2" t="s">
        <v>925</v>
      </c>
      <c r="Z552">
        <v>43.7368691033315</v>
      </c>
      <c r="AA552">
        <v>10.803782449077</v>
      </c>
      <c r="AB552" t="s">
        <v>78</v>
      </c>
      <c r="AC552" t="s">
        <v>81</v>
      </c>
      <c r="AD552" t="s">
        <v>82</v>
      </c>
      <c r="AE552">
        <v>25230</v>
      </c>
      <c r="AF552">
        <v>0</v>
      </c>
      <c r="AG552">
        <v>0</v>
      </c>
      <c r="AH552">
        <v>0</v>
      </c>
      <c r="AI552">
        <v>10953</v>
      </c>
      <c r="AJ552">
        <v>11891</v>
      </c>
      <c r="AK552">
        <v>2386</v>
      </c>
      <c r="AL552">
        <v>6009</v>
      </c>
      <c r="AM552">
        <v>14149</v>
      </c>
      <c r="AN552">
        <v>39112</v>
      </c>
      <c r="AO552">
        <v>113675</v>
      </c>
      <c r="AP552">
        <v>7</v>
      </c>
      <c r="AQ552">
        <v>0</v>
      </c>
      <c r="AR552">
        <v>3</v>
      </c>
      <c r="AS552">
        <v>2</v>
      </c>
      <c r="AT552">
        <v>0</v>
      </c>
      <c r="AU552">
        <v>15</v>
      </c>
      <c r="AV552">
        <v>3</v>
      </c>
      <c r="AW552">
        <v>0</v>
      </c>
      <c r="AX552">
        <v>0</v>
      </c>
      <c r="AY552">
        <v>0</v>
      </c>
      <c r="AZ552">
        <v>4</v>
      </c>
      <c r="BA552">
        <v>0</v>
      </c>
      <c r="BB552">
        <v>4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43.736789899999998</v>
      </c>
      <c r="BK552">
        <v>10.8037999</v>
      </c>
      <c r="BL552">
        <v>1200</v>
      </c>
      <c r="BM552" t="s">
        <v>83</v>
      </c>
      <c r="BN552" t="s">
        <v>84</v>
      </c>
      <c r="BO552" t="s">
        <v>85</v>
      </c>
      <c r="BP552" t="s">
        <v>86</v>
      </c>
      <c r="BQ552" t="s">
        <v>212</v>
      </c>
      <c r="BR552" t="s">
        <v>213</v>
      </c>
      <c r="BS552">
        <v>504692</v>
      </c>
      <c r="BT552">
        <v>0</v>
      </c>
      <c r="BU552">
        <v>0</v>
      </c>
      <c r="BV552">
        <v>0</v>
      </c>
      <c r="BW552">
        <v>219083</v>
      </c>
      <c r="BX552">
        <v>237844</v>
      </c>
      <c r="BY552">
        <v>47765</v>
      </c>
      <c r="BZ552">
        <v>1</v>
      </c>
      <c r="CA552" t="s">
        <v>926</v>
      </c>
      <c r="CB552" t="s">
        <v>927</v>
      </c>
      <c r="CC552" s="3">
        <v>46092.557106481479</v>
      </c>
      <c r="CD552" t="s">
        <v>91</v>
      </c>
    </row>
    <row r="553" spans="1:82" ht="16" x14ac:dyDescent="0.2">
      <c r="A553" t="s">
        <v>928</v>
      </c>
      <c r="B553" t="s">
        <v>929</v>
      </c>
      <c r="C553" t="s">
        <v>930</v>
      </c>
      <c r="D553" t="s">
        <v>78</v>
      </c>
      <c r="E553" t="s">
        <v>931</v>
      </c>
      <c r="F553">
        <v>4</v>
      </c>
      <c r="G553">
        <v>300</v>
      </c>
      <c r="H553" t="str">
        <f t="shared" si="57"/>
        <v>4x300</v>
      </c>
      <c r="I553">
        <v>212</v>
      </c>
      <c r="J553" s="4">
        <f t="shared" si="58"/>
        <v>2.9444444444444443E-2</v>
      </c>
      <c r="K553">
        <v>320</v>
      </c>
      <c r="L553" s="4">
        <f t="shared" si="59"/>
        <v>4.4444444444444446E-2</v>
      </c>
      <c r="M553">
        <v>485</v>
      </c>
      <c r="N553" s="4">
        <f t="shared" si="60"/>
        <v>6.7361111111111108E-2</v>
      </c>
      <c r="O553">
        <v>968</v>
      </c>
      <c r="P553" s="4">
        <f t="shared" si="61"/>
        <v>0.13444444444444445</v>
      </c>
      <c r="Q553" s="6" t="str">
        <f t="shared" si="56"/>
        <v>later</v>
      </c>
      <c r="R553" s="6">
        <f t="shared" si="62"/>
        <v>666</v>
      </c>
      <c r="S553">
        <v>245</v>
      </c>
      <c r="T553">
        <v>-82</v>
      </c>
      <c r="U553">
        <v>-29</v>
      </c>
      <c r="V553">
        <v>16</v>
      </c>
      <c r="W553">
        <v>1</v>
      </c>
      <c r="X553">
        <v>99</v>
      </c>
      <c r="Y553" s="2" t="s">
        <v>932</v>
      </c>
      <c r="Z553">
        <v>43.879240000000003</v>
      </c>
      <c r="AA553">
        <v>8.0056799999999999</v>
      </c>
      <c r="AB553" t="s">
        <v>78</v>
      </c>
      <c r="AC553" t="s">
        <v>81</v>
      </c>
      <c r="AD553" t="s">
        <v>82</v>
      </c>
      <c r="AE553">
        <v>20088</v>
      </c>
      <c r="AF553">
        <v>0</v>
      </c>
      <c r="AG553">
        <v>0</v>
      </c>
      <c r="AH553">
        <v>18821</v>
      </c>
      <c r="AI553">
        <v>0</v>
      </c>
      <c r="AJ553">
        <v>1138</v>
      </c>
      <c r="AK553">
        <v>129</v>
      </c>
      <c r="AL553">
        <v>7487</v>
      </c>
      <c r="AM553">
        <v>16661</v>
      </c>
      <c r="AN553">
        <v>44436</v>
      </c>
      <c r="AO553">
        <v>66441</v>
      </c>
      <c r="AP553">
        <v>3</v>
      </c>
      <c r="AQ553">
        <v>0</v>
      </c>
      <c r="AR553">
        <v>2</v>
      </c>
      <c r="AS553">
        <v>10</v>
      </c>
      <c r="AT553">
        <v>0</v>
      </c>
      <c r="AU553">
        <v>18</v>
      </c>
      <c r="AV553">
        <v>0</v>
      </c>
      <c r="AW553">
        <v>0</v>
      </c>
      <c r="AX553">
        <v>3</v>
      </c>
      <c r="AY553">
        <v>0</v>
      </c>
      <c r="AZ553">
        <v>1</v>
      </c>
      <c r="BA553">
        <v>6</v>
      </c>
      <c r="BB553">
        <v>11</v>
      </c>
      <c r="BC553">
        <v>1</v>
      </c>
      <c r="BD553">
        <v>2</v>
      </c>
      <c r="BE553">
        <v>0</v>
      </c>
      <c r="BF553">
        <v>4</v>
      </c>
      <c r="BG553">
        <v>0</v>
      </c>
      <c r="BH553">
        <v>4</v>
      </c>
      <c r="BI553">
        <v>0</v>
      </c>
      <c r="BJ553">
        <v>43.879238399999998</v>
      </c>
      <c r="BK553">
        <v>8.0056733999999992</v>
      </c>
      <c r="BL553">
        <v>1200</v>
      </c>
      <c r="BM553" t="s">
        <v>83</v>
      </c>
      <c r="BN553" t="s">
        <v>84</v>
      </c>
      <c r="BO553" t="s">
        <v>85</v>
      </c>
      <c r="BP553" t="s">
        <v>107</v>
      </c>
      <c r="BQ553" t="s">
        <v>569</v>
      </c>
      <c r="BR553" t="s">
        <v>930</v>
      </c>
      <c r="BS553">
        <v>401795</v>
      </c>
      <c r="BT553">
        <v>0</v>
      </c>
      <c r="BU553">
        <v>0</v>
      </c>
      <c r="BV553">
        <v>376434</v>
      </c>
      <c r="BW553">
        <v>0</v>
      </c>
      <c r="BX553">
        <v>22769</v>
      </c>
      <c r="BY553">
        <v>2592</v>
      </c>
      <c r="BZ553">
        <v>1</v>
      </c>
      <c r="CA553" t="s">
        <v>933</v>
      </c>
      <c r="CB553" t="s">
        <v>934</v>
      </c>
      <c r="CC553" s="3">
        <v>46092.557106481479</v>
      </c>
      <c r="CD553" t="s">
        <v>91</v>
      </c>
    </row>
    <row r="554" spans="1:82" ht="16" x14ac:dyDescent="0.2">
      <c r="A554" t="s">
        <v>935</v>
      </c>
      <c r="B554" t="s">
        <v>936</v>
      </c>
      <c r="C554" t="s">
        <v>937</v>
      </c>
      <c r="D554" t="s">
        <v>78</v>
      </c>
      <c r="E554" t="s">
        <v>938</v>
      </c>
      <c r="F554">
        <v>4</v>
      </c>
      <c r="G554">
        <v>300</v>
      </c>
      <c r="H554" t="str">
        <f t="shared" si="57"/>
        <v>4x300</v>
      </c>
      <c r="I554">
        <v>211</v>
      </c>
      <c r="J554" s="4">
        <f t="shared" si="58"/>
        <v>2.9305555555555557E-2</v>
      </c>
      <c r="K554">
        <v>319</v>
      </c>
      <c r="L554" s="4">
        <f t="shared" si="59"/>
        <v>4.4305555555555549E-2</v>
      </c>
      <c r="M554">
        <v>484</v>
      </c>
      <c r="N554" s="4">
        <f t="shared" si="60"/>
        <v>6.7222222222222225E-2</v>
      </c>
      <c r="O554">
        <v>966</v>
      </c>
      <c r="P554" s="4">
        <f t="shared" si="61"/>
        <v>0.13416666666666668</v>
      </c>
      <c r="Q554" s="6" t="str">
        <f t="shared" si="56"/>
        <v>later</v>
      </c>
      <c r="R554" s="6">
        <f t="shared" si="62"/>
        <v>666</v>
      </c>
      <c r="S554">
        <v>245</v>
      </c>
      <c r="T554">
        <v>-66</v>
      </c>
      <c r="U554">
        <v>-24</v>
      </c>
      <c r="V554">
        <v>-6</v>
      </c>
      <c r="W554">
        <v>1</v>
      </c>
      <c r="X554">
        <v>99</v>
      </c>
      <c r="Y554" s="2" t="s">
        <v>939</v>
      </c>
      <c r="Z554">
        <v>45.1772572587208</v>
      </c>
      <c r="AA554">
        <v>9.6325682644175608</v>
      </c>
      <c r="AB554" t="s">
        <v>78</v>
      </c>
      <c r="AC554" t="s">
        <v>81</v>
      </c>
      <c r="AD554" t="s">
        <v>82</v>
      </c>
      <c r="AE554">
        <v>16167</v>
      </c>
      <c r="AF554">
        <v>0</v>
      </c>
      <c r="AG554">
        <v>0</v>
      </c>
      <c r="AH554">
        <v>0</v>
      </c>
      <c r="AI554">
        <v>10960</v>
      </c>
      <c r="AJ554">
        <v>3781</v>
      </c>
      <c r="AK554">
        <v>1426</v>
      </c>
      <c r="AL554">
        <v>3443</v>
      </c>
      <c r="AM554">
        <v>12794</v>
      </c>
      <c r="AN554">
        <v>25198</v>
      </c>
      <c r="AO554">
        <v>69509</v>
      </c>
      <c r="AP554">
        <v>1</v>
      </c>
      <c r="AQ554">
        <v>0</v>
      </c>
      <c r="AR554">
        <v>1</v>
      </c>
      <c r="AS554">
        <v>7</v>
      </c>
      <c r="AT554">
        <v>0</v>
      </c>
      <c r="AU554">
        <v>15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45.1774171</v>
      </c>
      <c r="BK554">
        <v>9.6324953999999998</v>
      </c>
      <c r="BL554">
        <v>1200</v>
      </c>
      <c r="BM554" t="s">
        <v>83</v>
      </c>
      <c r="BN554" t="s">
        <v>84</v>
      </c>
      <c r="BO554" t="s">
        <v>85</v>
      </c>
      <c r="BP554" t="s">
        <v>107</v>
      </c>
      <c r="BQ554" t="s">
        <v>108</v>
      </c>
      <c r="BR554" t="s">
        <v>539</v>
      </c>
      <c r="BS554">
        <v>323461</v>
      </c>
      <c r="BT554">
        <v>0</v>
      </c>
      <c r="BU554">
        <v>0</v>
      </c>
      <c r="BV554">
        <v>0</v>
      </c>
      <c r="BW554">
        <v>219222</v>
      </c>
      <c r="BX554">
        <v>75698</v>
      </c>
      <c r="BY554">
        <v>28541</v>
      </c>
      <c r="BZ554">
        <v>1</v>
      </c>
      <c r="CA554" t="s">
        <v>940</v>
      </c>
      <c r="CB554" t="s">
        <v>941</v>
      </c>
      <c r="CC554" s="3">
        <v>46092.557106481479</v>
      </c>
      <c r="CD554" t="s">
        <v>91</v>
      </c>
    </row>
    <row r="555" spans="1:82" ht="16" x14ac:dyDescent="0.2">
      <c r="A555" t="s">
        <v>942</v>
      </c>
      <c r="B555" t="s">
        <v>943</v>
      </c>
      <c r="C555" t="s">
        <v>944</v>
      </c>
      <c r="D555" t="s">
        <v>78</v>
      </c>
      <c r="E555" t="s">
        <v>945</v>
      </c>
      <c r="F555">
        <v>4</v>
      </c>
      <c r="G555">
        <v>300</v>
      </c>
      <c r="H555" t="str">
        <f t="shared" si="57"/>
        <v>4x300</v>
      </c>
      <c r="I555">
        <v>210</v>
      </c>
      <c r="J555" s="4">
        <f t="shared" si="58"/>
        <v>2.9166666666666664E-2</v>
      </c>
      <c r="K555">
        <v>317</v>
      </c>
      <c r="L555" s="4">
        <f t="shared" si="59"/>
        <v>4.4027777777777777E-2</v>
      </c>
      <c r="M555">
        <v>481</v>
      </c>
      <c r="N555" s="4">
        <f t="shared" si="60"/>
        <v>6.6805555555555549E-2</v>
      </c>
      <c r="O555">
        <v>960</v>
      </c>
      <c r="P555" s="4">
        <f t="shared" si="61"/>
        <v>0.13333333333333333</v>
      </c>
      <c r="Q555" s="6" t="str">
        <f t="shared" si="56"/>
        <v>later</v>
      </c>
      <c r="R555" s="6">
        <f t="shared" si="62"/>
        <v>666</v>
      </c>
      <c r="S555">
        <v>245</v>
      </c>
      <c r="T555">
        <v>-70</v>
      </c>
      <c r="U555">
        <v>-25</v>
      </c>
      <c r="V555">
        <v>22</v>
      </c>
      <c r="W555">
        <v>-11</v>
      </c>
      <c r="X555">
        <v>87</v>
      </c>
      <c r="Y555" s="2" t="s">
        <v>946</v>
      </c>
      <c r="Z555">
        <v>42.03931</v>
      </c>
      <c r="AA555">
        <v>13.42216</v>
      </c>
      <c r="AB555" t="s">
        <v>78</v>
      </c>
      <c r="AC555" t="s">
        <v>81</v>
      </c>
      <c r="AD555" t="s">
        <v>82</v>
      </c>
      <c r="AE555">
        <v>16751</v>
      </c>
      <c r="AF555">
        <v>0</v>
      </c>
      <c r="AG555">
        <v>0</v>
      </c>
      <c r="AH555">
        <v>12529</v>
      </c>
      <c r="AI555">
        <v>0</v>
      </c>
      <c r="AJ555">
        <v>0</v>
      </c>
      <c r="AK555">
        <v>4222</v>
      </c>
      <c r="AL555">
        <v>12259</v>
      </c>
      <c r="AM555">
        <v>30237</v>
      </c>
      <c r="AN555">
        <v>41746</v>
      </c>
      <c r="AO555">
        <v>61317</v>
      </c>
      <c r="AP555">
        <v>7</v>
      </c>
      <c r="AQ555">
        <v>0</v>
      </c>
      <c r="AR555">
        <v>7</v>
      </c>
      <c r="AS555">
        <v>6</v>
      </c>
      <c r="AT555">
        <v>1</v>
      </c>
      <c r="AU555">
        <v>27</v>
      </c>
      <c r="AV555">
        <v>8</v>
      </c>
      <c r="AW555">
        <v>1</v>
      </c>
      <c r="AX555">
        <v>0</v>
      </c>
      <c r="AY555">
        <v>1</v>
      </c>
      <c r="AZ555">
        <v>2</v>
      </c>
      <c r="BA555">
        <v>6</v>
      </c>
      <c r="BB555">
        <v>14</v>
      </c>
      <c r="BC555">
        <v>1</v>
      </c>
      <c r="BD555">
        <v>2</v>
      </c>
      <c r="BE555">
        <v>0</v>
      </c>
      <c r="BF555">
        <v>4</v>
      </c>
      <c r="BG555">
        <v>0</v>
      </c>
      <c r="BH555">
        <v>8</v>
      </c>
      <c r="BI555">
        <v>0</v>
      </c>
      <c r="BJ555">
        <v>42.039415499999997</v>
      </c>
      <c r="BK555">
        <v>13.422079699999999</v>
      </c>
      <c r="BL555">
        <v>1200</v>
      </c>
      <c r="BM555" t="s">
        <v>83</v>
      </c>
      <c r="BN555" t="s">
        <v>84</v>
      </c>
      <c r="BO555" t="s">
        <v>85</v>
      </c>
      <c r="BP555" t="s">
        <v>97</v>
      </c>
      <c r="BQ555" t="s">
        <v>870</v>
      </c>
      <c r="BR555" t="s">
        <v>910</v>
      </c>
      <c r="BS555">
        <v>299077</v>
      </c>
      <c r="BT555">
        <v>0</v>
      </c>
      <c r="BU555">
        <v>0</v>
      </c>
      <c r="BV555">
        <v>214629</v>
      </c>
      <c r="BW555">
        <v>0</v>
      </c>
      <c r="BX555">
        <v>0</v>
      </c>
      <c r="BY555">
        <v>84448</v>
      </c>
      <c r="BZ555">
        <v>1</v>
      </c>
      <c r="CA555" t="s">
        <v>947</v>
      </c>
      <c r="CB555" t="s">
        <v>948</v>
      </c>
      <c r="CC555" s="3">
        <v>46092.557106481479</v>
      </c>
      <c r="CD555" t="s">
        <v>91</v>
      </c>
    </row>
    <row r="556" spans="1:82" ht="16" x14ac:dyDescent="0.2">
      <c r="A556" t="s">
        <v>949</v>
      </c>
      <c r="B556" t="s">
        <v>950</v>
      </c>
      <c r="C556" t="s">
        <v>951</v>
      </c>
      <c r="D556" t="s">
        <v>78</v>
      </c>
      <c r="E556" t="s">
        <v>952</v>
      </c>
      <c r="F556">
        <v>4</v>
      </c>
      <c r="G556">
        <v>300</v>
      </c>
      <c r="H556" t="str">
        <f t="shared" si="57"/>
        <v>4x300</v>
      </c>
      <c r="I556">
        <v>207</v>
      </c>
      <c r="J556" s="4">
        <f t="shared" si="58"/>
        <v>2.8749999999999998E-2</v>
      </c>
      <c r="K556">
        <v>312</v>
      </c>
      <c r="L556" s="4">
        <f t="shared" si="59"/>
        <v>4.3333333333333335E-2</v>
      </c>
      <c r="M556">
        <v>474</v>
      </c>
      <c r="N556" s="4">
        <f t="shared" si="60"/>
        <v>6.5833333333333341E-2</v>
      </c>
      <c r="O556">
        <v>945</v>
      </c>
      <c r="P556" s="4">
        <f t="shared" si="61"/>
        <v>0.13125000000000001</v>
      </c>
      <c r="Q556" s="6" t="str">
        <f t="shared" si="56"/>
        <v>later</v>
      </c>
      <c r="R556" s="6">
        <f t="shared" si="62"/>
        <v>666</v>
      </c>
      <c r="S556">
        <v>245</v>
      </c>
      <c r="T556">
        <v>-65</v>
      </c>
      <c r="U556">
        <v>-24</v>
      </c>
      <c r="V556">
        <v>-12</v>
      </c>
      <c r="W556">
        <v>2</v>
      </c>
      <c r="X556">
        <v>99</v>
      </c>
      <c r="Y556" s="2" t="s">
        <v>953</v>
      </c>
      <c r="Z556">
        <v>38.838334926692298</v>
      </c>
      <c r="AA556">
        <v>16.640370562761401</v>
      </c>
      <c r="AB556" t="s">
        <v>78</v>
      </c>
      <c r="AC556" t="s">
        <v>81</v>
      </c>
      <c r="AD556" t="s">
        <v>82</v>
      </c>
      <c r="AE556">
        <v>10796</v>
      </c>
      <c r="AF556">
        <v>0</v>
      </c>
      <c r="AG556">
        <v>0</v>
      </c>
      <c r="AH556">
        <v>0</v>
      </c>
      <c r="AI556">
        <v>9733</v>
      </c>
      <c r="AJ556">
        <v>0</v>
      </c>
      <c r="AK556">
        <v>1063</v>
      </c>
      <c r="AL556">
        <v>2282</v>
      </c>
      <c r="AM556">
        <v>8685</v>
      </c>
      <c r="AN556">
        <v>32808</v>
      </c>
      <c r="AO556">
        <v>75805</v>
      </c>
      <c r="AP556">
        <v>0</v>
      </c>
      <c r="AQ556">
        <v>0</v>
      </c>
      <c r="AR556">
        <v>1</v>
      </c>
      <c r="AS556">
        <v>2</v>
      </c>
      <c r="AT556">
        <v>1</v>
      </c>
      <c r="AU556">
        <v>8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10</v>
      </c>
      <c r="BB556">
        <v>17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38.838475000000003</v>
      </c>
      <c r="BK556">
        <v>16.640216299999999</v>
      </c>
      <c r="BL556">
        <v>1200</v>
      </c>
      <c r="BM556" t="s">
        <v>83</v>
      </c>
      <c r="BN556" t="s">
        <v>84</v>
      </c>
      <c r="BO556" t="s">
        <v>85</v>
      </c>
      <c r="BP556" t="s">
        <v>97</v>
      </c>
      <c r="BQ556" t="s">
        <v>954</v>
      </c>
      <c r="BR556" t="s">
        <v>955</v>
      </c>
      <c r="BS556">
        <v>215955</v>
      </c>
      <c r="BT556">
        <v>0</v>
      </c>
      <c r="BU556">
        <v>0</v>
      </c>
      <c r="BV556">
        <v>0</v>
      </c>
      <c r="BW556">
        <v>194684</v>
      </c>
      <c r="BX556">
        <v>0</v>
      </c>
      <c r="BY556">
        <v>21271</v>
      </c>
      <c r="BZ556">
        <v>1</v>
      </c>
      <c r="CA556" t="s">
        <v>956</v>
      </c>
      <c r="CB556" t="s">
        <v>957</v>
      </c>
      <c r="CC556" s="3">
        <v>46092.557106481479</v>
      </c>
      <c r="CD556" t="s">
        <v>91</v>
      </c>
    </row>
    <row r="557" spans="1:82" ht="16" x14ac:dyDescent="0.2">
      <c r="A557" t="s">
        <v>961</v>
      </c>
      <c r="B557" t="s">
        <v>962</v>
      </c>
      <c r="C557" t="s">
        <v>963</v>
      </c>
      <c r="D557" t="s">
        <v>78</v>
      </c>
      <c r="E557" t="s">
        <v>964</v>
      </c>
      <c r="F557">
        <v>4</v>
      </c>
      <c r="G557">
        <v>300</v>
      </c>
      <c r="H557" t="str">
        <f t="shared" si="57"/>
        <v>4x300</v>
      </c>
      <c r="I557">
        <v>200</v>
      </c>
      <c r="J557" s="4">
        <f t="shared" si="58"/>
        <v>2.7777777777777776E-2</v>
      </c>
      <c r="K557">
        <v>302</v>
      </c>
      <c r="L557" s="4">
        <f t="shared" si="59"/>
        <v>4.1944444444444444E-2</v>
      </c>
      <c r="M557">
        <v>458</v>
      </c>
      <c r="N557" s="4">
        <f t="shared" si="60"/>
        <v>6.3611111111111104E-2</v>
      </c>
      <c r="O557">
        <v>914</v>
      </c>
      <c r="P557" s="4">
        <f t="shared" si="61"/>
        <v>0.12694444444444444</v>
      </c>
      <c r="Q557" s="6" t="str">
        <f t="shared" si="56"/>
        <v>later</v>
      </c>
      <c r="R557" s="6">
        <f t="shared" si="62"/>
        <v>666</v>
      </c>
      <c r="S557">
        <v>245</v>
      </c>
      <c r="T557">
        <v>-74</v>
      </c>
      <c r="U557">
        <v>-21</v>
      </c>
      <c r="V557">
        <v>-8</v>
      </c>
      <c r="W557">
        <v>-4</v>
      </c>
      <c r="X557">
        <v>98</v>
      </c>
      <c r="Y557" s="2" t="s">
        <v>965</v>
      </c>
      <c r="Z557">
        <v>44.083342999999999</v>
      </c>
      <c r="AA557">
        <v>8.2232869999999991</v>
      </c>
      <c r="AB557" t="s">
        <v>78</v>
      </c>
      <c r="AC557" t="s">
        <v>81</v>
      </c>
      <c r="AD557" t="s">
        <v>82</v>
      </c>
      <c r="AE557">
        <v>11277</v>
      </c>
      <c r="AF557">
        <v>0</v>
      </c>
      <c r="AG557">
        <v>0</v>
      </c>
      <c r="AH557">
        <v>8255</v>
      </c>
      <c r="AI557">
        <v>0</v>
      </c>
      <c r="AJ557">
        <v>970</v>
      </c>
      <c r="AK557">
        <v>2052</v>
      </c>
      <c r="AL557">
        <v>2303</v>
      </c>
      <c r="AM557">
        <v>6108</v>
      </c>
      <c r="AN557">
        <v>36530</v>
      </c>
      <c r="AO557">
        <v>72328</v>
      </c>
      <c r="AP557">
        <v>0</v>
      </c>
      <c r="AQ557">
        <v>0</v>
      </c>
      <c r="AR557">
        <v>2</v>
      </c>
      <c r="AS557">
        <v>8</v>
      </c>
      <c r="AT557">
        <v>0</v>
      </c>
      <c r="AU557">
        <v>8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4</v>
      </c>
      <c r="BB557">
        <v>7</v>
      </c>
      <c r="BC557">
        <v>4</v>
      </c>
      <c r="BD557">
        <v>1</v>
      </c>
      <c r="BE557">
        <v>0</v>
      </c>
      <c r="BF557">
        <v>1</v>
      </c>
      <c r="BG557">
        <v>0</v>
      </c>
      <c r="BH557">
        <v>3</v>
      </c>
      <c r="BI557">
        <v>6</v>
      </c>
      <c r="BJ557">
        <v>44.0833491</v>
      </c>
      <c r="BK557">
        <v>8.2232892999999994</v>
      </c>
      <c r="BL557">
        <v>1200</v>
      </c>
      <c r="BM557" t="s">
        <v>83</v>
      </c>
      <c r="BN557" t="s">
        <v>84</v>
      </c>
      <c r="BO557" t="s">
        <v>85</v>
      </c>
      <c r="BP557" t="s">
        <v>107</v>
      </c>
      <c r="BQ557" t="s">
        <v>569</v>
      </c>
      <c r="BR557" t="s">
        <v>966</v>
      </c>
      <c r="BS557">
        <v>225590</v>
      </c>
      <c r="BT557">
        <v>0</v>
      </c>
      <c r="BU557">
        <v>0</v>
      </c>
      <c r="BV557">
        <v>165105</v>
      </c>
      <c r="BW557">
        <v>0</v>
      </c>
      <c r="BX557">
        <v>19418</v>
      </c>
      <c r="BY557">
        <v>41067</v>
      </c>
      <c r="BZ557">
        <v>1</v>
      </c>
      <c r="CA557" t="s">
        <v>967</v>
      </c>
      <c r="CB557" t="s">
        <v>968</v>
      </c>
      <c r="CC557" s="3">
        <v>46092.557106481479</v>
      </c>
      <c r="CD557" t="s">
        <v>91</v>
      </c>
    </row>
    <row r="558" spans="1:82" ht="16" x14ac:dyDescent="0.2">
      <c r="A558" t="s">
        <v>971</v>
      </c>
      <c r="B558" t="s">
        <v>972</v>
      </c>
      <c r="C558" t="s">
        <v>973</v>
      </c>
      <c r="D558" t="s">
        <v>78</v>
      </c>
      <c r="E558" t="s">
        <v>974</v>
      </c>
      <c r="F558">
        <v>4</v>
      </c>
      <c r="G558">
        <v>300</v>
      </c>
      <c r="H558" t="str">
        <f t="shared" si="57"/>
        <v>4x300</v>
      </c>
      <c r="I558">
        <v>197</v>
      </c>
      <c r="J558" s="4">
        <f t="shared" si="58"/>
        <v>2.736111111111111E-2</v>
      </c>
      <c r="K558">
        <v>297</v>
      </c>
      <c r="L558" s="4">
        <f t="shared" si="59"/>
        <v>4.1250000000000002E-2</v>
      </c>
      <c r="M558">
        <v>450</v>
      </c>
      <c r="N558" s="4">
        <f t="shared" si="60"/>
        <v>6.25E-2</v>
      </c>
      <c r="O558">
        <v>898</v>
      </c>
      <c r="P558" s="4">
        <f t="shared" si="61"/>
        <v>0.12472222222222222</v>
      </c>
      <c r="Q558" s="6" t="str">
        <f t="shared" si="56"/>
        <v>later</v>
      </c>
      <c r="R558" s="6">
        <f t="shared" si="62"/>
        <v>666</v>
      </c>
      <c r="S558">
        <v>245</v>
      </c>
      <c r="T558">
        <v>-74</v>
      </c>
      <c r="U558">
        <v>-25</v>
      </c>
      <c r="V558">
        <v>-5</v>
      </c>
      <c r="W558">
        <v>-4</v>
      </c>
      <c r="X558">
        <v>95</v>
      </c>
      <c r="Y558" s="2" t="s">
        <v>975</v>
      </c>
      <c r="Z558">
        <v>45.122408</v>
      </c>
      <c r="AA558">
        <v>8.4636069999999997</v>
      </c>
      <c r="AB558" t="s">
        <v>78</v>
      </c>
      <c r="AC558" t="s">
        <v>81</v>
      </c>
      <c r="AD558" t="s">
        <v>82</v>
      </c>
      <c r="AE558">
        <v>11013</v>
      </c>
      <c r="AF558">
        <v>0</v>
      </c>
      <c r="AG558">
        <v>0</v>
      </c>
      <c r="AH558">
        <v>3704</v>
      </c>
      <c r="AI558">
        <v>0</v>
      </c>
      <c r="AJ558">
        <v>0</v>
      </c>
      <c r="AK558">
        <v>7309</v>
      </c>
      <c r="AL558">
        <v>2690</v>
      </c>
      <c r="AM558">
        <v>18322</v>
      </c>
      <c r="AN558">
        <v>33303</v>
      </c>
      <c r="AO558">
        <v>52942</v>
      </c>
      <c r="AP558">
        <v>0</v>
      </c>
      <c r="AQ558">
        <v>0</v>
      </c>
      <c r="AR558">
        <v>2</v>
      </c>
      <c r="AS558">
        <v>2</v>
      </c>
      <c r="AT558">
        <v>0</v>
      </c>
      <c r="AU558">
        <v>16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11</v>
      </c>
      <c r="BB558">
        <v>27</v>
      </c>
      <c r="BC558">
        <v>9</v>
      </c>
      <c r="BD558">
        <v>2</v>
      </c>
      <c r="BE558">
        <v>0</v>
      </c>
      <c r="BF558">
        <v>2</v>
      </c>
      <c r="BG558">
        <v>0</v>
      </c>
      <c r="BH558">
        <v>5</v>
      </c>
      <c r="BI558">
        <v>0</v>
      </c>
      <c r="BJ558">
        <v>45.122407699999997</v>
      </c>
      <c r="BK558">
        <v>8.4638810000000007</v>
      </c>
      <c r="BL558">
        <v>1200</v>
      </c>
      <c r="BM558" t="s">
        <v>83</v>
      </c>
      <c r="BN558" t="s">
        <v>84</v>
      </c>
      <c r="BO558" t="s">
        <v>85</v>
      </c>
      <c r="BP558" t="s">
        <v>107</v>
      </c>
      <c r="BQ558" t="s">
        <v>203</v>
      </c>
      <c r="BR558" t="s">
        <v>671</v>
      </c>
      <c r="BS558">
        <v>220292</v>
      </c>
      <c r="BT558">
        <v>0</v>
      </c>
      <c r="BU558">
        <v>0</v>
      </c>
      <c r="BV558">
        <v>74094</v>
      </c>
      <c r="BW558">
        <v>0</v>
      </c>
      <c r="BX558">
        <v>0</v>
      </c>
      <c r="BY558">
        <v>146198</v>
      </c>
      <c r="BZ558">
        <v>1</v>
      </c>
      <c r="CA558" t="s">
        <v>976</v>
      </c>
      <c r="CB558" t="s">
        <v>977</v>
      </c>
      <c r="CC558" s="3">
        <v>46092.557106481479</v>
      </c>
      <c r="CD558" t="s">
        <v>91</v>
      </c>
    </row>
    <row r="559" spans="1:82" ht="16" x14ac:dyDescent="0.2">
      <c r="A559" t="s">
        <v>979</v>
      </c>
      <c r="B559" t="s">
        <v>980</v>
      </c>
      <c r="C559" t="s">
        <v>981</v>
      </c>
      <c r="D559" t="s">
        <v>78</v>
      </c>
      <c r="E559" t="s">
        <v>982</v>
      </c>
      <c r="F559">
        <v>4</v>
      </c>
      <c r="G559">
        <v>300</v>
      </c>
      <c r="H559" t="str">
        <f t="shared" si="57"/>
        <v>4x300</v>
      </c>
      <c r="I559">
        <v>193</v>
      </c>
      <c r="J559" s="4">
        <f t="shared" si="58"/>
        <v>2.6805555555555555E-2</v>
      </c>
      <c r="K559">
        <v>292</v>
      </c>
      <c r="L559" s="4">
        <f t="shared" si="59"/>
        <v>4.055555555555556E-2</v>
      </c>
      <c r="M559">
        <v>443</v>
      </c>
      <c r="N559" s="4">
        <f t="shared" si="60"/>
        <v>6.1527777777777772E-2</v>
      </c>
      <c r="O559">
        <v>883</v>
      </c>
      <c r="P559" s="4">
        <f t="shared" si="61"/>
        <v>0.12263888888888889</v>
      </c>
      <c r="Q559" s="6" t="str">
        <f t="shared" si="56"/>
        <v>later</v>
      </c>
      <c r="R559" s="6">
        <f t="shared" si="62"/>
        <v>666</v>
      </c>
      <c r="S559">
        <v>245</v>
      </c>
      <c r="T559">
        <v>-75</v>
      </c>
      <c r="U559">
        <v>-26</v>
      </c>
      <c r="V559">
        <v>-7</v>
      </c>
      <c r="W559">
        <v>-3</v>
      </c>
      <c r="X559">
        <v>96</v>
      </c>
      <c r="Y559" s="2" t="s">
        <v>983</v>
      </c>
      <c r="Z559">
        <v>45.434049365696602</v>
      </c>
      <c r="AA559">
        <v>8.7128907441756294</v>
      </c>
      <c r="AB559" t="s">
        <v>78</v>
      </c>
      <c r="AC559" t="s">
        <v>81</v>
      </c>
      <c r="AD559" t="s">
        <v>82</v>
      </c>
      <c r="AE559">
        <v>28886</v>
      </c>
      <c r="AF559">
        <v>0</v>
      </c>
      <c r="AG559">
        <v>0</v>
      </c>
      <c r="AH559">
        <v>23116</v>
      </c>
      <c r="AI559">
        <v>513</v>
      </c>
      <c r="AJ559">
        <v>2611</v>
      </c>
      <c r="AK559">
        <v>2646</v>
      </c>
      <c r="AL559">
        <v>1830</v>
      </c>
      <c r="AM559">
        <v>9226</v>
      </c>
      <c r="AN559">
        <v>40525</v>
      </c>
      <c r="AO559">
        <v>171366</v>
      </c>
      <c r="AP559">
        <v>0</v>
      </c>
      <c r="AQ559">
        <v>0</v>
      </c>
      <c r="AR559">
        <v>1</v>
      </c>
      <c r="AS559">
        <v>2</v>
      </c>
      <c r="AT559">
        <v>0</v>
      </c>
      <c r="AU559">
        <v>9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6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45.434079199999999</v>
      </c>
      <c r="BK559">
        <v>8.7128285999999999</v>
      </c>
      <c r="BL559">
        <v>1200</v>
      </c>
      <c r="BM559" t="s">
        <v>83</v>
      </c>
      <c r="BN559" t="s">
        <v>84</v>
      </c>
      <c r="BO559" t="s">
        <v>85</v>
      </c>
      <c r="BP559" t="s">
        <v>107</v>
      </c>
      <c r="BQ559" t="s">
        <v>203</v>
      </c>
      <c r="BR559" t="s">
        <v>310</v>
      </c>
      <c r="BS559">
        <v>567551</v>
      </c>
      <c r="BT559">
        <v>0</v>
      </c>
      <c r="BU559">
        <v>0</v>
      </c>
      <c r="BV559">
        <v>462340</v>
      </c>
      <c r="BW559">
        <v>0</v>
      </c>
      <c r="BX559">
        <v>52286</v>
      </c>
      <c r="BY559">
        <v>52925</v>
      </c>
      <c r="BZ559">
        <v>1</v>
      </c>
      <c r="CA559" t="s">
        <v>984</v>
      </c>
      <c r="CB559" t="s">
        <v>985</v>
      </c>
      <c r="CC559" s="3">
        <v>46092.557106481479</v>
      </c>
      <c r="CD559" t="s">
        <v>91</v>
      </c>
    </row>
    <row r="560" spans="1:82" ht="16" x14ac:dyDescent="0.2">
      <c r="A560" t="s">
        <v>986</v>
      </c>
      <c r="B560" t="s">
        <v>987</v>
      </c>
      <c r="C560" t="s">
        <v>988</v>
      </c>
      <c r="D560" t="s">
        <v>78</v>
      </c>
      <c r="E560" t="s">
        <v>989</v>
      </c>
      <c r="F560">
        <v>4</v>
      </c>
      <c r="G560">
        <v>300</v>
      </c>
      <c r="H560" t="str">
        <f t="shared" si="57"/>
        <v>4x300</v>
      </c>
      <c r="I560">
        <v>192</v>
      </c>
      <c r="J560" s="4">
        <f t="shared" si="58"/>
        <v>2.6666666666666668E-2</v>
      </c>
      <c r="K560">
        <v>290</v>
      </c>
      <c r="L560" s="4">
        <f t="shared" si="59"/>
        <v>4.027777777777778E-2</v>
      </c>
      <c r="M560">
        <v>441</v>
      </c>
      <c r="N560" s="4">
        <f t="shared" si="60"/>
        <v>6.1249999999999999E-2</v>
      </c>
      <c r="O560">
        <v>879</v>
      </c>
      <c r="P560" s="4">
        <f t="shared" si="61"/>
        <v>0.12208333333333334</v>
      </c>
      <c r="Q560" s="6" t="str">
        <f t="shared" si="56"/>
        <v>later</v>
      </c>
      <c r="R560" s="6">
        <f t="shared" si="62"/>
        <v>666</v>
      </c>
      <c r="S560">
        <v>245</v>
      </c>
      <c r="T560">
        <v>-68</v>
      </c>
      <c r="U560">
        <v>-26</v>
      </c>
      <c r="V560">
        <v>0</v>
      </c>
      <c r="W560">
        <v>-19</v>
      </c>
      <c r="X560">
        <v>97</v>
      </c>
      <c r="Y560" s="2" t="s">
        <v>990</v>
      </c>
      <c r="Z560">
        <v>39.891739999999999</v>
      </c>
      <c r="AA560">
        <v>8.5995299999999997</v>
      </c>
      <c r="AB560" t="s">
        <v>78</v>
      </c>
      <c r="AC560" t="s">
        <v>81</v>
      </c>
      <c r="AD560" t="s">
        <v>82</v>
      </c>
      <c r="AE560">
        <v>6129</v>
      </c>
      <c r="AF560">
        <v>0</v>
      </c>
      <c r="AG560">
        <v>0</v>
      </c>
      <c r="AH560">
        <v>0</v>
      </c>
      <c r="AI560">
        <v>4092</v>
      </c>
      <c r="AJ560">
        <v>1677</v>
      </c>
      <c r="AK560">
        <v>360</v>
      </c>
      <c r="AL560">
        <v>7419</v>
      </c>
      <c r="AM560">
        <v>21773</v>
      </c>
      <c r="AN560">
        <v>34716</v>
      </c>
      <c r="AO560">
        <v>52848</v>
      </c>
      <c r="AP560">
        <v>1</v>
      </c>
      <c r="AQ560">
        <v>0</v>
      </c>
      <c r="AR560">
        <v>4</v>
      </c>
      <c r="AS560">
        <v>6</v>
      </c>
      <c r="AT560">
        <v>1</v>
      </c>
      <c r="AU560">
        <v>12</v>
      </c>
      <c r="AV560">
        <v>4</v>
      </c>
      <c r="AW560">
        <v>1</v>
      </c>
      <c r="AX560">
        <v>0</v>
      </c>
      <c r="AY560">
        <v>0</v>
      </c>
      <c r="AZ560">
        <v>1</v>
      </c>
      <c r="BA560">
        <v>22</v>
      </c>
      <c r="BB560">
        <v>46</v>
      </c>
      <c r="BC560">
        <v>5</v>
      </c>
      <c r="BD560">
        <v>4</v>
      </c>
      <c r="BE560">
        <v>0</v>
      </c>
      <c r="BF560">
        <v>6</v>
      </c>
      <c r="BG560">
        <v>0</v>
      </c>
      <c r="BH560">
        <v>6</v>
      </c>
      <c r="BI560">
        <v>0</v>
      </c>
      <c r="BJ560">
        <v>39.891651199999998</v>
      </c>
      <c r="BK560">
        <v>8.5993732999999999</v>
      </c>
      <c r="BL560">
        <v>1200</v>
      </c>
      <c r="BM560" t="s">
        <v>83</v>
      </c>
      <c r="BN560" t="s">
        <v>84</v>
      </c>
      <c r="BO560" t="s">
        <v>85</v>
      </c>
      <c r="BP560" t="s">
        <v>242</v>
      </c>
      <c r="BQ560" t="s">
        <v>335</v>
      </c>
      <c r="BR560" t="s">
        <v>988</v>
      </c>
      <c r="BS560">
        <v>122639</v>
      </c>
      <c r="BT560">
        <v>0</v>
      </c>
      <c r="BU560">
        <v>0</v>
      </c>
      <c r="BV560">
        <v>0</v>
      </c>
      <c r="BW560">
        <v>81868</v>
      </c>
      <c r="BX560">
        <v>33552</v>
      </c>
      <c r="BY560">
        <v>7219</v>
      </c>
      <c r="BZ560">
        <v>1</v>
      </c>
      <c r="CA560" t="s">
        <v>991</v>
      </c>
      <c r="CB560" t="s">
        <v>992</v>
      </c>
      <c r="CC560" s="3">
        <v>46092.557106481479</v>
      </c>
      <c r="CD560" t="s">
        <v>91</v>
      </c>
    </row>
    <row r="561" spans="1:82" ht="16" x14ac:dyDescent="0.2">
      <c r="A561" t="s">
        <v>994</v>
      </c>
      <c r="B561" t="s">
        <v>995</v>
      </c>
      <c r="C561" t="s">
        <v>996</v>
      </c>
      <c r="D561" t="s">
        <v>78</v>
      </c>
      <c r="E561" t="s">
        <v>997</v>
      </c>
      <c r="F561">
        <v>4</v>
      </c>
      <c r="G561">
        <v>300</v>
      </c>
      <c r="H561" t="str">
        <f t="shared" si="57"/>
        <v>4x300</v>
      </c>
      <c r="I561">
        <v>190</v>
      </c>
      <c r="J561" s="4">
        <f t="shared" si="58"/>
        <v>2.6388888888888889E-2</v>
      </c>
      <c r="K561">
        <v>288</v>
      </c>
      <c r="L561" s="4">
        <f t="shared" si="59"/>
        <v>0.04</v>
      </c>
      <c r="M561">
        <v>436</v>
      </c>
      <c r="N561" s="4">
        <f t="shared" si="60"/>
        <v>6.0555555555555557E-2</v>
      </c>
      <c r="O561">
        <v>871</v>
      </c>
      <c r="P561" s="4">
        <f t="shared" si="61"/>
        <v>0.12097222222222222</v>
      </c>
      <c r="Q561" s="6" t="str">
        <f t="shared" si="56"/>
        <v>later</v>
      </c>
      <c r="R561" s="6">
        <f t="shared" si="62"/>
        <v>666</v>
      </c>
      <c r="S561">
        <v>245</v>
      </c>
      <c r="T561">
        <v>-74</v>
      </c>
      <c r="U561">
        <v>-25</v>
      </c>
      <c r="V561">
        <v>4</v>
      </c>
      <c r="W561">
        <v>-12</v>
      </c>
      <c r="X561">
        <v>87</v>
      </c>
      <c r="Y561" s="2" t="s">
        <v>998</v>
      </c>
      <c r="Z561">
        <v>41.5821194067058</v>
      </c>
      <c r="AA561">
        <v>12.8267747932526</v>
      </c>
      <c r="AB561" t="s">
        <v>78</v>
      </c>
      <c r="AC561" t="s">
        <v>81</v>
      </c>
      <c r="AD561" t="s">
        <v>82</v>
      </c>
      <c r="AE561">
        <v>20459</v>
      </c>
      <c r="AF561">
        <v>0</v>
      </c>
      <c r="AG561">
        <v>0</v>
      </c>
      <c r="AH561">
        <v>7036</v>
      </c>
      <c r="AI561">
        <v>0</v>
      </c>
      <c r="AJ561">
        <v>10966</v>
      </c>
      <c r="AK561">
        <v>2457</v>
      </c>
      <c r="AL561">
        <v>6659</v>
      </c>
      <c r="AM561">
        <v>16552</v>
      </c>
      <c r="AN561">
        <v>32105</v>
      </c>
      <c r="AO561">
        <v>62987</v>
      </c>
      <c r="AP561">
        <v>0</v>
      </c>
      <c r="AQ561">
        <v>0</v>
      </c>
      <c r="AR561">
        <v>4</v>
      </c>
      <c r="AS561">
        <v>8</v>
      </c>
      <c r="AT561">
        <v>4</v>
      </c>
      <c r="AU561">
        <v>14</v>
      </c>
      <c r="AV561">
        <v>0</v>
      </c>
      <c r="AW561">
        <v>1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4</v>
      </c>
      <c r="BI561">
        <v>0</v>
      </c>
      <c r="BJ561">
        <v>41.58229</v>
      </c>
      <c r="BK561">
        <v>12.8262099</v>
      </c>
      <c r="BL561">
        <v>1200</v>
      </c>
      <c r="BM561" t="s">
        <v>83</v>
      </c>
      <c r="BN561" t="s">
        <v>84</v>
      </c>
      <c r="BO561" t="s">
        <v>85</v>
      </c>
      <c r="BP561" t="s">
        <v>86</v>
      </c>
      <c r="BQ561" t="s">
        <v>87</v>
      </c>
      <c r="BR561" t="s">
        <v>772</v>
      </c>
      <c r="BS561">
        <v>398692</v>
      </c>
      <c r="BT561">
        <v>0</v>
      </c>
      <c r="BU561">
        <v>0</v>
      </c>
      <c r="BV561">
        <v>140752</v>
      </c>
      <c r="BW561">
        <v>0</v>
      </c>
      <c r="BX561">
        <v>208757</v>
      </c>
      <c r="BY561">
        <v>49183</v>
      </c>
      <c r="BZ561">
        <v>1</v>
      </c>
      <c r="CA561" t="s">
        <v>999</v>
      </c>
      <c r="CB561" t="s">
        <v>1000</v>
      </c>
      <c r="CC561" s="3">
        <v>46092.557106481479</v>
      </c>
      <c r="CD561" t="s">
        <v>91</v>
      </c>
    </row>
    <row r="562" spans="1:82" ht="16" x14ac:dyDescent="0.2">
      <c r="A562" t="s">
        <v>1002</v>
      </c>
      <c r="B562" t="s">
        <v>1003</v>
      </c>
      <c r="C562" t="s">
        <v>1004</v>
      </c>
      <c r="D562" t="s">
        <v>78</v>
      </c>
      <c r="E562" t="s">
        <v>1005</v>
      </c>
      <c r="F562">
        <v>4</v>
      </c>
      <c r="G562">
        <v>300</v>
      </c>
      <c r="H562" t="str">
        <f t="shared" si="57"/>
        <v>4x300</v>
      </c>
      <c r="I562">
        <v>184</v>
      </c>
      <c r="J562" s="4">
        <f t="shared" si="58"/>
        <v>2.5555555555555554E-2</v>
      </c>
      <c r="K562">
        <v>278</v>
      </c>
      <c r="L562" s="4">
        <f t="shared" si="59"/>
        <v>3.861111111111111E-2</v>
      </c>
      <c r="M562">
        <v>422</v>
      </c>
      <c r="N562" s="4">
        <f t="shared" si="60"/>
        <v>5.8611111111111114E-2</v>
      </c>
      <c r="O562">
        <v>842</v>
      </c>
      <c r="P562" s="4">
        <f t="shared" si="61"/>
        <v>0.11694444444444445</v>
      </c>
      <c r="Q562" s="6" t="str">
        <f t="shared" si="56"/>
        <v>later</v>
      </c>
      <c r="R562" s="6">
        <f t="shared" si="62"/>
        <v>666</v>
      </c>
      <c r="S562">
        <v>245</v>
      </c>
      <c r="T562">
        <v>-80</v>
      </c>
      <c r="U562">
        <v>-29</v>
      </c>
      <c r="V562">
        <v>1</v>
      </c>
      <c r="W562">
        <v>-11</v>
      </c>
      <c r="X562">
        <v>94</v>
      </c>
      <c r="Y562" s="2" t="s">
        <v>1006</v>
      </c>
      <c r="Z562">
        <v>41.702924506997299</v>
      </c>
      <c r="AA562">
        <v>13.5895092887061</v>
      </c>
      <c r="AB562" t="s">
        <v>78</v>
      </c>
      <c r="AC562" t="s">
        <v>81</v>
      </c>
      <c r="AD562" t="s">
        <v>82</v>
      </c>
      <c r="AE562">
        <v>16504</v>
      </c>
      <c r="AF562">
        <v>0</v>
      </c>
      <c r="AG562">
        <v>0</v>
      </c>
      <c r="AH562">
        <v>10952</v>
      </c>
      <c r="AI562">
        <v>0</v>
      </c>
      <c r="AJ562">
        <v>5552</v>
      </c>
      <c r="AK562">
        <v>0</v>
      </c>
      <c r="AL562">
        <v>1748</v>
      </c>
      <c r="AM562">
        <v>9711</v>
      </c>
      <c r="AN562">
        <v>41850</v>
      </c>
      <c r="AO562">
        <v>69738</v>
      </c>
      <c r="AP562">
        <v>1</v>
      </c>
      <c r="AQ562">
        <v>0</v>
      </c>
      <c r="AR562">
        <v>4</v>
      </c>
      <c r="AS562">
        <v>6</v>
      </c>
      <c r="AT562">
        <v>0</v>
      </c>
      <c r="AU562">
        <v>19</v>
      </c>
      <c r="AV562">
        <v>8</v>
      </c>
      <c r="AW562">
        <v>2</v>
      </c>
      <c r="AX562">
        <v>0</v>
      </c>
      <c r="AY562">
        <v>1</v>
      </c>
      <c r="AZ562">
        <v>2</v>
      </c>
      <c r="BA562">
        <v>4</v>
      </c>
      <c r="BB562">
        <v>6</v>
      </c>
      <c r="BC562">
        <v>3</v>
      </c>
      <c r="BD562">
        <v>2</v>
      </c>
      <c r="BE562">
        <v>0</v>
      </c>
      <c r="BF562">
        <v>2</v>
      </c>
      <c r="BG562">
        <v>0</v>
      </c>
      <c r="BH562">
        <v>6</v>
      </c>
      <c r="BI562">
        <v>0</v>
      </c>
      <c r="BJ562">
        <v>41.702889999999996</v>
      </c>
      <c r="BK562">
        <v>13.589699899999999</v>
      </c>
      <c r="BL562">
        <v>1200</v>
      </c>
      <c r="BM562" t="s">
        <v>83</v>
      </c>
      <c r="BN562" t="s">
        <v>84</v>
      </c>
      <c r="BO562" t="s">
        <v>85</v>
      </c>
      <c r="BP562" t="s">
        <v>86</v>
      </c>
      <c r="BQ562" t="s">
        <v>87</v>
      </c>
      <c r="BR562" t="s">
        <v>1007</v>
      </c>
      <c r="BS562">
        <v>313478</v>
      </c>
      <c r="BT562">
        <v>0</v>
      </c>
      <c r="BU562">
        <v>0</v>
      </c>
      <c r="BV562">
        <v>202382</v>
      </c>
      <c r="BW562">
        <v>0</v>
      </c>
      <c r="BX562">
        <v>111096</v>
      </c>
      <c r="BY562">
        <v>0</v>
      </c>
      <c r="BZ562">
        <v>1</v>
      </c>
      <c r="CA562" t="s">
        <v>1008</v>
      </c>
      <c r="CB562" t="s">
        <v>1009</v>
      </c>
      <c r="CC562" s="3">
        <v>46092.557106481479</v>
      </c>
      <c r="CD562" t="s">
        <v>91</v>
      </c>
    </row>
    <row r="563" spans="1:82" ht="16" x14ac:dyDescent="0.2">
      <c r="A563" t="s">
        <v>1010</v>
      </c>
      <c r="B563" t="s">
        <v>1011</v>
      </c>
      <c r="C563" t="s">
        <v>1012</v>
      </c>
      <c r="D563" t="s">
        <v>78</v>
      </c>
      <c r="E563" t="s">
        <v>1013</v>
      </c>
      <c r="F563">
        <v>4</v>
      </c>
      <c r="G563">
        <v>300</v>
      </c>
      <c r="H563" t="str">
        <f t="shared" si="57"/>
        <v>4x300</v>
      </c>
      <c r="I563">
        <v>181</v>
      </c>
      <c r="J563" s="4">
        <f t="shared" si="58"/>
        <v>2.5138888888888891E-2</v>
      </c>
      <c r="K563">
        <v>273</v>
      </c>
      <c r="L563" s="4">
        <f t="shared" si="59"/>
        <v>3.7916666666666668E-2</v>
      </c>
      <c r="M563">
        <v>414</v>
      </c>
      <c r="N563" s="4">
        <f t="shared" si="60"/>
        <v>5.7499999999999996E-2</v>
      </c>
      <c r="O563">
        <v>826</v>
      </c>
      <c r="P563" s="4">
        <f t="shared" si="61"/>
        <v>0.11472222222222223</v>
      </c>
      <c r="Q563" s="6" t="str">
        <f t="shared" si="56"/>
        <v>later</v>
      </c>
      <c r="R563" s="6">
        <f t="shared" si="62"/>
        <v>666</v>
      </c>
      <c r="S563">
        <v>245</v>
      </c>
      <c r="T563">
        <v>-76</v>
      </c>
      <c r="U563">
        <v>-27</v>
      </c>
      <c r="V563">
        <v>-6</v>
      </c>
      <c r="W563">
        <v>-11</v>
      </c>
      <c r="X563">
        <v>87</v>
      </c>
      <c r="Y563" s="2" t="s">
        <v>1014</v>
      </c>
      <c r="Z563">
        <v>41.692535960932503</v>
      </c>
      <c r="AA563">
        <v>12.780724235582399</v>
      </c>
      <c r="AB563" t="s">
        <v>78</v>
      </c>
      <c r="AC563" t="s">
        <v>81</v>
      </c>
      <c r="AD563" t="s">
        <v>82</v>
      </c>
      <c r="AE563">
        <v>19578</v>
      </c>
      <c r="AF563">
        <v>0</v>
      </c>
      <c r="AG563">
        <v>0</v>
      </c>
      <c r="AH563">
        <v>6742</v>
      </c>
      <c r="AI563">
        <v>6930</v>
      </c>
      <c r="AJ563">
        <v>2986</v>
      </c>
      <c r="AK563">
        <v>2920</v>
      </c>
      <c r="AL563">
        <v>12135</v>
      </c>
      <c r="AM563">
        <v>24916</v>
      </c>
      <c r="AN563">
        <v>48689</v>
      </c>
      <c r="AO563">
        <v>133378</v>
      </c>
      <c r="AP563">
        <v>3</v>
      </c>
      <c r="AQ563">
        <v>1</v>
      </c>
      <c r="AR563">
        <v>1</v>
      </c>
      <c r="AS563">
        <v>12</v>
      </c>
      <c r="AT563">
        <v>0</v>
      </c>
      <c r="AU563">
        <v>17</v>
      </c>
      <c r="AV563">
        <v>21</v>
      </c>
      <c r="AW563">
        <v>0</v>
      </c>
      <c r="AX563">
        <v>0</v>
      </c>
      <c r="AY563">
        <v>0</v>
      </c>
      <c r="AZ563">
        <v>5</v>
      </c>
      <c r="BA563">
        <v>9</v>
      </c>
      <c r="BB563">
        <v>19</v>
      </c>
      <c r="BC563">
        <v>5</v>
      </c>
      <c r="BD563">
        <v>0</v>
      </c>
      <c r="BE563">
        <v>0</v>
      </c>
      <c r="BF563">
        <v>5</v>
      </c>
      <c r="BG563">
        <v>0</v>
      </c>
      <c r="BH563">
        <v>5</v>
      </c>
      <c r="BI563">
        <v>0</v>
      </c>
      <c r="BJ563">
        <v>41.692558900000002</v>
      </c>
      <c r="BK563">
        <v>12.780775</v>
      </c>
      <c r="BL563">
        <v>1200</v>
      </c>
      <c r="BM563" t="s">
        <v>83</v>
      </c>
      <c r="BN563" t="s">
        <v>84</v>
      </c>
      <c r="BO563" t="s">
        <v>85</v>
      </c>
      <c r="BP563" t="s">
        <v>86</v>
      </c>
      <c r="BQ563" t="s">
        <v>87</v>
      </c>
      <c r="BR563" t="s">
        <v>88</v>
      </c>
      <c r="BS563">
        <v>391651</v>
      </c>
      <c r="BT563">
        <v>0</v>
      </c>
      <c r="BU563">
        <v>0</v>
      </c>
      <c r="BV563">
        <v>134850</v>
      </c>
      <c r="BW563">
        <v>138622</v>
      </c>
      <c r="BX563">
        <v>59751</v>
      </c>
      <c r="BY563">
        <v>58428</v>
      </c>
      <c r="BZ563">
        <v>1</v>
      </c>
      <c r="CA563" t="s">
        <v>1015</v>
      </c>
      <c r="CB563" t="s">
        <v>1016</v>
      </c>
      <c r="CC563" s="3">
        <v>46092.557106481479</v>
      </c>
      <c r="CD563" t="s">
        <v>91</v>
      </c>
    </row>
    <row r="564" spans="1:82" ht="16" x14ac:dyDescent="0.2">
      <c r="A564" t="s">
        <v>1018</v>
      </c>
      <c r="B564" t="s">
        <v>1019</v>
      </c>
      <c r="C564" t="s">
        <v>1020</v>
      </c>
      <c r="D564" t="s">
        <v>78</v>
      </c>
      <c r="E564" t="s">
        <v>1021</v>
      </c>
      <c r="F564">
        <v>4</v>
      </c>
      <c r="G564">
        <v>300</v>
      </c>
      <c r="H564" t="str">
        <f t="shared" si="57"/>
        <v>4x300</v>
      </c>
      <c r="I564">
        <v>178</v>
      </c>
      <c r="J564" s="4">
        <f t="shared" si="58"/>
        <v>2.4722222222222225E-2</v>
      </c>
      <c r="K564">
        <v>269</v>
      </c>
      <c r="L564" s="4">
        <f t="shared" si="59"/>
        <v>3.7361111111111109E-2</v>
      </c>
      <c r="M564">
        <v>408</v>
      </c>
      <c r="N564" s="4">
        <f t="shared" si="60"/>
        <v>5.6666666666666671E-2</v>
      </c>
      <c r="O564">
        <v>815</v>
      </c>
      <c r="P564" s="4">
        <f t="shared" si="61"/>
        <v>0.11319444444444444</v>
      </c>
      <c r="Q564" s="6" t="str">
        <f t="shared" si="56"/>
        <v>later</v>
      </c>
      <c r="R564" s="6">
        <f t="shared" si="62"/>
        <v>666</v>
      </c>
      <c r="S564">
        <v>245</v>
      </c>
      <c r="T564">
        <v>-78</v>
      </c>
      <c r="U564">
        <v>-28</v>
      </c>
      <c r="V564">
        <v>-17</v>
      </c>
      <c r="W564">
        <v>-5</v>
      </c>
      <c r="X564">
        <v>97</v>
      </c>
      <c r="Y564" s="2" t="s">
        <v>1022</v>
      </c>
      <c r="Z564">
        <v>44.6031885819827</v>
      </c>
      <c r="AA564">
        <v>11.031489808600201</v>
      </c>
      <c r="AB564" t="s">
        <v>78</v>
      </c>
      <c r="AC564" t="s">
        <v>81</v>
      </c>
      <c r="AD564" t="s">
        <v>82</v>
      </c>
      <c r="AE564">
        <v>18288</v>
      </c>
      <c r="AF564">
        <v>0</v>
      </c>
      <c r="AG564">
        <v>0</v>
      </c>
      <c r="AH564">
        <v>12977</v>
      </c>
      <c r="AI564">
        <v>2414</v>
      </c>
      <c r="AJ564">
        <v>2897</v>
      </c>
      <c r="AK564">
        <v>0</v>
      </c>
      <c r="AL564">
        <v>1109</v>
      </c>
      <c r="AM564">
        <v>10590</v>
      </c>
      <c r="AN564">
        <v>31241</v>
      </c>
      <c r="AO564">
        <v>190686</v>
      </c>
      <c r="AP564">
        <v>0</v>
      </c>
      <c r="AQ564">
        <v>0</v>
      </c>
      <c r="AR564">
        <v>1</v>
      </c>
      <c r="AS564">
        <v>5</v>
      </c>
      <c r="AT564">
        <v>4</v>
      </c>
      <c r="AU564">
        <v>18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12</v>
      </c>
      <c r="BC564">
        <v>0</v>
      </c>
      <c r="BD564">
        <v>4</v>
      </c>
      <c r="BE564">
        <v>0</v>
      </c>
      <c r="BF564">
        <v>4</v>
      </c>
      <c r="BG564">
        <v>0</v>
      </c>
      <c r="BH564">
        <v>4</v>
      </c>
      <c r="BI564">
        <v>0</v>
      </c>
      <c r="BJ564">
        <v>44.603355899999997</v>
      </c>
      <c r="BK564">
        <v>11.0315335</v>
      </c>
      <c r="BL564">
        <v>1200</v>
      </c>
      <c r="BM564" t="s">
        <v>83</v>
      </c>
      <c r="BN564" t="s">
        <v>84</v>
      </c>
      <c r="BO564" t="s">
        <v>85</v>
      </c>
      <c r="BP564" t="s">
        <v>160</v>
      </c>
      <c r="BQ564" t="s">
        <v>170</v>
      </c>
      <c r="BR564" t="s">
        <v>462</v>
      </c>
      <c r="BS564">
        <v>365819</v>
      </c>
      <c r="BT564">
        <v>0</v>
      </c>
      <c r="BU564">
        <v>0</v>
      </c>
      <c r="BV564">
        <v>259562</v>
      </c>
      <c r="BW564">
        <v>48298</v>
      </c>
      <c r="BX564">
        <v>57959</v>
      </c>
      <c r="BY564">
        <v>0</v>
      </c>
      <c r="BZ564">
        <v>1</v>
      </c>
      <c r="CA564" t="s">
        <v>1023</v>
      </c>
      <c r="CB564" t="s">
        <v>1024</v>
      </c>
      <c r="CC564" s="3">
        <v>46092.557106481479</v>
      </c>
      <c r="CD564" t="s">
        <v>91</v>
      </c>
    </row>
    <row r="565" spans="1:82" ht="16" x14ac:dyDescent="0.2">
      <c r="A565" t="s">
        <v>1026</v>
      </c>
      <c r="B565" t="s">
        <v>1027</v>
      </c>
      <c r="C565" t="s">
        <v>1028</v>
      </c>
      <c r="D565" t="s">
        <v>78</v>
      </c>
      <c r="E565" t="s">
        <v>1029</v>
      </c>
      <c r="F565">
        <v>4</v>
      </c>
      <c r="G565">
        <v>300</v>
      </c>
      <c r="H565" t="str">
        <f t="shared" si="57"/>
        <v>4x300</v>
      </c>
      <c r="I565">
        <v>177</v>
      </c>
      <c r="J565" s="4">
        <f t="shared" si="58"/>
        <v>2.4583333333333332E-2</v>
      </c>
      <c r="K565">
        <v>268</v>
      </c>
      <c r="L565" s="4">
        <f t="shared" si="59"/>
        <v>3.7222222222222219E-2</v>
      </c>
      <c r="M565">
        <v>406</v>
      </c>
      <c r="N565" s="4">
        <f t="shared" si="60"/>
        <v>5.6388888888888884E-2</v>
      </c>
      <c r="O565">
        <v>810</v>
      </c>
      <c r="P565" s="4">
        <f t="shared" si="61"/>
        <v>0.1125</v>
      </c>
      <c r="Q565" s="6" t="str">
        <f t="shared" si="56"/>
        <v>later</v>
      </c>
      <c r="R565" s="6">
        <f t="shared" si="62"/>
        <v>666</v>
      </c>
      <c r="S565">
        <v>245</v>
      </c>
      <c r="T565">
        <v>-81</v>
      </c>
      <c r="U565">
        <v>-28</v>
      </c>
      <c r="V565">
        <v>-2</v>
      </c>
      <c r="W565">
        <v>-6</v>
      </c>
      <c r="X565">
        <v>87</v>
      </c>
      <c r="Y565" s="2" t="s">
        <v>1030</v>
      </c>
      <c r="Z565">
        <v>41.704256100000002</v>
      </c>
      <c r="AA565">
        <v>12.6867518</v>
      </c>
      <c r="AB565" t="s">
        <v>78</v>
      </c>
      <c r="AC565" t="s">
        <v>81</v>
      </c>
      <c r="AD565" t="s">
        <v>82</v>
      </c>
      <c r="AE565">
        <v>17976</v>
      </c>
      <c r="AF565">
        <v>0</v>
      </c>
      <c r="AG565">
        <v>0</v>
      </c>
      <c r="AH565">
        <v>5938</v>
      </c>
      <c r="AI565">
        <v>0</v>
      </c>
      <c r="AJ565">
        <v>12038</v>
      </c>
      <c r="AK565">
        <v>0</v>
      </c>
      <c r="AL565">
        <v>14659</v>
      </c>
      <c r="AM565">
        <v>24850</v>
      </c>
      <c r="AN565">
        <v>80592</v>
      </c>
      <c r="AO565">
        <v>226185</v>
      </c>
      <c r="AP565">
        <v>2</v>
      </c>
      <c r="AQ565">
        <v>0</v>
      </c>
      <c r="AR565">
        <v>6</v>
      </c>
      <c r="AS565">
        <v>15</v>
      </c>
      <c r="AT565">
        <v>1</v>
      </c>
      <c r="AU565">
        <v>29</v>
      </c>
      <c r="AV565">
        <v>3</v>
      </c>
      <c r="AW565">
        <v>1</v>
      </c>
      <c r="AX565">
        <v>1</v>
      </c>
      <c r="AY565">
        <v>1</v>
      </c>
      <c r="AZ565">
        <v>1</v>
      </c>
      <c r="BA565">
        <v>5</v>
      </c>
      <c r="BB565">
        <v>13</v>
      </c>
      <c r="BC565">
        <v>1</v>
      </c>
      <c r="BD565">
        <v>2</v>
      </c>
      <c r="BE565">
        <v>0</v>
      </c>
      <c r="BF565">
        <v>4</v>
      </c>
      <c r="BG565">
        <v>0</v>
      </c>
      <c r="BH565">
        <v>4</v>
      </c>
      <c r="BI565">
        <v>0</v>
      </c>
      <c r="BJ565">
        <v>41.704278199999997</v>
      </c>
      <c r="BK565">
        <v>12.686697499999999</v>
      </c>
      <c r="BL565">
        <v>1200</v>
      </c>
      <c r="BM565" t="s">
        <v>83</v>
      </c>
      <c r="BN565" t="s">
        <v>84</v>
      </c>
      <c r="BO565" t="s">
        <v>85</v>
      </c>
      <c r="BP565" t="s">
        <v>86</v>
      </c>
      <c r="BQ565" t="s">
        <v>87</v>
      </c>
      <c r="BR565" t="s">
        <v>88</v>
      </c>
      <c r="BS565">
        <v>359557</v>
      </c>
      <c r="BT565">
        <v>0</v>
      </c>
      <c r="BU565">
        <v>0</v>
      </c>
      <c r="BV565">
        <v>118766</v>
      </c>
      <c r="BW565">
        <v>0</v>
      </c>
      <c r="BX565">
        <v>240791</v>
      </c>
      <c r="BY565">
        <v>0</v>
      </c>
      <c r="BZ565">
        <v>1</v>
      </c>
      <c r="CA565" t="s">
        <v>1031</v>
      </c>
      <c r="CB565" t="s">
        <v>1032</v>
      </c>
      <c r="CC565" s="3">
        <v>46092.557106481479</v>
      </c>
      <c r="CD565" t="s">
        <v>91</v>
      </c>
    </row>
    <row r="566" spans="1:82" ht="16" x14ac:dyDescent="0.2">
      <c r="A566" t="s">
        <v>1033</v>
      </c>
      <c r="B566" t="s">
        <v>1034</v>
      </c>
      <c r="C566" t="s">
        <v>1035</v>
      </c>
      <c r="D566" t="s">
        <v>78</v>
      </c>
      <c r="E566" t="s">
        <v>1036</v>
      </c>
      <c r="F566">
        <v>4</v>
      </c>
      <c r="G566">
        <v>300</v>
      </c>
      <c r="H566" t="str">
        <f t="shared" si="57"/>
        <v>4x300</v>
      </c>
      <c r="I566">
        <v>176</v>
      </c>
      <c r="J566" s="4">
        <f t="shared" si="58"/>
        <v>2.4444444444444446E-2</v>
      </c>
      <c r="K566">
        <v>266</v>
      </c>
      <c r="L566" s="4">
        <f t="shared" si="59"/>
        <v>3.6944444444444446E-2</v>
      </c>
      <c r="M566">
        <v>404</v>
      </c>
      <c r="N566" s="4">
        <f t="shared" si="60"/>
        <v>5.6111111111111112E-2</v>
      </c>
      <c r="O566">
        <v>805</v>
      </c>
      <c r="P566" s="4">
        <f t="shared" si="61"/>
        <v>0.11180555555555555</v>
      </c>
      <c r="Q566" s="6" t="str">
        <f t="shared" si="56"/>
        <v>later</v>
      </c>
      <c r="R566" s="6">
        <f t="shared" si="62"/>
        <v>666</v>
      </c>
      <c r="S566">
        <v>245</v>
      </c>
      <c r="T566">
        <v>-75</v>
      </c>
      <c r="U566">
        <v>-18</v>
      </c>
      <c r="V566">
        <v>-37</v>
      </c>
      <c r="W566">
        <v>-2</v>
      </c>
      <c r="X566">
        <v>100</v>
      </c>
      <c r="Y566" s="2" t="s">
        <v>1037</v>
      </c>
      <c r="Z566">
        <v>43.073369999999997</v>
      </c>
      <c r="AA566">
        <v>10.53839</v>
      </c>
      <c r="AB566" t="s">
        <v>78</v>
      </c>
      <c r="AC566" t="s">
        <v>81</v>
      </c>
      <c r="AD566" t="s">
        <v>82</v>
      </c>
      <c r="AE566">
        <v>4879</v>
      </c>
      <c r="AF566">
        <v>0</v>
      </c>
      <c r="AG566">
        <v>0</v>
      </c>
      <c r="AH566">
        <v>0</v>
      </c>
      <c r="AI566">
        <v>4250</v>
      </c>
      <c r="AJ566">
        <v>0</v>
      </c>
      <c r="AK566">
        <v>629</v>
      </c>
      <c r="AL566">
        <v>127</v>
      </c>
      <c r="AM566">
        <v>1123</v>
      </c>
      <c r="AN566">
        <v>7166</v>
      </c>
      <c r="AO566">
        <v>20736</v>
      </c>
      <c r="AP566">
        <v>0</v>
      </c>
      <c r="AQ566">
        <v>0</v>
      </c>
      <c r="AR566">
        <v>1</v>
      </c>
      <c r="AS566">
        <v>1</v>
      </c>
      <c r="AT566">
        <v>2</v>
      </c>
      <c r="AU566">
        <v>3</v>
      </c>
      <c r="AV566">
        <v>2</v>
      </c>
      <c r="AW566">
        <v>0</v>
      </c>
      <c r="AX566">
        <v>1</v>
      </c>
      <c r="AY566">
        <v>0</v>
      </c>
      <c r="AZ566">
        <v>0</v>
      </c>
      <c r="BA566">
        <v>4</v>
      </c>
      <c r="BB566">
        <v>13</v>
      </c>
      <c r="BC566">
        <v>2</v>
      </c>
      <c r="BD566">
        <v>0</v>
      </c>
      <c r="BE566">
        <v>0</v>
      </c>
      <c r="BF566">
        <v>0</v>
      </c>
      <c r="BG566">
        <v>0</v>
      </c>
      <c r="BH566">
        <v>2</v>
      </c>
      <c r="BI566">
        <v>0</v>
      </c>
      <c r="BJ566">
        <v>43.073397900000003</v>
      </c>
      <c r="BK566">
        <v>10.5384075</v>
      </c>
      <c r="BL566">
        <v>1200</v>
      </c>
      <c r="BM566" t="s">
        <v>83</v>
      </c>
      <c r="BN566" t="s">
        <v>84</v>
      </c>
      <c r="BO566" t="s">
        <v>85</v>
      </c>
      <c r="BP566" t="s">
        <v>86</v>
      </c>
      <c r="BQ566" t="s">
        <v>212</v>
      </c>
      <c r="BR566" t="s">
        <v>454</v>
      </c>
      <c r="BS566">
        <v>97610</v>
      </c>
      <c r="BT566">
        <v>0</v>
      </c>
      <c r="BU566">
        <v>0</v>
      </c>
      <c r="BV566">
        <v>0</v>
      </c>
      <c r="BW566">
        <v>85020</v>
      </c>
      <c r="BX566">
        <v>0</v>
      </c>
      <c r="BY566">
        <v>12590</v>
      </c>
      <c r="BZ566">
        <v>1</v>
      </c>
      <c r="CA566" t="s">
        <v>1038</v>
      </c>
      <c r="CB566" t="s">
        <v>1039</v>
      </c>
      <c r="CC566" s="3">
        <v>46092.557106481479</v>
      </c>
      <c r="CD566" t="s">
        <v>91</v>
      </c>
    </row>
    <row r="567" spans="1:82" ht="16" x14ac:dyDescent="0.2">
      <c r="A567" t="s">
        <v>1049</v>
      </c>
      <c r="B567" t="s">
        <v>1050</v>
      </c>
      <c r="C567" t="s">
        <v>1051</v>
      </c>
      <c r="D567" t="s">
        <v>78</v>
      </c>
      <c r="E567" t="s">
        <v>1052</v>
      </c>
      <c r="F567">
        <v>4</v>
      </c>
      <c r="G567">
        <v>300</v>
      </c>
      <c r="H567" t="str">
        <f t="shared" si="57"/>
        <v>4x300</v>
      </c>
      <c r="I567">
        <v>166</v>
      </c>
      <c r="J567" s="4">
        <f t="shared" si="58"/>
        <v>2.3055555555555555E-2</v>
      </c>
      <c r="K567">
        <v>250</v>
      </c>
      <c r="L567" s="4">
        <f t="shared" si="59"/>
        <v>3.4722222222222224E-2</v>
      </c>
      <c r="M567">
        <v>379</v>
      </c>
      <c r="N567" s="4">
        <f t="shared" si="60"/>
        <v>5.2638888888888895E-2</v>
      </c>
      <c r="O567">
        <v>757</v>
      </c>
      <c r="P567" s="4">
        <f t="shared" si="61"/>
        <v>0.10513888888888889</v>
      </c>
      <c r="Q567" s="6" t="str">
        <f t="shared" si="56"/>
        <v>later</v>
      </c>
      <c r="R567" s="6">
        <f t="shared" si="62"/>
        <v>666</v>
      </c>
      <c r="S567">
        <v>245</v>
      </c>
      <c r="T567">
        <v>-79</v>
      </c>
      <c r="U567">
        <v>-28</v>
      </c>
      <c r="V567">
        <v>9</v>
      </c>
      <c r="W567">
        <v>-36</v>
      </c>
      <c r="X567">
        <v>92</v>
      </c>
      <c r="Y567" s="2" t="s">
        <v>1053</v>
      </c>
      <c r="Z567">
        <v>45.516686086832998</v>
      </c>
      <c r="AA567">
        <v>11.466294001845799</v>
      </c>
      <c r="AB567" t="s">
        <v>78</v>
      </c>
      <c r="AC567" t="s">
        <v>81</v>
      </c>
      <c r="AD567" t="s">
        <v>82</v>
      </c>
      <c r="AE567">
        <v>16077</v>
      </c>
      <c r="AF567">
        <v>0</v>
      </c>
      <c r="AG567">
        <v>0</v>
      </c>
      <c r="AH567">
        <v>9006</v>
      </c>
      <c r="AI567">
        <v>0</v>
      </c>
      <c r="AJ567">
        <v>7071</v>
      </c>
      <c r="AK567">
        <v>0</v>
      </c>
      <c r="AL567">
        <v>5101</v>
      </c>
      <c r="AM567">
        <v>17058</v>
      </c>
      <c r="AN567">
        <v>61244</v>
      </c>
      <c r="AO567">
        <v>217734</v>
      </c>
      <c r="AP567">
        <v>0</v>
      </c>
      <c r="AQ567">
        <v>1</v>
      </c>
      <c r="AR567">
        <v>3</v>
      </c>
      <c r="AS567">
        <v>3</v>
      </c>
      <c r="AT567">
        <v>0</v>
      </c>
      <c r="AU567">
        <v>5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4</v>
      </c>
      <c r="BB567">
        <v>20</v>
      </c>
      <c r="BC567">
        <v>2</v>
      </c>
      <c r="BD567">
        <v>0</v>
      </c>
      <c r="BE567">
        <v>0</v>
      </c>
      <c r="BF567">
        <v>2</v>
      </c>
      <c r="BG567">
        <v>2</v>
      </c>
      <c r="BH567">
        <v>8</v>
      </c>
      <c r="BI567">
        <v>2</v>
      </c>
      <c r="BJ567">
        <v>45.516649600000001</v>
      </c>
      <c r="BK567">
        <v>11.466331800000001</v>
      </c>
      <c r="BL567">
        <v>1200</v>
      </c>
      <c r="BM567" t="s">
        <v>83</v>
      </c>
      <c r="BN567" t="s">
        <v>84</v>
      </c>
      <c r="BO567" t="s">
        <v>85</v>
      </c>
      <c r="BP567" t="s">
        <v>160</v>
      </c>
      <c r="BQ567" t="s">
        <v>161</v>
      </c>
      <c r="BR567" t="s">
        <v>527</v>
      </c>
      <c r="BS567">
        <v>321581</v>
      </c>
      <c r="BT567">
        <v>0</v>
      </c>
      <c r="BU567">
        <v>0</v>
      </c>
      <c r="BV567">
        <v>180132</v>
      </c>
      <c r="BW567">
        <v>0</v>
      </c>
      <c r="BX567">
        <v>141449</v>
      </c>
      <c r="BY567">
        <v>0</v>
      </c>
      <c r="BZ567">
        <v>1</v>
      </c>
      <c r="CA567" t="s">
        <v>1054</v>
      </c>
      <c r="CB567" t="s">
        <v>1055</v>
      </c>
      <c r="CC567" s="3">
        <v>46092.557106481479</v>
      </c>
      <c r="CD567" t="s">
        <v>91</v>
      </c>
    </row>
    <row r="568" spans="1:82" ht="16" x14ac:dyDescent="0.2">
      <c r="A568" t="s">
        <v>1060</v>
      </c>
      <c r="B568" t="s">
        <v>1061</v>
      </c>
      <c r="C568" t="s">
        <v>1062</v>
      </c>
      <c r="D568" t="s">
        <v>78</v>
      </c>
      <c r="E568" t="s">
        <v>1063</v>
      </c>
      <c r="F568">
        <v>4</v>
      </c>
      <c r="G568">
        <v>300</v>
      </c>
      <c r="H568" t="str">
        <f t="shared" si="57"/>
        <v>4x300</v>
      </c>
      <c r="I568">
        <v>160</v>
      </c>
      <c r="J568" s="4">
        <f t="shared" si="58"/>
        <v>2.2222222222222223E-2</v>
      </c>
      <c r="K568">
        <v>242</v>
      </c>
      <c r="L568" s="4">
        <f t="shared" si="59"/>
        <v>3.3611111111111112E-2</v>
      </c>
      <c r="M568">
        <v>366</v>
      </c>
      <c r="N568" s="4">
        <f t="shared" si="60"/>
        <v>5.0833333333333335E-2</v>
      </c>
      <c r="O568">
        <v>731</v>
      </c>
      <c r="P568" s="4">
        <f t="shared" si="61"/>
        <v>0.10152777777777777</v>
      </c>
      <c r="Q568" s="6" t="str">
        <f t="shared" si="56"/>
        <v>later</v>
      </c>
      <c r="R568" s="6">
        <f t="shared" si="62"/>
        <v>666</v>
      </c>
      <c r="S568">
        <v>245</v>
      </c>
      <c r="T568">
        <v>-80</v>
      </c>
      <c r="U568">
        <v>-30</v>
      </c>
      <c r="V568">
        <v>-28</v>
      </c>
      <c r="W568">
        <v>-5</v>
      </c>
      <c r="X568">
        <v>93</v>
      </c>
      <c r="Y568" s="2" t="s">
        <v>1064</v>
      </c>
      <c r="Z568">
        <v>43.317480442110003</v>
      </c>
      <c r="AA568">
        <v>11.353866237428299</v>
      </c>
      <c r="AB568" t="s">
        <v>78</v>
      </c>
      <c r="AC568" t="s">
        <v>81</v>
      </c>
      <c r="AD568" t="s">
        <v>82</v>
      </c>
      <c r="AE568">
        <v>26204</v>
      </c>
      <c r="AF568">
        <v>0</v>
      </c>
      <c r="AG568">
        <v>0</v>
      </c>
      <c r="AH568">
        <v>15309</v>
      </c>
      <c r="AI568">
        <v>4801</v>
      </c>
      <c r="AJ568">
        <v>6094</v>
      </c>
      <c r="AK568">
        <v>0</v>
      </c>
      <c r="AL568">
        <v>2150</v>
      </c>
      <c r="AM568">
        <v>12986</v>
      </c>
      <c r="AN568">
        <v>47240</v>
      </c>
      <c r="AO568">
        <v>73482</v>
      </c>
      <c r="AP568">
        <v>1</v>
      </c>
      <c r="AQ568">
        <v>0</v>
      </c>
      <c r="AR568">
        <v>2</v>
      </c>
      <c r="AS568">
        <v>12</v>
      </c>
      <c r="AT568">
        <v>6</v>
      </c>
      <c r="AU568">
        <v>32</v>
      </c>
      <c r="AV568">
        <v>7</v>
      </c>
      <c r="AW568">
        <v>0</v>
      </c>
      <c r="AX568">
        <v>0</v>
      </c>
      <c r="AY568">
        <v>0</v>
      </c>
      <c r="AZ568">
        <v>0</v>
      </c>
      <c r="BA568">
        <v>15</v>
      </c>
      <c r="BB568">
        <v>30</v>
      </c>
      <c r="BC568">
        <v>11</v>
      </c>
      <c r="BD568">
        <v>2</v>
      </c>
      <c r="BE568">
        <v>0</v>
      </c>
      <c r="BF568">
        <v>5</v>
      </c>
      <c r="BG568">
        <v>0</v>
      </c>
      <c r="BH568">
        <v>5</v>
      </c>
      <c r="BI568">
        <v>0</v>
      </c>
      <c r="BJ568">
        <v>43.317489899999998</v>
      </c>
      <c r="BK568">
        <v>11.3538899</v>
      </c>
      <c r="BL568">
        <v>1200</v>
      </c>
      <c r="BM568" t="s">
        <v>83</v>
      </c>
      <c r="BN568" t="s">
        <v>84</v>
      </c>
      <c r="BO568" t="s">
        <v>85</v>
      </c>
      <c r="BP568" t="s">
        <v>86</v>
      </c>
      <c r="BQ568" t="s">
        <v>212</v>
      </c>
      <c r="BR568" t="s">
        <v>1062</v>
      </c>
      <c r="BS568">
        <v>523345</v>
      </c>
      <c r="BT568">
        <v>0</v>
      </c>
      <c r="BU568">
        <v>0</v>
      </c>
      <c r="BV568">
        <v>306212</v>
      </c>
      <c r="BW568">
        <v>96050</v>
      </c>
      <c r="BX568">
        <v>121083</v>
      </c>
      <c r="BY568">
        <v>0</v>
      </c>
      <c r="BZ568">
        <v>1</v>
      </c>
      <c r="CA568" t="s">
        <v>1065</v>
      </c>
      <c r="CB568" t="s">
        <v>1066</v>
      </c>
      <c r="CC568" s="3">
        <v>46092.557106481479</v>
      </c>
      <c r="CD568" t="s">
        <v>91</v>
      </c>
    </row>
    <row r="569" spans="1:82" ht="16" x14ac:dyDescent="0.2">
      <c r="A569" t="s">
        <v>1083</v>
      </c>
      <c r="B569" t="s">
        <v>1084</v>
      </c>
      <c r="C569" t="s">
        <v>671</v>
      </c>
      <c r="D569" t="s">
        <v>78</v>
      </c>
      <c r="E569" t="s">
        <v>1085</v>
      </c>
      <c r="F569">
        <v>4</v>
      </c>
      <c r="G569">
        <v>300</v>
      </c>
      <c r="H569" t="str">
        <f t="shared" si="57"/>
        <v>4x300</v>
      </c>
      <c r="I569">
        <v>147</v>
      </c>
      <c r="J569" s="4">
        <f t="shared" si="58"/>
        <v>2.0416666666666666E-2</v>
      </c>
      <c r="K569">
        <v>222</v>
      </c>
      <c r="L569" s="4">
        <f t="shared" si="59"/>
        <v>3.0833333333333334E-2</v>
      </c>
      <c r="M569">
        <v>337</v>
      </c>
      <c r="N569" s="4">
        <f t="shared" si="60"/>
        <v>4.6805555555555552E-2</v>
      </c>
      <c r="O569">
        <v>673</v>
      </c>
      <c r="P569" s="4">
        <f t="shared" si="61"/>
        <v>9.347222222222222E-2</v>
      </c>
      <c r="Q569" s="6" t="str">
        <f t="shared" si="56"/>
        <v>later</v>
      </c>
      <c r="R569" s="6">
        <f t="shared" si="62"/>
        <v>666</v>
      </c>
      <c r="S569">
        <v>245</v>
      </c>
      <c r="T569">
        <v>-47</v>
      </c>
      <c r="U569">
        <v>-32</v>
      </c>
      <c r="V569">
        <v>-4</v>
      </c>
      <c r="W569">
        <v>-72</v>
      </c>
      <c r="X569">
        <v>90</v>
      </c>
      <c r="Y569" s="2" t="s">
        <v>1086</v>
      </c>
      <c r="Z569">
        <v>44.916708100000001</v>
      </c>
      <c r="AA569">
        <v>8.5985422000000007</v>
      </c>
      <c r="AB569" t="s">
        <v>78</v>
      </c>
      <c r="AC569" t="s">
        <v>81</v>
      </c>
      <c r="AD569" t="s">
        <v>82</v>
      </c>
      <c r="AE569">
        <v>29585</v>
      </c>
      <c r="AF569">
        <v>0</v>
      </c>
      <c r="AG569">
        <v>0</v>
      </c>
      <c r="AH569">
        <v>12917</v>
      </c>
      <c r="AI569">
        <v>5961</v>
      </c>
      <c r="AJ569">
        <v>8620</v>
      </c>
      <c r="AK569">
        <v>2087</v>
      </c>
      <c r="AL569">
        <v>5533</v>
      </c>
      <c r="AM569">
        <v>32104</v>
      </c>
      <c r="AN569">
        <v>71270</v>
      </c>
      <c r="AO569">
        <v>104512</v>
      </c>
      <c r="AP569">
        <v>0</v>
      </c>
      <c r="AQ569">
        <v>2</v>
      </c>
      <c r="AR569">
        <v>2</v>
      </c>
      <c r="AS569">
        <v>12</v>
      </c>
      <c r="AT569">
        <v>2</v>
      </c>
      <c r="AU569">
        <v>17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6</v>
      </c>
      <c r="BB569">
        <v>41</v>
      </c>
      <c r="BC569">
        <v>5</v>
      </c>
      <c r="BD569">
        <v>6</v>
      </c>
      <c r="BE569">
        <v>12</v>
      </c>
      <c r="BF569">
        <v>6</v>
      </c>
      <c r="BG569">
        <v>12</v>
      </c>
      <c r="BH569">
        <v>6</v>
      </c>
      <c r="BI569">
        <v>12</v>
      </c>
      <c r="BJ569">
        <v>44.916879899999998</v>
      </c>
      <c r="BK569">
        <v>8.5988100000000003</v>
      </c>
      <c r="BL569">
        <v>1200</v>
      </c>
      <c r="BM569" t="s">
        <v>83</v>
      </c>
      <c r="BN569" t="s">
        <v>84</v>
      </c>
      <c r="BO569" t="s">
        <v>85</v>
      </c>
      <c r="BP569" t="s">
        <v>107</v>
      </c>
      <c r="BQ569" t="s">
        <v>203</v>
      </c>
      <c r="BR569" t="s">
        <v>671</v>
      </c>
      <c r="BS569">
        <v>591805</v>
      </c>
      <c r="BT569">
        <v>0</v>
      </c>
      <c r="BU569">
        <v>0</v>
      </c>
      <c r="BV569">
        <v>258365</v>
      </c>
      <c r="BW569">
        <v>119238</v>
      </c>
      <c r="BX569">
        <v>172451</v>
      </c>
      <c r="BY569">
        <v>41751</v>
      </c>
      <c r="BZ569">
        <v>1</v>
      </c>
      <c r="CA569" t="s">
        <v>1087</v>
      </c>
      <c r="CB569" t="s">
        <v>1088</v>
      </c>
      <c r="CC569" s="3">
        <v>46092.557106481479</v>
      </c>
      <c r="CD569" t="s">
        <v>91</v>
      </c>
    </row>
    <row r="570" spans="1:82" ht="16" x14ac:dyDescent="0.2">
      <c r="A570" t="s">
        <v>1091</v>
      </c>
      <c r="B570" t="s">
        <v>1092</v>
      </c>
      <c r="C570" t="s">
        <v>1093</v>
      </c>
      <c r="D570" t="s">
        <v>78</v>
      </c>
      <c r="E570" t="s">
        <v>1094</v>
      </c>
      <c r="F570">
        <v>4</v>
      </c>
      <c r="G570">
        <v>300</v>
      </c>
      <c r="H570" t="str">
        <f t="shared" si="57"/>
        <v>4x300</v>
      </c>
      <c r="I570">
        <v>144</v>
      </c>
      <c r="J570" s="4">
        <f t="shared" si="58"/>
        <v>0.02</v>
      </c>
      <c r="K570">
        <v>218</v>
      </c>
      <c r="L570" s="4">
        <f t="shared" si="59"/>
        <v>3.0277777777777778E-2</v>
      </c>
      <c r="M570">
        <v>330</v>
      </c>
      <c r="N570" s="4">
        <f t="shared" si="60"/>
        <v>4.5833333333333337E-2</v>
      </c>
      <c r="O570">
        <v>659</v>
      </c>
      <c r="P570" s="4">
        <f t="shared" si="61"/>
        <v>9.1527777777777777E-2</v>
      </c>
      <c r="Q570" s="6" t="str">
        <f t="shared" si="56"/>
        <v>later</v>
      </c>
      <c r="R570" s="6">
        <f t="shared" si="62"/>
        <v>666</v>
      </c>
      <c r="S570">
        <v>245</v>
      </c>
      <c r="T570">
        <v>-81</v>
      </c>
      <c r="U570">
        <v>-27</v>
      </c>
      <c r="V570">
        <v>-34</v>
      </c>
      <c r="W570">
        <v>-20</v>
      </c>
      <c r="X570">
        <v>97</v>
      </c>
      <c r="Y570" s="2" t="s">
        <v>1095</v>
      </c>
      <c r="Z570">
        <v>39.300159999999998</v>
      </c>
      <c r="AA570">
        <v>9.0641999999999996</v>
      </c>
      <c r="AB570" t="s">
        <v>78</v>
      </c>
      <c r="AC570" t="s">
        <v>81</v>
      </c>
      <c r="AD570" t="s">
        <v>82</v>
      </c>
      <c r="AE570">
        <v>22661</v>
      </c>
      <c r="AF570">
        <v>0</v>
      </c>
      <c r="AG570">
        <v>0</v>
      </c>
      <c r="AH570">
        <v>14495</v>
      </c>
      <c r="AI570">
        <v>5264</v>
      </c>
      <c r="AJ570">
        <v>2902</v>
      </c>
      <c r="AK570">
        <v>0</v>
      </c>
      <c r="AL570">
        <v>183</v>
      </c>
      <c r="AM570">
        <v>5497</v>
      </c>
      <c r="AN570">
        <v>39467</v>
      </c>
      <c r="AO570">
        <v>218862</v>
      </c>
      <c r="AP570">
        <v>2</v>
      </c>
      <c r="AQ570">
        <v>1</v>
      </c>
      <c r="AR570">
        <v>2</v>
      </c>
      <c r="AS570">
        <v>8</v>
      </c>
      <c r="AT570">
        <v>0</v>
      </c>
      <c r="AU570">
        <v>28</v>
      </c>
      <c r="AV570">
        <v>2</v>
      </c>
      <c r="AW570">
        <v>0</v>
      </c>
      <c r="AX570">
        <v>0</v>
      </c>
      <c r="AY570">
        <v>2</v>
      </c>
      <c r="AZ570">
        <v>0</v>
      </c>
      <c r="BA570">
        <v>12</v>
      </c>
      <c r="BB570">
        <v>14</v>
      </c>
      <c r="BC570">
        <v>11</v>
      </c>
      <c r="BD570">
        <v>4</v>
      </c>
      <c r="BE570">
        <v>0</v>
      </c>
      <c r="BF570">
        <v>6</v>
      </c>
      <c r="BG570">
        <v>0</v>
      </c>
      <c r="BH570">
        <v>10</v>
      </c>
      <c r="BI570">
        <v>0</v>
      </c>
      <c r="BJ570">
        <v>39.300051500000002</v>
      </c>
      <c r="BK570">
        <v>9.0642645000000002</v>
      </c>
      <c r="BL570">
        <v>1200</v>
      </c>
      <c r="BM570" t="s">
        <v>83</v>
      </c>
      <c r="BN570" t="s">
        <v>84</v>
      </c>
      <c r="BO570" t="s">
        <v>85</v>
      </c>
      <c r="BP570" t="s">
        <v>242</v>
      </c>
      <c r="BQ570" t="s">
        <v>335</v>
      </c>
      <c r="BR570" t="s">
        <v>332</v>
      </c>
      <c r="BS570">
        <v>453235</v>
      </c>
      <c r="BT570">
        <v>0</v>
      </c>
      <c r="BU570">
        <v>0</v>
      </c>
      <c r="BV570">
        <v>289903</v>
      </c>
      <c r="BW570">
        <v>105284</v>
      </c>
      <c r="BX570">
        <v>58048</v>
      </c>
      <c r="BY570">
        <v>0</v>
      </c>
      <c r="BZ570">
        <v>1</v>
      </c>
      <c r="CA570" t="s">
        <v>1096</v>
      </c>
      <c r="CB570" t="s">
        <v>1097</v>
      </c>
      <c r="CC570" s="3">
        <v>46092.557106481479</v>
      </c>
      <c r="CD570" t="s">
        <v>91</v>
      </c>
    </row>
    <row r="571" spans="1:82" ht="16" x14ac:dyDescent="0.2">
      <c r="A571" t="s">
        <v>1049</v>
      </c>
      <c r="B571" t="s">
        <v>1050</v>
      </c>
      <c r="C571" t="s">
        <v>1051</v>
      </c>
      <c r="D571" t="s">
        <v>78</v>
      </c>
      <c r="E571" t="s">
        <v>1052</v>
      </c>
      <c r="F571">
        <v>2</v>
      </c>
      <c r="G571">
        <v>300</v>
      </c>
      <c r="H571" t="str">
        <f t="shared" si="57"/>
        <v>2x300</v>
      </c>
      <c r="I571">
        <v>106</v>
      </c>
      <c r="J571" s="4">
        <f t="shared" si="58"/>
        <v>2.9444444444444443E-2</v>
      </c>
      <c r="K571">
        <v>159</v>
      </c>
      <c r="L571" s="4">
        <f t="shared" si="59"/>
        <v>4.4166666666666667E-2</v>
      </c>
      <c r="M571">
        <v>242</v>
      </c>
      <c r="N571" s="4">
        <f t="shared" si="60"/>
        <v>6.7222222222222225E-2</v>
      </c>
      <c r="O571">
        <v>482</v>
      </c>
      <c r="P571" s="4">
        <f t="shared" si="61"/>
        <v>0.13388888888888889</v>
      </c>
      <c r="Q571" s="6" t="str">
        <f t="shared" si="56"/>
        <v>later</v>
      </c>
      <c r="R571" s="6">
        <f t="shared" si="62"/>
        <v>666</v>
      </c>
      <c r="S571">
        <v>156</v>
      </c>
      <c r="T571">
        <v>-50</v>
      </c>
      <c r="U571">
        <v>-18</v>
      </c>
      <c r="V571">
        <v>6</v>
      </c>
      <c r="W571">
        <v>-23</v>
      </c>
      <c r="X571">
        <v>59</v>
      </c>
      <c r="Y571" s="2" t="s">
        <v>1053</v>
      </c>
      <c r="Z571">
        <v>45.516686086832998</v>
      </c>
      <c r="AA571">
        <v>11.466294001845799</v>
      </c>
      <c r="AB571" t="s">
        <v>78</v>
      </c>
      <c r="AC571" t="s">
        <v>81</v>
      </c>
      <c r="AD571" t="s">
        <v>82</v>
      </c>
      <c r="AE571">
        <v>16077</v>
      </c>
      <c r="AF571">
        <v>0</v>
      </c>
      <c r="AG571">
        <v>0</v>
      </c>
      <c r="AH571">
        <v>9006</v>
      </c>
      <c r="AI571">
        <v>0</v>
      </c>
      <c r="AJ571">
        <v>7071</v>
      </c>
      <c r="AK571">
        <v>0</v>
      </c>
      <c r="AL571">
        <v>5101</v>
      </c>
      <c r="AM571">
        <v>17058</v>
      </c>
      <c r="AN571">
        <v>61244</v>
      </c>
      <c r="AO571">
        <v>217734</v>
      </c>
      <c r="AP571">
        <v>0</v>
      </c>
      <c r="AQ571">
        <v>1</v>
      </c>
      <c r="AR571">
        <v>3</v>
      </c>
      <c r="AS571">
        <v>3</v>
      </c>
      <c r="AT571">
        <v>0</v>
      </c>
      <c r="AU571">
        <v>5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4</v>
      </c>
      <c r="BB571">
        <v>20</v>
      </c>
      <c r="BC571">
        <v>2</v>
      </c>
      <c r="BD571">
        <v>0</v>
      </c>
      <c r="BE571">
        <v>0</v>
      </c>
      <c r="BF571">
        <v>2</v>
      </c>
      <c r="BG571">
        <v>2</v>
      </c>
      <c r="BH571">
        <v>8</v>
      </c>
      <c r="BI571">
        <v>2</v>
      </c>
      <c r="BJ571">
        <v>45.516649600000001</v>
      </c>
      <c r="BK571">
        <v>11.466331800000001</v>
      </c>
      <c r="BL571">
        <v>600</v>
      </c>
      <c r="BM571" t="s">
        <v>83</v>
      </c>
      <c r="BN571" t="s">
        <v>84</v>
      </c>
      <c r="BO571" t="s">
        <v>85</v>
      </c>
      <c r="BP571" t="s">
        <v>160</v>
      </c>
      <c r="BQ571" t="s">
        <v>161</v>
      </c>
      <c r="BR571" t="s">
        <v>527</v>
      </c>
      <c r="BS571">
        <v>321581</v>
      </c>
      <c r="BT571">
        <v>0</v>
      </c>
      <c r="BU571">
        <v>0</v>
      </c>
      <c r="BV571">
        <v>180132</v>
      </c>
      <c r="BW571">
        <v>0</v>
      </c>
      <c r="BX571">
        <v>141449</v>
      </c>
      <c r="BY571">
        <v>0</v>
      </c>
      <c r="BZ571">
        <v>1</v>
      </c>
      <c r="CA571" t="s">
        <v>1054</v>
      </c>
      <c r="CB571" t="s">
        <v>1055</v>
      </c>
      <c r="CC571" s="3">
        <v>46092.557106481479</v>
      </c>
      <c r="CD571" t="s">
        <v>91</v>
      </c>
    </row>
    <row r="572" spans="1:82" ht="16" x14ac:dyDescent="0.2">
      <c r="A572" t="s">
        <v>1060</v>
      </c>
      <c r="B572" t="s">
        <v>1061</v>
      </c>
      <c r="C572" t="s">
        <v>1062</v>
      </c>
      <c r="D572" t="s">
        <v>78</v>
      </c>
      <c r="E572" t="s">
        <v>1063</v>
      </c>
      <c r="F572">
        <v>2</v>
      </c>
      <c r="G572">
        <v>300</v>
      </c>
      <c r="H572" t="str">
        <f t="shared" si="57"/>
        <v>2x300</v>
      </c>
      <c r="I572">
        <v>102</v>
      </c>
      <c r="J572" s="4">
        <f t="shared" si="58"/>
        <v>2.8333333333333335E-2</v>
      </c>
      <c r="K572">
        <v>154</v>
      </c>
      <c r="L572" s="4">
        <f t="shared" si="59"/>
        <v>4.2777777777777776E-2</v>
      </c>
      <c r="M572">
        <v>233</v>
      </c>
      <c r="N572" s="4">
        <f t="shared" si="60"/>
        <v>6.4722222222222223E-2</v>
      </c>
      <c r="O572">
        <v>466</v>
      </c>
      <c r="P572" s="4">
        <f t="shared" si="61"/>
        <v>0.12944444444444445</v>
      </c>
      <c r="Q572" s="6" t="str">
        <f t="shared" si="56"/>
        <v>later</v>
      </c>
      <c r="R572" s="6">
        <f t="shared" si="62"/>
        <v>666</v>
      </c>
      <c r="S572">
        <v>156</v>
      </c>
      <c r="T572">
        <v>-51</v>
      </c>
      <c r="U572">
        <v>-19</v>
      </c>
      <c r="V572">
        <v>-18</v>
      </c>
      <c r="W572">
        <v>-3</v>
      </c>
      <c r="X572">
        <v>59</v>
      </c>
      <c r="Y572" s="2" t="s">
        <v>1064</v>
      </c>
      <c r="Z572">
        <v>43.317480442110003</v>
      </c>
      <c r="AA572">
        <v>11.353866237428299</v>
      </c>
      <c r="AB572" t="s">
        <v>78</v>
      </c>
      <c r="AC572" t="s">
        <v>81</v>
      </c>
      <c r="AD572" t="s">
        <v>82</v>
      </c>
      <c r="AE572">
        <v>26204</v>
      </c>
      <c r="AF572">
        <v>0</v>
      </c>
      <c r="AG572">
        <v>0</v>
      </c>
      <c r="AH572">
        <v>15309</v>
      </c>
      <c r="AI572">
        <v>4801</v>
      </c>
      <c r="AJ572">
        <v>6094</v>
      </c>
      <c r="AK572">
        <v>0</v>
      </c>
      <c r="AL572">
        <v>2150</v>
      </c>
      <c r="AM572">
        <v>12986</v>
      </c>
      <c r="AN572">
        <v>47240</v>
      </c>
      <c r="AO572">
        <v>73482</v>
      </c>
      <c r="AP572">
        <v>1</v>
      </c>
      <c r="AQ572">
        <v>0</v>
      </c>
      <c r="AR572">
        <v>2</v>
      </c>
      <c r="AS572">
        <v>12</v>
      </c>
      <c r="AT572">
        <v>6</v>
      </c>
      <c r="AU572">
        <v>32</v>
      </c>
      <c r="AV572">
        <v>7</v>
      </c>
      <c r="AW572">
        <v>0</v>
      </c>
      <c r="AX572">
        <v>0</v>
      </c>
      <c r="AY572">
        <v>0</v>
      </c>
      <c r="AZ572">
        <v>0</v>
      </c>
      <c r="BA572">
        <v>15</v>
      </c>
      <c r="BB572">
        <v>30</v>
      </c>
      <c r="BC572">
        <v>11</v>
      </c>
      <c r="BD572">
        <v>2</v>
      </c>
      <c r="BE572">
        <v>0</v>
      </c>
      <c r="BF572">
        <v>5</v>
      </c>
      <c r="BG572">
        <v>0</v>
      </c>
      <c r="BH572">
        <v>5</v>
      </c>
      <c r="BI572">
        <v>0</v>
      </c>
      <c r="BJ572">
        <v>43.317489899999998</v>
      </c>
      <c r="BK572">
        <v>11.3538899</v>
      </c>
      <c r="BL572">
        <v>600</v>
      </c>
      <c r="BM572" t="s">
        <v>83</v>
      </c>
      <c r="BN572" t="s">
        <v>84</v>
      </c>
      <c r="BO572" t="s">
        <v>85</v>
      </c>
      <c r="BP572" t="s">
        <v>86</v>
      </c>
      <c r="BQ572" t="s">
        <v>212</v>
      </c>
      <c r="BR572" t="s">
        <v>1062</v>
      </c>
      <c r="BS572">
        <v>523345</v>
      </c>
      <c r="BT572">
        <v>0</v>
      </c>
      <c r="BU572">
        <v>0</v>
      </c>
      <c r="BV572">
        <v>306212</v>
      </c>
      <c r="BW572">
        <v>96050</v>
      </c>
      <c r="BX572">
        <v>121083</v>
      </c>
      <c r="BY572">
        <v>0</v>
      </c>
      <c r="BZ572">
        <v>1</v>
      </c>
      <c r="CA572" t="s">
        <v>1065</v>
      </c>
      <c r="CB572" t="s">
        <v>1066</v>
      </c>
      <c r="CC572" s="3">
        <v>46092.557106481479</v>
      </c>
      <c r="CD572" t="s">
        <v>91</v>
      </c>
    </row>
    <row r="573" spans="1:82" ht="16" x14ac:dyDescent="0.2">
      <c r="A573" t="s">
        <v>1083</v>
      </c>
      <c r="B573" t="s">
        <v>1084</v>
      </c>
      <c r="C573" t="s">
        <v>671</v>
      </c>
      <c r="D573" t="s">
        <v>78</v>
      </c>
      <c r="E573" t="s">
        <v>1085</v>
      </c>
      <c r="F573">
        <v>2</v>
      </c>
      <c r="G573">
        <v>300</v>
      </c>
      <c r="H573" t="str">
        <f t="shared" si="57"/>
        <v>2x300</v>
      </c>
      <c r="I573">
        <v>94</v>
      </c>
      <c r="J573" s="4">
        <f t="shared" si="58"/>
        <v>2.6111111111111113E-2</v>
      </c>
      <c r="K573">
        <v>142</v>
      </c>
      <c r="L573" s="4">
        <f t="shared" si="59"/>
        <v>3.9444444444444442E-2</v>
      </c>
      <c r="M573">
        <v>215</v>
      </c>
      <c r="N573" s="4">
        <f t="shared" si="60"/>
        <v>5.9722222222222225E-2</v>
      </c>
      <c r="O573">
        <v>429</v>
      </c>
      <c r="P573" s="4">
        <f t="shared" si="61"/>
        <v>0.11916666666666666</v>
      </c>
      <c r="Q573" s="6" t="str">
        <f t="shared" si="56"/>
        <v>later</v>
      </c>
      <c r="R573" s="6">
        <f t="shared" si="62"/>
        <v>666</v>
      </c>
      <c r="S573">
        <v>156</v>
      </c>
      <c r="T573">
        <v>-30</v>
      </c>
      <c r="U573">
        <v>-21</v>
      </c>
      <c r="V573">
        <v>-2</v>
      </c>
      <c r="W573">
        <v>-46</v>
      </c>
      <c r="X573">
        <v>57</v>
      </c>
      <c r="Y573" s="2" t="s">
        <v>1086</v>
      </c>
      <c r="Z573">
        <v>44.916708100000001</v>
      </c>
      <c r="AA573">
        <v>8.5985422000000007</v>
      </c>
      <c r="AB573" t="s">
        <v>78</v>
      </c>
      <c r="AC573" t="s">
        <v>81</v>
      </c>
      <c r="AD573" t="s">
        <v>82</v>
      </c>
      <c r="AE573">
        <v>29585</v>
      </c>
      <c r="AF573">
        <v>0</v>
      </c>
      <c r="AG573">
        <v>0</v>
      </c>
      <c r="AH573">
        <v>12917</v>
      </c>
      <c r="AI573">
        <v>5961</v>
      </c>
      <c r="AJ573">
        <v>8620</v>
      </c>
      <c r="AK573">
        <v>2087</v>
      </c>
      <c r="AL573">
        <v>5533</v>
      </c>
      <c r="AM573">
        <v>32104</v>
      </c>
      <c r="AN573">
        <v>71270</v>
      </c>
      <c r="AO573">
        <v>104512</v>
      </c>
      <c r="AP573">
        <v>0</v>
      </c>
      <c r="AQ573">
        <v>2</v>
      </c>
      <c r="AR573">
        <v>2</v>
      </c>
      <c r="AS573">
        <v>12</v>
      </c>
      <c r="AT573">
        <v>2</v>
      </c>
      <c r="AU573">
        <v>17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6</v>
      </c>
      <c r="BB573">
        <v>41</v>
      </c>
      <c r="BC573">
        <v>5</v>
      </c>
      <c r="BD573">
        <v>6</v>
      </c>
      <c r="BE573">
        <v>12</v>
      </c>
      <c r="BF573">
        <v>6</v>
      </c>
      <c r="BG573">
        <v>12</v>
      </c>
      <c r="BH573">
        <v>6</v>
      </c>
      <c r="BI573">
        <v>12</v>
      </c>
      <c r="BJ573">
        <v>44.916879899999998</v>
      </c>
      <c r="BK573">
        <v>8.5988100000000003</v>
      </c>
      <c r="BL573">
        <v>600</v>
      </c>
      <c r="BM573" t="s">
        <v>83</v>
      </c>
      <c r="BN573" t="s">
        <v>84</v>
      </c>
      <c r="BO573" t="s">
        <v>85</v>
      </c>
      <c r="BP573" t="s">
        <v>107</v>
      </c>
      <c r="BQ573" t="s">
        <v>203</v>
      </c>
      <c r="BR573" t="s">
        <v>671</v>
      </c>
      <c r="BS573">
        <v>591805</v>
      </c>
      <c r="BT573">
        <v>0</v>
      </c>
      <c r="BU573">
        <v>0</v>
      </c>
      <c r="BV573">
        <v>258365</v>
      </c>
      <c r="BW573">
        <v>119238</v>
      </c>
      <c r="BX573">
        <v>172451</v>
      </c>
      <c r="BY573">
        <v>41751</v>
      </c>
      <c r="BZ573">
        <v>1</v>
      </c>
      <c r="CA573" t="s">
        <v>1087</v>
      </c>
      <c r="CB573" t="s">
        <v>1088</v>
      </c>
      <c r="CC573" s="3">
        <v>46092.557106481479</v>
      </c>
      <c r="CD573" t="s">
        <v>91</v>
      </c>
    </row>
    <row r="574" spans="1:82" ht="16" x14ac:dyDescent="0.2">
      <c r="A574" t="s">
        <v>1091</v>
      </c>
      <c r="B574" t="s">
        <v>1092</v>
      </c>
      <c r="C574" t="s">
        <v>1093</v>
      </c>
      <c r="D574" t="s">
        <v>78</v>
      </c>
      <c r="E574" t="s">
        <v>1094</v>
      </c>
      <c r="F574">
        <v>2</v>
      </c>
      <c r="G574">
        <v>300</v>
      </c>
      <c r="H574" t="str">
        <f t="shared" si="57"/>
        <v>2x300</v>
      </c>
      <c r="I574">
        <v>92</v>
      </c>
      <c r="J574" s="4">
        <f t="shared" si="58"/>
        <v>2.5555555555555554E-2</v>
      </c>
      <c r="K574">
        <v>139</v>
      </c>
      <c r="L574" s="4">
        <f t="shared" si="59"/>
        <v>3.861111111111111E-2</v>
      </c>
      <c r="M574">
        <v>211</v>
      </c>
      <c r="N574" s="4">
        <f t="shared" si="60"/>
        <v>5.8611111111111114E-2</v>
      </c>
      <c r="O574">
        <v>420</v>
      </c>
      <c r="P574" s="4">
        <f t="shared" si="61"/>
        <v>0.11666666666666665</v>
      </c>
      <c r="Q574" s="6" t="str">
        <f t="shared" si="56"/>
        <v>later</v>
      </c>
      <c r="R574" s="6">
        <f t="shared" si="62"/>
        <v>666</v>
      </c>
      <c r="S574">
        <v>156</v>
      </c>
      <c r="T574">
        <v>-51</v>
      </c>
      <c r="U574">
        <v>-17</v>
      </c>
      <c r="V574">
        <v>-22</v>
      </c>
      <c r="W574">
        <v>-13</v>
      </c>
      <c r="X574">
        <v>62</v>
      </c>
      <c r="Y574" s="2" t="s">
        <v>1095</v>
      </c>
      <c r="Z574">
        <v>39.300159999999998</v>
      </c>
      <c r="AA574">
        <v>9.0641999999999996</v>
      </c>
      <c r="AB574" t="s">
        <v>78</v>
      </c>
      <c r="AC574" t="s">
        <v>81</v>
      </c>
      <c r="AD574" t="s">
        <v>82</v>
      </c>
      <c r="AE574">
        <v>22661</v>
      </c>
      <c r="AF574">
        <v>0</v>
      </c>
      <c r="AG574">
        <v>0</v>
      </c>
      <c r="AH574">
        <v>14495</v>
      </c>
      <c r="AI574">
        <v>5264</v>
      </c>
      <c r="AJ574">
        <v>2902</v>
      </c>
      <c r="AK574">
        <v>0</v>
      </c>
      <c r="AL574">
        <v>183</v>
      </c>
      <c r="AM574">
        <v>5497</v>
      </c>
      <c r="AN574">
        <v>39467</v>
      </c>
      <c r="AO574">
        <v>218862</v>
      </c>
      <c r="AP574">
        <v>2</v>
      </c>
      <c r="AQ574">
        <v>1</v>
      </c>
      <c r="AR574">
        <v>2</v>
      </c>
      <c r="AS574">
        <v>8</v>
      </c>
      <c r="AT574">
        <v>0</v>
      </c>
      <c r="AU574">
        <v>28</v>
      </c>
      <c r="AV574">
        <v>2</v>
      </c>
      <c r="AW574">
        <v>0</v>
      </c>
      <c r="AX574">
        <v>0</v>
      </c>
      <c r="AY574">
        <v>2</v>
      </c>
      <c r="AZ574">
        <v>0</v>
      </c>
      <c r="BA574">
        <v>12</v>
      </c>
      <c r="BB574">
        <v>14</v>
      </c>
      <c r="BC574">
        <v>11</v>
      </c>
      <c r="BD574">
        <v>4</v>
      </c>
      <c r="BE574">
        <v>0</v>
      </c>
      <c r="BF574">
        <v>6</v>
      </c>
      <c r="BG574">
        <v>0</v>
      </c>
      <c r="BH574">
        <v>10</v>
      </c>
      <c r="BI574">
        <v>0</v>
      </c>
      <c r="BJ574">
        <v>39.300051500000002</v>
      </c>
      <c r="BK574">
        <v>9.0642645000000002</v>
      </c>
      <c r="BL574">
        <v>600</v>
      </c>
      <c r="BM574" t="s">
        <v>83</v>
      </c>
      <c r="BN574" t="s">
        <v>84</v>
      </c>
      <c r="BO574" t="s">
        <v>85</v>
      </c>
      <c r="BP574" t="s">
        <v>242</v>
      </c>
      <c r="BQ574" t="s">
        <v>335</v>
      </c>
      <c r="BR574" t="s">
        <v>332</v>
      </c>
      <c r="BS574">
        <v>453235</v>
      </c>
      <c r="BT574">
        <v>0</v>
      </c>
      <c r="BU574">
        <v>0</v>
      </c>
      <c r="BV574">
        <v>289903</v>
      </c>
      <c r="BW574">
        <v>105284</v>
      </c>
      <c r="BX574">
        <v>58048</v>
      </c>
      <c r="BY574">
        <v>0</v>
      </c>
      <c r="BZ574">
        <v>1</v>
      </c>
      <c r="CA574" t="s">
        <v>1096</v>
      </c>
      <c r="CB574" t="s">
        <v>1097</v>
      </c>
      <c r="CC574" s="3">
        <v>46092.557106481479</v>
      </c>
      <c r="CD574" t="s">
        <v>91</v>
      </c>
    </row>
    <row r="575" spans="1:82" ht="16" x14ac:dyDescent="0.2">
      <c r="A575" t="s">
        <v>1183</v>
      </c>
      <c r="B575" t="s">
        <v>1050</v>
      </c>
      <c r="C575" t="s">
        <v>1051</v>
      </c>
      <c r="D575" t="s">
        <v>78</v>
      </c>
      <c r="E575" t="s">
        <v>1052</v>
      </c>
      <c r="F575">
        <v>2</v>
      </c>
      <c r="G575">
        <v>150</v>
      </c>
      <c r="H575" t="str">
        <f t="shared" si="57"/>
        <v>2x150</v>
      </c>
      <c r="I575">
        <v>91</v>
      </c>
      <c r="J575" s="4">
        <f t="shared" si="58"/>
        <v>2.9166666666666664E-2</v>
      </c>
      <c r="K575">
        <v>137</v>
      </c>
      <c r="L575" s="4">
        <f t="shared" si="59"/>
        <v>4.3910256410256414E-2</v>
      </c>
      <c r="M575">
        <v>208</v>
      </c>
      <c r="N575" s="4">
        <f t="shared" si="60"/>
        <v>6.6666666666666666E-2</v>
      </c>
      <c r="O575">
        <v>416</v>
      </c>
      <c r="P575" s="4">
        <f t="shared" si="61"/>
        <v>0.13333333333333333</v>
      </c>
      <c r="Q575" s="6" t="str">
        <f t="shared" si="56"/>
        <v>later</v>
      </c>
      <c r="R575" s="6">
        <f t="shared" si="62"/>
        <v>666</v>
      </c>
      <c r="S575">
        <v>135</v>
      </c>
      <c r="T575">
        <v>-43</v>
      </c>
      <c r="U575">
        <v>-16</v>
      </c>
      <c r="V575">
        <v>5</v>
      </c>
      <c r="W575">
        <v>-20</v>
      </c>
      <c r="X575">
        <v>51</v>
      </c>
      <c r="Y575" s="2" t="s">
        <v>1053</v>
      </c>
      <c r="Z575">
        <v>45.516686086832998</v>
      </c>
      <c r="AA575">
        <v>11.466294001845799</v>
      </c>
      <c r="AB575" t="s">
        <v>78</v>
      </c>
      <c r="AC575" t="s">
        <v>81</v>
      </c>
      <c r="AD575" t="s">
        <v>82</v>
      </c>
      <c r="AE575">
        <v>16077</v>
      </c>
      <c r="AF575">
        <v>0</v>
      </c>
      <c r="AG575">
        <v>0</v>
      </c>
      <c r="AH575">
        <v>9006</v>
      </c>
      <c r="AI575">
        <v>0</v>
      </c>
      <c r="AJ575">
        <v>7071</v>
      </c>
      <c r="AK575">
        <v>0</v>
      </c>
      <c r="AL575">
        <v>5101</v>
      </c>
      <c r="AM575">
        <v>17058</v>
      </c>
      <c r="AN575">
        <v>61244</v>
      </c>
      <c r="AO575">
        <v>217734</v>
      </c>
      <c r="AP575">
        <v>0</v>
      </c>
      <c r="AQ575">
        <v>1</v>
      </c>
      <c r="AR575">
        <v>3</v>
      </c>
      <c r="AS575">
        <v>3</v>
      </c>
      <c r="AT575">
        <v>0</v>
      </c>
      <c r="AU575">
        <v>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4</v>
      </c>
      <c r="BB575">
        <v>20</v>
      </c>
      <c r="BC575">
        <v>2</v>
      </c>
      <c r="BD575">
        <v>0</v>
      </c>
      <c r="BE575">
        <v>0</v>
      </c>
      <c r="BF575">
        <v>2</v>
      </c>
      <c r="BG575">
        <v>2</v>
      </c>
      <c r="BH575">
        <v>8</v>
      </c>
      <c r="BI575">
        <v>2</v>
      </c>
      <c r="BJ575">
        <v>45.516649600000001</v>
      </c>
      <c r="BK575">
        <v>11.466331800000001</v>
      </c>
      <c r="BL575">
        <v>300</v>
      </c>
      <c r="BM575" t="s">
        <v>83</v>
      </c>
      <c r="BN575" t="s">
        <v>84</v>
      </c>
      <c r="BO575" t="s">
        <v>85</v>
      </c>
      <c r="BP575" t="s">
        <v>160</v>
      </c>
      <c r="BQ575" t="s">
        <v>161</v>
      </c>
      <c r="BR575" t="s">
        <v>527</v>
      </c>
      <c r="BS575">
        <v>321581</v>
      </c>
      <c r="BT575">
        <v>0</v>
      </c>
      <c r="BU575">
        <v>0</v>
      </c>
      <c r="BV575">
        <v>180132</v>
      </c>
      <c r="BW575">
        <v>0</v>
      </c>
      <c r="BX575">
        <v>141449</v>
      </c>
      <c r="BY575">
        <v>0</v>
      </c>
      <c r="BZ575">
        <v>1</v>
      </c>
      <c r="CA575" t="s">
        <v>1054</v>
      </c>
      <c r="CB575" t="s">
        <v>1055</v>
      </c>
      <c r="CC575" s="3">
        <v>46092.557106481479</v>
      </c>
      <c r="CD575" t="s">
        <v>91</v>
      </c>
    </row>
    <row r="576" spans="1:82" ht="16" x14ac:dyDescent="0.2">
      <c r="A576" t="s">
        <v>1187</v>
      </c>
      <c r="B576" t="s">
        <v>1061</v>
      </c>
      <c r="C576" t="s">
        <v>1062</v>
      </c>
      <c r="D576" t="s">
        <v>78</v>
      </c>
      <c r="E576" t="s">
        <v>1063</v>
      </c>
      <c r="F576">
        <v>2</v>
      </c>
      <c r="G576">
        <v>150</v>
      </c>
      <c r="H576" t="str">
        <f t="shared" si="57"/>
        <v>2x150</v>
      </c>
      <c r="I576">
        <v>88</v>
      </c>
      <c r="J576" s="4">
        <f t="shared" si="58"/>
        <v>2.8205128205128206E-2</v>
      </c>
      <c r="K576">
        <v>133</v>
      </c>
      <c r="L576" s="4">
        <f t="shared" si="59"/>
        <v>4.2628205128205122E-2</v>
      </c>
      <c r="M576">
        <v>201</v>
      </c>
      <c r="N576" s="4">
        <f t="shared" si="60"/>
        <v>6.442307692307693E-2</v>
      </c>
      <c r="O576">
        <v>402</v>
      </c>
      <c r="P576" s="4">
        <f t="shared" si="61"/>
        <v>0.12884615384615386</v>
      </c>
      <c r="Q576" s="6" t="str">
        <f t="shared" si="56"/>
        <v>later</v>
      </c>
      <c r="R576" s="6">
        <f t="shared" si="62"/>
        <v>666</v>
      </c>
      <c r="S576">
        <v>135</v>
      </c>
      <c r="T576">
        <v>-44</v>
      </c>
      <c r="U576">
        <v>-17</v>
      </c>
      <c r="V576">
        <v>-15</v>
      </c>
      <c r="W576">
        <v>-3</v>
      </c>
      <c r="X576">
        <v>51</v>
      </c>
      <c r="Y576" s="2" t="s">
        <v>1064</v>
      </c>
      <c r="Z576">
        <v>43.317480442110003</v>
      </c>
      <c r="AA576">
        <v>11.353866237428299</v>
      </c>
      <c r="AB576" t="s">
        <v>78</v>
      </c>
      <c r="AC576" t="s">
        <v>81</v>
      </c>
      <c r="AD576" t="s">
        <v>82</v>
      </c>
      <c r="AE576">
        <v>26204</v>
      </c>
      <c r="AF576">
        <v>0</v>
      </c>
      <c r="AG576">
        <v>0</v>
      </c>
      <c r="AH576">
        <v>15309</v>
      </c>
      <c r="AI576">
        <v>4801</v>
      </c>
      <c r="AJ576">
        <v>6094</v>
      </c>
      <c r="AK576">
        <v>0</v>
      </c>
      <c r="AL576">
        <v>2150</v>
      </c>
      <c r="AM576">
        <v>12986</v>
      </c>
      <c r="AN576">
        <v>47240</v>
      </c>
      <c r="AO576">
        <v>73482</v>
      </c>
      <c r="AP576">
        <v>1</v>
      </c>
      <c r="AQ576">
        <v>0</v>
      </c>
      <c r="AR576">
        <v>2</v>
      </c>
      <c r="AS576">
        <v>12</v>
      </c>
      <c r="AT576">
        <v>6</v>
      </c>
      <c r="AU576">
        <v>32</v>
      </c>
      <c r="AV576">
        <v>7</v>
      </c>
      <c r="AW576">
        <v>0</v>
      </c>
      <c r="AX576">
        <v>0</v>
      </c>
      <c r="AY576">
        <v>0</v>
      </c>
      <c r="AZ576">
        <v>0</v>
      </c>
      <c r="BA576">
        <v>15</v>
      </c>
      <c r="BB576">
        <v>30</v>
      </c>
      <c r="BC576">
        <v>11</v>
      </c>
      <c r="BD576">
        <v>2</v>
      </c>
      <c r="BE576">
        <v>0</v>
      </c>
      <c r="BF576">
        <v>5</v>
      </c>
      <c r="BG576">
        <v>0</v>
      </c>
      <c r="BH576">
        <v>5</v>
      </c>
      <c r="BI576">
        <v>0</v>
      </c>
      <c r="BJ576">
        <v>43.317489899999998</v>
      </c>
      <c r="BK576">
        <v>11.3538899</v>
      </c>
      <c r="BL576">
        <v>300</v>
      </c>
      <c r="BM576" t="s">
        <v>83</v>
      </c>
      <c r="BN576" t="s">
        <v>84</v>
      </c>
      <c r="BO576" t="s">
        <v>85</v>
      </c>
      <c r="BP576" t="s">
        <v>86</v>
      </c>
      <c r="BQ576" t="s">
        <v>212</v>
      </c>
      <c r="BR576" t="s">
        <v>1062</v>
      </c>
      <c r="BS576">
        <v>523345</v>
      </c>
      <c r="BT576">
        <v>0</v>
      </c>
      <c r="BU576">
        <v>0</v>
      </c>
      <c r="BV576">
        <v>306212</v>
      </c>
      <c r="BW576">
        <v>96050</v>
      </c>
      <c r="BX576">
        <v>121083</v>
      </c>
      <c r="BY576">
        <v>0</v>
      </c>
      <c r="BZ576">
        <v>1</v>
      </c>
      <c r="CA576" t="s">
        <v>1065</v>
      </c>
      <c r="CB576" t="s">
        <v>1066</v>
      </c>
      <c r="CC576" s="3">
        <v>46092.557106481479</v>
      </c>
      <c r="CD576" t="s">
        <v>91</v>
      </c>
    </row>
    <row r="577" spans="1:82" ht="16" x14ac:dyDescent="0.2">
      <c r="A577" t="s">
        <v>1190</v>
      </c>
      <c r="B577" t="s">
        <v>1084</v>
      </c>
      <c r="C577" t="s">
        <v>671</v>
      </c>
      <c r="D577" t="s">
        <v>78</v>
      </c>
      <c r="E577" t="s">
        <v>1085</v>
      </c>
      <c r="F577">
        <v>2</v>
      </c>
      <c r="G577">
        <v>150</v>
      </c>
      <c r="H577" t="str">
        <f t="shared" si="57"/>
        <v>2x150</v>
      </c>
      <c r="I577">
        <v>81</v>
      </c>
      <c r="J577" s="4">
        <f t="shared" si="58"/>
        <v>2.5961538461538463E-2</v>
      </c>
      <c r="K577">
        <v>122</v>
      </c>
      <c r="L577" s="4">
        <f t="shared" si="59"/>
        <v>3.9102564102564102E-2</v>
      </c>
      <c r="M577">
        <v>185</v>
      </c>
      <c r="N577" s="4">
        <f t="shared" si="60"/>
        <v>5.9294871794871799E-2</v>
      </c>
      <c r="O577">
        <v>370</v>
      </c>
      <c r="P577" s="4">
        <f t="shared" si="61"/>
        <v>0.1185897435897436</v>
      </c>
      <c r="Q577" s="6" t="str">
        <f t="shared" si="56"/>
        <v>later</v>
      </c>
      <c r="R577" s="6">
        <f t="shared" si="62"/>
        <v>666</v>
      </c>
      <c r="S577">
        <v>135</v>
      </c>
      <c r="T577">
        <v>-26</v>
      </c>
      <c r="U577">
        <v>-18</v>
      </c>
      <c r="V577">
        <v>-2</v>
      </c>
      <c r="W577">
        <v>-39</v>
      </c>
      <c r="X577">
        <v>50</v>
      </c>
      <c r="Y577" s="2" t="s">
        <v>1086</v>
      </c>
      <c r="Z577">
        <v>44.916708100000001</v>
      </c>
      <c r="AA577">
        <v>8.5985422000000007</v>
      </c>
      <c r="AB577" t="s">
        <v>78</v>
      </c>
      <c r="AC577" t="s">
        <v>81</v>
      </c>
      <c r="AD577" t="s">
        <v>82</v>
      </c>
      <c r="AE577">
        <v>29585</v>
      </c>
      <c r="AF577">
        <v>0</v>
      </c>
      <c r="AG577">
        <v>0</v>
      </c>
      <c r="AH577">
        <v>12917</v>
      </c>
      <c r="AI577">
        <v>5961</v>
      </c>
      <c r="AJ577">
        <v>8620</v>
      </c>
      <c r="AK577">
        <v>2087</v>
      </c>
      <c r="AL577">
        <v>5533</v>
      </c>
      <c r="AM577">
        <v>32104</v>
      </c>
      <c r="AN577">
        <v>71270</v>
      </c>
      <c r="AO577">
        <v>104512</v>
      </c>
      <c r="AP577">
        <v>0</v>
      </c>
      <c r="AQ577">
        <v>2</v>
      </c>
      <c r="AR577">
        <v>2</v>
      </c>
      <c r="AS577">
        <v>12</v>
      </c>
      <c r="AT577">
        <v>2</v>
      </c>
      <c r="AU577">
        <v>17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6</v>
      </c>
      <c r="BB577">
        <v>41</v>
      </c>
      <c r="BC577">
        <v>5</v>
      </c>
      <c r="BD577">
        <v>6</v>
      </c>
      <c r="BE577">
        <v>12</v>
      </c>
      <c r="BF577">
        <v>6</v>
      </c>
      <c r="BG577">
        <v>12</v>
      </c>
      <c r="BH577">
        <v>6</v>
      </c>
      <c r="BI577">
        <v>12</v>
      </c>
      <c r="BJ577">
        <v>44.916879899999998</v>
      </c>
      <c r="BK577">
        <v>8.5988100000000003</v>
      </c>
      <c r="BL577">
        <v>300</v>
      </c>
      <c r="BM577" t="s">
        <v>83</v>
      </c>
      <c r="BN577" t="s">
        <v>84</v>
      </c>
      <c r="BO577" t="s">
        <v>85</v>
      </c>
      <c r="BP577" t="s">
        <v>107</v>
      </c>
      <c r="BQ577" t="s">
        <v>203</v>
      </c>
      <c r="BR577" t="s">
        <v>671</v>
      </c>
      <c r="BS577">
        <v>591805</v>
      </c>
      <c r="BT577">
        <v>0</v>
      </c>
      <c r="BU577">
        <v>0</v>
      </c>
      <c r="BV577">
        <v>258365</v>
      </c>
      <c r="BW577">
        <v>119238</v>
      </c>
      <c r="BX577">
        <v>172451</v>
      </c>
      <c r="BY577">
        <v>41751</v>
      </c>
      <c r="BZ577">
        <v>1</v>
      </c>
      <c r="CA577" t="s">
        <v>1087</v>
      </c>
      <c r="CB577" t="s">
        <v>1088</v>
      </c>
      <c r="CC577" s="3">
        <v>46092.557106481479</v>
      </c>
      <c r="CD577" t="s">
        <v>91</v>
      </c>
    </row>
    <row r="578" spans="1:82" ht="16" x14ac:dyDescent="0.2">
      <c r="A578" t="s">
        <v>1191</v>
      </c>
      <c r="B578" t="s">
        <v>1092</v>
      </c>
      <c r="C578" t="s">
        <v>1093</v>
      </c>
      <c r="D578" t="s">
        <v>78</v>
      </c>
      <c r="E578" t="s">
        <v>1094</v>
      </c>
      <c r="F578">
        <v>2</v>
      </c>
      <c r="G578">
        <v>150</v>
      </c>
      <c r="H578" t="str">
        <f t="shared" si="57"/>
        <v>2x150</v>
      </c>
      <c r="I578">
        <v>79</v>
      </c>
      <c r="J578" s="4">
        <f t="shared" si="58"/>
        <v>2.5320512820512817E-2</v>
      </c>
      <c r="K578">
        <v>120</v>
      </c>
      <c r="L578" s="4">
        <f t="shared" si="59"/>
        <v>3.8461538461538464E-2</v>
      </c>
      <c r="M578">
        <v>182</v>
      </c>
      <c r="N578" s="4">
        <f t="shared" si="60"/>
        <v>5.8333333333333327E-2</v>
      </c>
      <c r="O578">
        <v>362</v>
      </c>
      <c r="P578" s="4">
        <f t="shared" si="61"/>
        <v>0.11602564102564102</v>
      </c>
      <c r="Q578" s="6" t="str">
        <f t="shared" ref="Q578:Q641" si="63">IF(J578&gt;=0.13,2026,IF(L578&gt;=0.14,2027,IF(N578&gt;=0.14,2030,IF(P578&gt;=0.14,2035,"later"))))</f>
        <v>later</v>
      </c>
      <c r="R578" s="6">
        <f t="shared" si="62"/>
        <v>666</v>
      </c>
      <c r="S578">
        <v>135</v>
      </c>
      <c r="T578">
        <v>-44</v>
      </c>
      <c r="U578">
        <v>-15</v>
      </c>
      <c r="V578">
        <v>-19</v>
      </c>
      <c r="W578">
        <v>-11</v>
      </c>
      <c r="X578">
        <v>53</v>
      </c>
      <c r="Y578" s="2" t="s">
        <v>1095</v>
      </c>
      <c r="Z578">
        <v>39.300159999999998</v>
      </c>
      <c r="AA578">
        <v>9.0641999999999996</v>
      </c>
      <c r="AB578" t="s">
        <v>78</v>
      </c>
      <c r="AC578" t="s">
        <v>81</v>
      </c>
      <c r="AD578" t="s">
        <v>82</v>
      </c>
      <c r="AE578">
        <v>22661</v>
      </c>
      <c r="AF578">
        <v>0</v>
      </c>
      <c r="AG578">
        <v>0</v>
      </c>
      <c r="AH578">
        <v>14495</v>
      </c>
      <c r="AI578">
        <v>5264</v>
      </c>
      <c r="AJ578">
        <v>2902</v>
      </c>
      <c r="AK578">
        <v>0</v>
      </c>
      <c r="AL578">
        <v>183</v>
      </c>
      <c r="AM578">
        <v>5497</v>
      </c>
      <c r="AN578">
        <v>39467</v>
      </c>
      <c r="AO578">
        <v>218862</v>
      </c>
      <c r="AP578">
        <v>2</v>
      </c>
      <c r="AQ578">
        <v>1</v>
      </c>
      <c r="AR578">
        <v>2</v>
      </c>
      <c r="AS578">
        <v>8</v>
      </c>
      <c r="AT578">
        <v>0</v>
      </c>
      <c r="AU578">
        <v>28</v>
      </c>
      <c r="AV578">
        <v>2</v>
      </c>
      <c r="AW578">
        <v>0</v>
      </c>
      <c r="AX578">
        <v>0</v>
      </c>
      <c r="AY578">
        <v>2</v>
      </c>
      <c r="AZ578">
        <v>0</v>
      </c>
      <c r="BA578">
        <v>12</v>
      </c>
      <c r="BB578">
        <v>14</v>
      </c>
      <c r="BC578">
        <v>11</v>
      </c>
      <c r="BD578">
        <v>4</v>
      </c>
      <c r="BE578">
        <v>0</v>
      </c>
      <c r="BF578">
        <v>6</v>
      </c>
      <c r="BG578">
        <v>0</v>
      </c>
      <c r="BH578">
        <v>10</v>
      </c>
      <c r="BI578">
        <v>0</v>
      </c>
      <c r="BJ578">
        <v>39.300051500000002</v>
      </c>
      <c r="BK578">
        <v>9.0642645000000002</v>
      </c>
      <c r="BL578">
        <v>300</v>
      </c>
      <c r="BM578" t="s">
        <v>83</v>
      </c>
      <c r="BN578" t="s">
        <v>84</v>
      </c>
      <c r="BO578" t="s">
        <v>85</v>
      </c>
      <c r="BP578" t="s">
        <v>242</v>
      </c>
      <c r="BQ578" t="s">
        <v>335</v>
      </c>
      <c r="BR578" t="s">
        <v>332</v>
      </c>
      <c r="BS578">
        <v>453235</v>
      </c>
      <c r="BT578">
        <v>0</v>
      </c>
      <c r="BU578">
        <v>0</v>
      </c>
      <c r="BV578">
        <v>289903</v>
      </c>
      <c r="BW578">
        <v>105284</v>
      </c>
      <c r="BX578">
        <v>58048</v>
      </c>
      <c r="BY578">
        <v>0</v>
      </c>
      <c r="BZ578">
        <v>1</v>
      </c>
      <c r="CA578" t="s">
        <v>1096</v>
      </c>
      <c r="CB578" t="s">
        <v>1097</v>
      </c>
      <c r="CC578" s="3">
        <v>46092.557106481479</v>
      </c>
      <c r="CD578" t="s">
        <v>91</v>
      </c>
    </row>
    <row r="579" spans="1:82" ht="16" x14ac:dyDescent="0.2">
      <c r="A579" t="s">
        <v>1231</v>
      </c>
      <c r="B579" t="s">
        <v>718</v>
      </c>
      <c r="C579" t="s">
        <v>719</v>
      </c>
      <c r="D579" t="s">
        <v>78</v>
      </c>
      <c r="E579" t="s">
        <v>720</v>
      </c>
      <c r="F579">
        <v>2</v>
      </c>
      <c r="G579">
        <v>50</v>
      </c>
      <c r="H579" t="str">
        <f t="shared" ref="H579:H642" si="64">F579&amp;"x"&amp;G579</f>
        <v>2x50</v>
      </c>
      <c r="I579">
        <v>59</v>
      </c>
      <c r="J579" s="4">
        <f t="shared" ref="J579:J642" si="65">IF($G579=300,I579/75/$F579/24,IF($G579=150,I579/65/$F579/24,I579/40/$F579/24))</f>
        <v>3.0729166666666669E-2</v>
      </c>
      <c r="K579">
        <v>89</v>
      </c>
      <c r="L579" s="4">
        <f t="shared" ref="L579:L642" si="66">IF($G579=300,K579/75/$F579/24,IF($G579=150,K579/65/$F579/24,K579/40/$F579/24))</f>
        <v>4.6354166666666669E-2</v>
      </c>
      <c r="M579">
        <v>134</v>
      </c>
      <c r="N579" s="4">
        <f t="shared" ref="N579:N642" si="67">IF($G579=300,M579/75/$F579/24,IF($G579=150,M579/65/$F579/24,M579/40/$F579/24))</f>
        <v>6.9791666666666669E-2</v>
      </c>
      <c r="O579">
        <v>268</v>
      </c>
      <c r="P579" s="4">
        <f t="shared" ref="P579:P642" si="68">IF($G579=300,O579/75/$F579/24,IF($G579=150,O579/65/$F579/24,O579/40/$F579/24))</f>
        <v>0.13958333333333334</v>
      </c>
      <c r="Q579" s="6" t="str">
        <f t="shared" si="63"/>
        <v>later</v>
      </c>
      <c r="R579" s="6">
        <f t="shared" ref="R579:R642" si="69">IF(Q579=2026,1,IF(Q579=2027,2,IF(Q579=2030,3,IF(Q579=2035,4,666))))</f>
        <v>666</v>
      </c>
      <c r="S579">
        <v>77</v>
      </c>
      <c r="T579">
        <v>7</v>
      </c>
      <c r="U579">
        <v>-9</v>
      </c>
      <c r="V579">
        <v>-3</v>
      </c>
      <c r="W579">
        <v>2</v>
      </c>
      <c r="X579">
        <v>-27</v>
      </c>
      <c r="Y579" s="2" t="s">
        <v>721</v>
      </c>
      <c r="Z579">
        <v>42.771929999999998</v>
      </c>
      <c r="AA579">
        <v>11.10685</v>
      </c>
      <c r="AB579" t="s">
        <v>78</v>
      </c>
      <c r="AC579" t="s">
        <v>81</v>
      </c>
      <c r="AD579" t="s">
        <v>82</v>
      </c>
      <c r="AE579">
        <v>38999</v>
      </c>
      <c r="AF579">
        <v>0</v>
      </c>
      <c r="AG579">
        <v>0</v>
      </c>
      <c r="AH579">
        <v>0</v>
      </c>
      <c r="AI579">
        <v>11590</v>
      </c>
      <c r="AJ579">
        <v>9030</v>
      </c>
      <c r="AK579">
        <v>18379</v>
      </c>
      <c r="AL579">
        <v>21131</v>
      </c>
      <c r="AM579">
        <v>50350</v>
      </c>
      <c r="AN579">
        <v>68210</v>
      </c>
      <c r="AO579">
        <v>75826</v>
      </c>
      <c r="AP579">
        <v>9</v>
      </c>
      <c r="AQ579">
        <v>0</v>
      </c>
      <c r="AR579">
        <v>3</v>
      </c>
      <c r="AS579">
        <v>13</v>
      </c>
      <c r="AT579">
        <v>1</v>
      </c>
      <c r="AU579">
        <v>22</v>
      </c>
      <c r="AV579">
        <v>11</v>
      </c>
      <c r="AW579">
        <v>0</v>
      </c>
      <c r="AX579">
        <v>0</v>
      </c>
      <c r="AY579">
        <v>0</v>
      </c>
      <c r="AZ579">
        <v>1</v>
      </c>
      <c r="BA579">
        <v>13</v>
      </c>
      <c r="BB579">
        <v>40</v>
      </c>
      <c r="BC579">
        <v>6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42.771922699999998</v>
      </c>
      <c r="BK579">
        <v>11.1069043</v>
      </c>
      <c r="BL579">
        <v>100</v>
      </c>
      <c r="BM579" t="s">
        <v>83</v>
      </c>
      <c r="BN579" t="s">
        <v>84</v>
      </c>
      <c r="BO579" t="s">
        <v>85</v>
      </c>
      <c r="BP579" t="s">
        <v>86</v>
      </c>
      <c r="BQ579" t="s">
        <v>212</v>
      </c>
      <c r="BR579" t="s">
        <v>719</v>
      </c>
      <c r="BS579">
        <v>780101</v>
      </c>
      <c r="BT579">
        <v>0</v>
      </c>
      <c r="BU579">
        <v>0</v>
      </c>
      <c r="BV579">
        <v>0</v>
      </c>
      <c r="BW579">
        <v>231817</v>
      </c>
      <c r="BX579">
        <v>180621</v>
      </c>
      <c r="BY579">
        <v>367663</v>
      </c>
      <c r="BZ579">
        <v>1</v>
      </c>
      <c r="CA579" t="s">
        <v>722</v>
      </c>
      <c r="CB579" t="s">
        <v>723</v>
      </c>
      <c r="CC579" s="3">
        <v>46092.557106481479</v>
      </c>
      <c r="CD579" t="s">
        <v>91</v>
      </c>
    </row>
    <row r="580" spans="1:82" ht="16" x14ac:dyDescent="0.2">
      <c r="A580" t="s">
        <v>1232</v>
      </c>
      <c r="B580" t="s">
        <v>653</v>
      </c>
      <c r="C580" t="s">
        <v>654</v>
      </c>
      <c r="D580" t="s">
        <v>78</v>
      </c>
      <c r="E580" t="s">
        <v>655</v>
      </c>
      <c r="F580">
        <v>2</v>
      </c>
      <c r="G580">
        <v>50</v>
      </c>
      <c r="H580" t="str">
        <f t="shared" si="64"/>
        <v>2x50</v>
      </c>
      <c r="I580">
        <v>58</v>
      </c>
      <c r="J580" s="4">
        <f t="shared" si="65"/>
        <v>3.0208333333333334E-2</v>
      </c>
      <c r="K580">
        <v>88</v>
      </c>
      <c r="L580" s="4">
        <f t="shared" si="66"/>
        <v>4.5833333333333337E-2</v>
      </c>
      <c r="M580">
        <v>134</v>
      </c>
      <c r="N580" s="4">
        <f t="shared" si="67"/>
        <v>6.9791666666666669E-2</v>
      </c>
      <c r="O580">
        <v>266</v>
      </c>
      <c r="P580" s="4">
        <f t="shared" si="68"/>
        <v>0.13854166666666667</v>
      </c>
      <c r="Q580" s="6" t="str">
        <f t="shared" si="63"/>
        <v>later</v>
      </c>
      <c r="R580" s="6">
        <f t="shared" si="69"/>
        <v>666</v>
      </c>
      <c r="S580">
        <v>77</v>
      </c>
      <c r="T580">
        <v>7</v>
      </c>
      <c r="U580">
        <v>-3</v>
      </c>
      <c r="V580">
        <v>-7</v>
      </c>
      <c r="W580">
        <v>1</v>
      </c>
      <c r="X580">
        <v>-31</v>
      </c>
      <c r="Y580" s="2" t="s">
        <v>656</v>
      </c>
      <c r="Z580">
        <v>41.763491989999999</v>
      </c>
      <c r="AA580">
        <v>12.36043188</v>
      </c>
      <c r="AB580" t="s">
        <v>78</v>
      </c>
      <c r="AC580" t="s">
        <v>81</v>
      </c>
      <c r="AD580" t="s">
        <v>82</v>
      </c>
      <c r="AE580">
        <v>41766</v>
      </c>
      <c r="AF580">
        <v>0</v>
      </c>
      <c r="AG580">
        <v>0</v>
      </c>
      <c r="AH580">
        <v>24025</v>
      </c>
      <c r="AI580">
        <v>0</v>
      </c>
      <c r="AJ580">
        <v>0</v>
      </c>
      <c r="AK580">
        <v>17741</v>
      </c>
      <c r="AL580">
        <v>12888</v>
      </c>
      <c r="AM580">
        <v>44286</v>
      </c>
      <c r="AN580">
        <v>144990</v>
      </c>
      <c r="AO580">
        <v>361766</v>
      </c>
      <c r="AP580">
        <v>1</v>
      </c>
      <c r="AQ580">
        <v>0</v>
      </c>
      <c r="AR580">
        <v>3</v>
      </c>
      <c r="AS580">
        <v>1</v>
      </c>
      <c r="AT580">
        <v>6</v>
      </c>
      <c r="AU580">
        <v>19</v>
      </c>
      <c r="AV580">
        <v>1</v>
      </c>
      <c r="AW580">
        <v>0</v>
      </c>
      <c r="AX580">
        <v>0</v>
      </c>
      <c r="AY580">
        <v>1</v>
      </c>
      <c r="AZ580">
        <v>0</v>
      </c>
      <c r="BA580">
        <v>8</v>
      </c>
      <c r="BB580">
        <v>20</v>
      </c>
      <c r="BC580">
        <v>2</v>
      </c>
      <c r="BD580">
        <v>0</v>
      </c>
      <c r="BE580">
        <v>0</v>
      </c>
      <c r="BF580">
        <v>0</v>
      </c>
      <c r="BG580">
        <v>0</v>
      </c>
      <c r="BH580">
        <v>2</v>
      </c>
      <c r="BI580">
        <v>0</v>
      </c>
      <c r="BJ580">
        <v>41.7635456</v>
      </c>
      <c r="BK580">
        <v>12.3602442</v>
      </c>
      <c r="BL580">
        <v>100</v>
      </c>
      <c r="BM580" t="s">
        <v>83</v>
      </c>
      <c r="BN580" t="s">
        <v>84</v>
      </c>
      <c r="BO580" t="s">
        <v>85</v>
      </c>
      <c r="BP580" t="s">
        <v>86</v>
      </c>
      <c r="BQ580" t="s">
        <v>87</v>
      </c>
      <c r="BR580" t="s">
        <v>88</v>
      </c>
      <c r="BS580">
        <v>835382</v>
      </c>
      <c r="BT580">
        <v>0</v>
      </c>
      <c r="BU580">
        <v>0</v>
      </c>
      <c r="BV580">
        <v>480514</v>
      </c>
      <c r="BW580">
        <v>0</v>
      </c>
      <c r="BX580">
        <v>0</v>
      </c>
      <c r="BY580">
        <v>354868</v>
      </c>
      <c r="BZ580">
        <v>1</v>
      </c>
      <c r="CA580" t="s">
        <v>657</v>
      </c>
      <c r="CB580" t="s">
        <v>658</v>
      </c>
      <c r="CC580" s="3">
        <v>46092.557106481479</v>
      </c>
      <c r="CD580" t="s">
        <v>91</v>
      </c>
    </row>
    <row r="581" spans="1:82" ht="16" x14ac:dyDescent="0.2">
      <c r="A581" t="s">
        <v>1233</v>
      </c>
      <c r="B581" t="s">
        <v>285</v>
      </c>
      <c r="C581" t="s">
        <v>286</v>
      </c>
      <c r="D581" t="s">
        <v>78</v>
      </c>
      <c r="E581" t="s">
        <v>287</v>
      </c>
      <c r="F581">
        <v>2</v>
      </c>
      <c r="G581">
        <v>50</v>
      </c>
      <c r="H581" t="str">
        <f t="shared" si="64"/>
        <v>2x50</v>
      </c>
      <c r="I581">
        <v>58</v>
      </c>
      <c r="J581" s="4">
        <f t="shared" si="65"/>
        <v>3.0208333333333334E-2</v>
      </c>
      <c r="K581">
        <v>88</v>
      </c>
      <c r="L581" s="4">
        <f t="shared" si="66"/>
        <v>4.5833333333333337E-2</v>
      </c>
      <c r="M581">
        <v>133</v>
      </c>
      <c r="N581" s="4">
        <f t="shared" si="67"/>
        <v>6.9270833333333337E-2</v>
      </c>
      <c r="O581">
        <v>266</v>
      </c>
      <c r="P581" s="4">
        <f t="shared" si="68"/>
        <v>0.13854166666666667</v>
      </c>
      <c r="Q581" s="6" t="str">
        <f t="shared" si="63"/>
        <v>later</v>
      </c>
      <c r="R581" s="6">
        <f t="shared" si="69"/>
        <v>666</v>
      </c>
      <c r="S581">
        <v>77</v>
      </c>
      <c r="T581">
        <v>30</v>
      </c>
      <c r="U581">
        <v>-10</v>
      </c>
      <c r="V581">
        <v>-4</v>
      </c>
      <c r="W581">
        <v>-6</v>
      </c>
      <c r="X581">
        <v>-53</v>
      </c>
      <c r="Y581" s="2" t="s">
        <v>288</v>
      </c>
      <c r="Z581">
        <v>45.166981</v>
      </c>
      <c r="AA581">
        <v>10.85084</v>
      </c>
      <c r="AB581" t="s">
        <v>78</v>
      </c>
      <c r="AC581" t="s">
        <v>81</v>
      </c>
      <c r="AD581" t="s">
        <v>82</v>
      </c>
      <c r="AE581">
        <v>121884</v>
      </c>
      <c r="AF581">
        <v>76247</v>
      </c>
      <c r="AG581">
        <v>16807</v>
      </c>
      <c r="AH581">
        <v>23765</v>
      </c>
      <c r="AI581">
        <v>0</v>
      </c>
      <c r="AJ581">
        <v>5065</v>
      </c>
      <c r="AK581">
        <v>0</v>
      </c>
      <c r="AL581">
        <v>3572</v>
      </c>
      <c r="AM581">
        <v>9539</v>
      </c>
      <c r="AN581">
        <v>39378</v>
      </c>
      <c r="AO581">
        <v>115707</v>
      </c>
      <c r="AP581">
        <v>1</v>
      </c>
      <c r="AQ581">
        <v>3</v>
      </c>
      <c r="AR581">
        <v>4</v>
      </c>
      <c r="AS581">
        <v>7</v>
      </c>
      <c r="AT581">
        <v>1</v>
      </c>
      <c r="AU581">
        <v>12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4</v>
      </c>
      <c r="BB581">
        <v>11</v>
      </c>
      <c r="BC581">
        <v>4</v>
      </c>
      <c r="BD581">
        <v>4</v>
      </c>
      <c r="BE581">
        <v>8</v>
      </c>
      <c r="BF581">
        <v>4</v>
      </c>
      <c r="BG581">
        <v>8</v>
      </c>
      <c r="BH581">
        <v>6</v>
      </c>
      <c r="BI581">
        <v>8</v>
      </c>
      <c r="BJ581">
        <v>45.166930000000001</v>
      </c>
      <c r="BK581">
        <v>10.850869899999999</v>
      </c>
      <c r="BL581">
        <v>100</v>
      </c>
      <c r="BM581" t="s">
        <v>83</v>
      </c>
      <c r="BN581" t="s">
        <v>84</v>
      </c>
      <c r="BO581" t="s">
        <v>85</v>
      </c>
      <c r="BP581" t="s">
        <v>107</v>
      </c>
      <c r="BQ581" t="s">
        <v>108</v>
      </c>
      <c r="BR581" t="s">
        <v>289</v>
      </c>
      <c r="BS581">
        <v>2895299</v>
      </c>
      <c r="BT581">
        <v>1982461</v>
      </c>
      <c r="BU581">
        <v>336162</v>
      </c>
      <c r="BV581">
        <v>475320</v>
      </c>
      <c r="BW581">
        <v>0</v>
      </c>
      <c r="BX581">
        <v>101356</v>
      </c>
      <c r="BY581">
        <v>0</v>
      </c>
      <c r="BZ581">
        <v>1</v>
      </c>
      <c r="CA581" t="s">
        <v>290</v>
      </c>
      <c r="CB581" t="s">
        <v>291</v>
      </c>
      <c r="CC581" s="3">
        <v>46092.557106481479</v>
      </c>
      <c r="CD581" t="s">
        <v>91</v>
      </c>
    </row>
    <row r="582" spans="1:82" ht="16" x14ac:dyDescent="0.2">
      <c r="A582" t="s">
        <v>1234</v>
      </c>
      <c r="B582" t="s">
        <v>434</v>
      </c>
      <c r="C582" t="s">
        <v>435</v>
      </c>
      <c r="D582" t="s">
        <v>78</v>
      </c>
      <c r="E582" t="s">
        <v>436</v>
      </c>
      <c r="F582">
        <v>2</v>
      </c>
      <c r="G582">
        <v>50</v>
      </c>
      <c r="H582" t="str">
        <f t="shared" si="64"/>
        <v>2x50</v>
      </c>
      <c r="I582">
        <v>58</v>
      </c>
      <c r="J582" s="4">
        <f t="shared" si="65"/>
        <v>3.0208333333333334E-2</v>
      </c>
      <c r="K582">
        <v>87</v>
      </c>
      <c r="L582" s="4">
        <f t="shared" si="66"/>
        <v>4.5312499999999999E-2</v>
      </c>
      <c r="M582">
        <v>133</v>
      </c>
      <c r="N582" s="4">
        <f t="shared" si="67"/>
        <v>6.9270833333333337E-2</v>
      </c>
      <c r="O582">
        <v>264</v>
      </c>
      <c r="P582" s="4">
        <f t="shared" si="68"/>
        <v>0.13749999999999998</v>
      </c>
      <c r="Q582" s="6" t="str">
        <f t="shared" si="63"/>
        <v>later</v>
      </c>
      <c r="R582" s="6">
        <f t="shared" si="69"/>
        <v>666</v>
      </c>
      <c r="S582">
        <v>77</v>
      </c>
      <c r="T582">
        <v>25</v>
      </c>
      <c r="U582">
        <v>-9</v>
      </c>
      <c r="V582">
        <v>-12</v>
      </c>
      <c r="W582">
        <v>0</v>
      </c>
      <c r="X582">
        <v>-41</v>
      </c>
      <c r="Y582" s="2" t="s">
        <v>437</v>
      </c>
      <c r="Z582">
        <v>45.142439353893003</v>
      </c>
      <c r="AA582">
        <v>10.0618828085932</v>
      </c>
      <c r="AB582" t="s">
        <v>78</v>
      </c>
      <c r="AC582" t="s">
        <v>81</v>
      </c>
      <c r="AD582" t="s">
        <v>82</v>
      </c>
      <c r="AE582">
        <v>89445</v>
      </c>
      <c r="AF582">
        <v>24722</v>
      </c>
      <c r="AG582">
        <v>14924</v>
      </c>
      <c r="AH582">
        <v>16497</v>
      </c>
      <c r="AI582">
        <v>19496</v>
      </c>
      <c r="AJ582">
        <v>12373</v>
      </c>
      <c r="AK582">
        <v>1433</v>
      </c>
      <c r="AL582">
        <v>2183</v>
      </c>
      <c r="AM582">
        <v>13363</v>
      </c>
      <c r="AN582">
        <v>74879</v>
      </c>
      <c r="AO582">
        <v>108543</v>
      </c>
      <c r="AP582">
        <v>0</v>
      </c>
      <c r="AQ582">
        <v>0</v>
      </c>
      <c r="AR582">
        <v>1</v>
      </c>
      <c r="AS582">
        <v>0</v>
      </c>
      <c r="AT582">
        <v>2</v>
      </c>
      <c r="AU582">
        <v>7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19</v>
      </c>
      <c r="BC582">
        <v>2</v>
      </c>
      <c r="BD582">
        <v>0</v>
      </c>
      <c r="BE582">
        <v>0</v>
      </c>
      <c r="BF582">
        <v>0</v>
      </c>
      <c r="BG582">
        <v>0</v>
      </c>
      <c r="BH582">
        <v>2</v>
      </c>
      <c r="BI582">
        <v>6</v>
      </c>
      <c r="BJ582">
        <v>45.142510000000001</v>
      </c>
      <c r="BK582">
        <v>10.06179</v>
      </c>
      <c r="BL582">
        <v>100</v>
      </c>
      <c r="BM582" t="s">
        <v>83</v>
      </c>
      <c r="BN582" t="s">
        <v>84</v>
      </c>
      <c r="BO582" t="s">
        <v>85</v>
      </c>
      <c r="BP582" t="s">
        <v>107</v>
      </c>
      <c r="BQ582" t="s">
        <v>108</v>
      </c>
      <c r="BR582" t="s">
        <v>435</v>
      </c>
      <c r="BS582">
        <v>1937462</v>
      </c>
      <c r="BT582">
        <v>642788</v>
      </c>
      <c r="BU582">
        <v>298500</v>
      </c>
      <c r="BV582">
        <v>329948</v>
      </c>
      <c r="BW582">
        <v>390006</v>
      </c>
      <c r="BX582">
        <v>247538</v>
      </c>
      <c r="BY582">
        <v>28682</v>
      </c>
      <c r="BZ582">
        <v>1</v>
      </c>
      <c r="CA582" t="s">
        <v>438</v>
      </c>
      <c r="CB582" t="s">
        <v>439</v>
      </c>
      <c r="CC582" s="3">
        <v>46092.557106481479</v>
      </c>
      <c r="CD582" t="s">
        <v>91</v>
      </c>
    </row>
    <row r="583" spans="1:82" ht="16" x14ac:dyDescent="0.2">
      <c r="A583" t="s">
        <v>1235</v>
      </c>
      <c r="B583" t="s">
        <v>450</v>
      </c>
      <c r="C583" t="s">
        <v>451</v>
      </c>
      <c r="D583" t="s">
        <v>78</v>
      </c>
      <c r="E583" t="s">
        <v>452</v>
      </c>
      <c r="F583">
        <v>2</v>
      </c>
      <c r="G583">
        <v>50</v>
      </c>
      <c r="H583" t="str">
        <f t="shared" si="64"/>
        <v>2x50</v>
      </c>
      <c r="I583">
        <v>58</v>
      </c>
      <c r="J583" s="4">
        <f t="shared" si="65"/>
        <v>3.0208333333333334E-2</v>
      </c>
      <c r="K583">
        <v>87</v>
      </c>
      <c r="L583" s="4">
        <f t="shared" si="66"/>
        <v>4.5312499999999999E-2</v>
      </c>
      <c r="M583">
        <v>132</v>
      </c>
      <c r="N583" s="4">
        <f t="shared" si="67"/>
        <v>6.8749999999999992E-2</v>
      </c>
      <c r="O583">
        <v>264</v>
      </c>
      <c r="P583" s="4">
        <f t="shared" si="68"/>
        <v>0.13749999999999998</v>
      </c>
      <c r="Q583" s="6" t="str">
        <f t="shared" si="63"/>
        <v>later</v>
      </c>
      <c r="R583" s="6">
        <f t="shared" si="69"/>
        <v>666</v>
      </c>
      <c r="S583">
        <v>77</v>
      </c>
      <c r="T583">
        <v>21</v>
      </c>
      <c r="U583">
        <v>-13</v>
      </c>
      <c r="V583">
        <v>-5</v>
      </c>
      <c r="W583">
        <v>-2</v>
      </c>
      <c r="X583">
        <v>-35</v>
      </c>
      <c r="Y583" s="2" t="s">
        <v>453</v>
      </c>
      <c r="Z583">
        <v>43.572907600000001</v>
      </c>
      <c r="AA583">
        <v>10.3305513</v>
      </c>
      <c r="AB583" t="s">
        <v>78</v>
      </c>
      <c r="AC583" t="s">
        <v>81</v>
      </c>
      <c r="AD583" t="s">
        <v>82</v>
      </c>
      <c r="AE583">
        <v>74950</v>
      </c>
      <c r="AF583">
        <v>0</v>
      </c>
      <c r="AG583">
        <v>50105</v>
      </c>
      <c r="AH583">
        <v>17331</v>
      </c>
      <c r="AI583">
        <v>2357</v>
      </c>
      <c r="AJ583">
        <v>567</v>
      </c>
      <c r="AK583">
        <v>4590</v>
      </c>
      <c r="AL583">
        <v>4182</v>
      </c>
      <c r="AM583">
        <v>26464</v>
      </c>
      <c r="AN583">
        <v>124618</v>
      </c>
      <c r="AO583">
        <v>168659</v>
      </c>
      <c r="AP583">
        <v>1</v>
      </c>
      <c r="AQ583">
        <v>0</v>
      </c>
      <c r="AR583">
        <v>1</v>
      </c>
      <c r="AS583">
        <v>3</v>
      </c>
      <c r="AT583">
        <v>0</v>
      </c>
      <c r="AU583">
        <v>14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6</v>
      </c>
      <c r="BB583">
        <v>16</v>
      </c>
      <c r="BC583">
        <v>4</v>
      </c>
      <c r="BD583">
        <v>0</v>
      </c>
      <c r="BE583">
        <v>0</v>
      </c>
      <c r="BF583">
        <v>0</v>
      </c>
      <c r="BG583">
        <v>0</v>
      </c>
      <c r="BH583">
        <v>8</v>
      </c>
      <c r="BI583">
        <v>0</v>
      </c>
      <c r="BJ583">
        <v>43.573089899999999</v>
      </c>
      <c r="BK583">
        <v>10.330909999999999</v>
      </c>
      <c r="BL583">
        <v>100</v>
      </c>
      <c r="BM583" t="s">
        <v>83</v>
      </c>
      <c r="BN583" t="s">
        <v>84</v>
      </c>
      <c r="BO583" t="s">
        <v>85</v>
      </c>
      <c r="BP583" t="s">
        <v>86</v>
      </c>
      <c r="BQ583" t="s">
        <v>212</v>
      </c>
      <c r="BR583" t="s">
        <v>454</v>
      </c>
      <c r="BS583">
        <v>1499176</v>
      </c>
      <c r="BT583">
        <v>0</v>
      </c>
      <c r="BU583">
        <v>1002140</v>
      </c>
      <c r="BV583">
        <v>346682</v>
      </c>
      <c r="BW583">
        <v>47171</v>
      </c>
      <c r="BX583">
        <v>11355</v>
      </c>
      <c r="BY583">
        <v>91828</v>
      </c>
      <c r="BZ583">
        <v>1</v>
      </c>
      <c r="CA583" t="s">
        <v>455</v>
      </c>
      <c r="CB583" t="s">
        <v>456</v>
      </c>
      <c r="CC583" s="3">
        <v>46092.557106481479</v>
      </c>
      <c r="CD583" t="s">
        <v>91</v>
      </c>
    </row>
    <row r="584" spans="1:82" ht="16" x14ac:dyDescent="0.2">
      <c r="A584" t="s">
        <v>1236</v>
      </c>
      <c r="B584" t="s">
        <v>565</v>
      </c>
      <c r="C584" t="s">
        <v>566</v>
      </c>
      <c r="D584" t="s">
        <v>78</v>
      </c>
      <c r="E584" t="s">
        <v>567</v>
      </c>
      <c r="F584">
        <v>2</v>
      </c>
      <c r="G584">
        <v>50</v>
      </c>
      <c r="H584" t="str">
        <f t="shared" si="64"/>
        <v>2x50</v>
      </c>
      <c r="I584">
        <v>57</v>
      </c>
      <c r="J584" s="4">
        <f t="shared" si="65"/>
        <v>2.9687500000000002E-2</v>
      </c>
      <c r="K584">
        <v>86</v>
      </c>
      <c r="L584" s="4">
        <f t="shared" si="66"/>
        <v>4.4791666666666667E-2</v>
      </c>
      <c r="M584">
        <v>131</v>
      </c>
      <c r="N584" s="4">
        <f t="shared" si="67"/>
        <v>6.822916666666666E-2</v>
      </c>
      <c r="O584">
        <v>261</v>
      </c>
      <c r="P584" s="4">
        <f t="shared" si="68"/>
        <v>0.13593750000000002</v>
      </c>
      <c r="Q584" s="6" t="str">
        <f t="shared" si="63"/>
        <v>later</v>
      </c>
      <c r="R584" s="6">
        <f t="shared" si="69"/>
        <v>666</v>
      </c>
      <c r="S584">
        <v>77</v>
      </c>
      <c r="T584">
        <v>5</v>
      </c>
      <c r="U584">
        <v>-4</v>
      </c>
      <c r="V584">
        <v>1</v>
      </c>
      <c r="W584">
        <v>-3</v>
      </c>
      <c r="X584">
        <v>-34</v>
      </c>
      <c r="Y584" s="2" t="s">
        <v>568</v>
      </c>
      <c r="Z584">
        <v>44.415803894806899</v>
      </c>
      <c r="AA584">
        <v>8.8660335355824298</v>
      </c>
      <c r="AB584" t="s">
        <v>78</v>
      </c>
      <c r="AC584" t="s">
        <v>81</v>
      </c>
      <c r="AD584" t="s">
        <v>82</v>
      </c>
      <c r="AE584">
        <v>60337</v>
      </c>
      <c r="AF584">
        <v>0</v>
      </c>
      <c r="AG584">
        <v>0</v>
      </c>
      <c r="AH584">
        <v>37816</v>
      </c>
      <c r="AI584">
        <v>0</v>
      </c>
      <c r="AJ584">
        <v>20349</v>
      </c>
      <c r="AK584">
        <v>2172</v>
      </c>
      <c r="AL584">
        <v>12388</v>
      </c>
      <c r="AM584">
        <v>50822</v>
      </c>
      <c r="AN584">
        <v>207291</v>
      </c>
      <c r="AO584">
        <v>517022</v>
      </c>
      <c r="AP584">
        <v>0</v>
      </c>
      <c r="AQ584">
        <v>1</v>
      </c>
      <c r="AR584">
        <v>5</v>
      </c>
      <c r="AS584">
        <v>7</v>
      </c>
      <c r="AT584">
        <v>7</v>
      </c>
      <c r="AU584">
        <v>33</v>
      </c>
      <c r="AV584">
        <v>2</v>
      </c>
      <c r="AW584">
        <v>0</v>
      </c>
      <c r="AX584">
        <v>4</v>
      </c>
      <c r="AY584">
        <v>1</v>
      </c>
      <c r="AZ584">
        <v>0</v>
      </c>
      <c r="BA584">
        <v>4</v>
      </c>
      <c r="BB584">
        <v>52</v>
      </c>
      <c r="BC584">
        <v>0</v>
      </c>
      <c r="BD584">
        <v>4</v>
      </c>
      <c r="BE584">
        <v>0</v>
      </c>
      <c r="BF584">
        <v>6</v>
      </c>
      <c r="BG584">
        <v>0</v>
      </c>
      <c r="BH584">
        <v>22</v>
      </c>
      <c r="BI584">
        <v>0</v>
      </c>
      <c r="BJ584">
        <v>44.415798299999999</v>
      </c>
      <c r="BK584">
        <v>8.8660335999999997</v>
      </c>
      <c r="BL584">
        <v>100</v>
      </c>
      <c r="BM584" t="s">
        <v>83</v>
      </c>
      <c r="BN584" t="s">
        <v>84</v>
      </c>
      <c r="BO584" t="s">
        <v>85</v>
      </c>
      <c r="BP584" t="s">
        <v>107</v>
      </c>
      <c r="BQ584" t="s">
        <v>569</v>
      </c>
      <c r="BR584" t="s">
        <v>570</v>
      </c>
      <c r="BS584">
        <v>1354297</v>
      </c>
      <c r="BT584">
        <v>0</v>
      </c>
      <c r="BU584">
        <v>0</v>
      </c>
      <c r="BV584">
        <v>903841</v>
      </c>
      <c r="BW584">
        <v>0</v>
      </c>
      <c r="BX584">
        <v>407009</v>
      </c>
      <c r="BY584">
        <v>43447</v>
      </c>
      <c r="BZ584">
        <v>1</v>
      </c>
      <c r="CA584" t="s">
        <v>571</v>
      </c>
      <c r="CB584" t="s">
        <v>572</v>
      </c>
      <c r="CC584" s="3">
        <v>46092.557106481479</v>
      </c>
      <c r="CD584" t="s">
        <v>91</v>
      </c>
    </row>
    <row r="585" spans="1:82" ht="16" x14ac:dyDescent="0.2">
      <c r="A585" t="s">
        <v>1237</v>
      </c>
      <c r="B585" t="s">
        <v>675</v>
      </c>
      <c r="C585" t="s">
        <v>676</v>
      </c>
      <c r="D585" t="s">
        <v>78</v>
      </c>
      <c r="E585" t="s">
        <v>677</v>
      </c>
      <c r="F585">
        <v>2</v>
      </c>
      <c r="G585">
        <v>50</v>
      </c>
      <c r="H585" t="str">
        <f t="shared" si="64"/>
        <v>2x50</v>
      </c>
      <c r="I585">
        <v>57</v>
      </c>
      <c r="J585" s="4">
        <f t="shared" si="65"/>
        <v>2.9687500000000002E-2</v>
      </c>
      <c r="K585">
        <v>86</v>
      </c>
      <c r="L585" s="4">
        <f t="shared" si="66"/>
        <v>4.4791666666666667E-2</v>
      </c>
      <c r="M585">
        <v>131</v>
      </c>
      <c r="N585" s="4">
        <f t="shared" si="67"/>
        <v>6.822916666666666E-2</v>
      </c>
      <c r="O585">
        <v>261</v>
      </c>
      <c r="P585" s="4">
        <f t="shared" si="68"/>
        <v>0.13593750000000002</v>
      </c>
      <c r="Q585" s="6" t="str">
        <f t="shared" si="63"/>
        <v>later</v>
      </c>
      <c r="R585" s="6">
        <f t="shared" si="69"/>
        <v>666</v>
      </c>
      <c r="S585">
        <v>77</v>
      </c>
      <c r="T585">
        <v>5</v>
      </c>
      <c r="U585">
        <v>-9</v>
      </c>
      <c r="V585">
        <v>1</v>
      </c>
      <c r="W585">
        <v>0</v>
      </c>
      <c r="X585">
        <v>-30</v>
      </c>
      <c r="Y585" s="2" t="s">
        <v>678</v>
      </c>
      <c r="Z585">
        <v>41.754345049293299</v>
      </c>
      <c r="AA585">
        <v>12.618595604901399</v>
      </c>
      <c r="AB585" t="s">
        <v>78</v>
      </c>
      <c r="AC585" t="s">
        <v>81</v>
      </c>
      <c r="AD585" t="s">
        <v>82</v>
      </c>
      <c r="AE585">
        <v>79329</v>
      </c>
      <c r="AF585">
        <v>0</v>
      </c>
      <c r="AG585">
        <v>0</v>
      </c>
      <c r="AH585">
        <v>67704</v>
      </c>
      <c r="AI585">
        <v>2749</v>
      </c>
      <c r="AJ585">
        <v>7060</v>
      </c>
      <c r="AK585">
        <v>1816</v>
      </c>
      <c r="AL585">
        <v>3453</v>
      </c>
      <c r="AM585">
        <v>14937</v>
      </c>
      <c r="AN585">
        <v>99574</v>
      </c>
      <c r="AO585">
        <v>322758</v>
      </c>
      <c r="AP585">
        <v>0</v>
      </c>
      <c r="AQ585">
        <v>0</v>
      </c>
      <c r="AR585">
        <v>5</v>
      </c>
      <c r="AS585">
        <v>1</v>
      </c>
      <c r="AT585">
        <v>1</v>
      </c>
      <c r="AU585">
        <v>12</v>
      </c>
      <c r="AV585">
        <v>2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2</v>
      </c>
      <c r="BG585">
        <v>0</v>
      </c>
      <c r="BH585">
        <v>4</v>
      </c>
      <c r="BI585">
        <v>0</v>
      </c>
      <c r="BJ585">
        <v>41.754139899999998</v>
      </c>
      <c r="BK585">
        <v>12.618279899999999</v>
      </c>
      <c r="BL585">
        <v>100</v>
      </c>
      <c r="BM585" t="s">
        <v>83</v>
      </c>
      <c r="BN585" t="s">
        <v>84</v>
      </c>
      <c r="BO585" t="s">
        <v>85</v>
      </c>
      <c r="BP585" t="s">
        <v>86</v>
      </c>
      <c r="BQ585" t="s">
        <v>87</v>
      </c>
      <c r="BR585" t="s">
        <v>88</v>
      </c>
      <c r="BS585">
        <v>1043729</v>
      </c>
      <c r="BT585">
        <v>0</v>
      </c>
      <c r="BU585">
        <v>0</v>
      </c>
      <c r="BV585">
        <v>811180</v>
      </c>
      <c r="BW585">
        <v>54993</v>
      </c>
      <c r="BX585">
        <v>141219</v>
      </c>
      <c r="BY585">
        <v>36337</v>
      </c>
      <c r="BZ585">
        <v>1</v>
      </c>
      <c r="CA585" t="s">
        <v>679</v>
      </c>
      <c r="CB585" t="s">
        <v>680</v>
      </c>
      <c r="CC585" s="3">
        <v>46092.557106481479</v>
      </c>
      <c r="CD585" t="s">
        <v>91</v>
      </c>
    </row>
    <row r="586" spans="1:82" ht="16" x14ac:dyDescent="0.2">
      <c r="A586" t="s">
        <v>1238</v>
      </c>
      <c r="B586" t="s">
        <v>466</v>
      </c>
      <c r="C586" t="s">
        <v>179</v>
      </c>
      <c r="D586" t="s">
        <v>78</v>
      </c>
      <c r="E586" t="s">
        <v>467</v>
      </c>
      <c r="F586">
        <v>2</v>
      </c>
      <c r="G586">
        <v>50</v>
      </c>
      <c r="H586" t="str">
        <f t="shared" si="64"/>
        <v>2x50</v>
      </c>
      <c r="I586">
        <v>56</v>
      </c>
      <c r="J586" s="4">
        <f t="shared" si="65"/>
        <v>2.9166666666666664E-2</v>
      </c>
      <c r="K586">
        <v>84</v>
      </c>
      <c r="L586" s="4">
        <f t="shared" si="66"/>
        <v>4.3750000000000004E-2</v>
      </c>
      <c r="M586">
        <v>128</v>
      </c>
      <c r="N586" s="4">
        <f t="shared" si="67"/>
        <v>6.6666666666666666E-2</v>
      </c>
      <c r="O586">
        <v>256</v>
      </c>
      <c r="P586" s="4">
        <f t="shared" si="68"/>
        <v>0.13333333333333333</v>
      </c>
      <c r="Q586" s="6" t="str">
        <f t="shared" si="63"/>
        <v>later</v>
      </c>
      <c r="R586" s="6">
        <f t="shared" si="69"/>
        <v>666</v>
      </c>
      <c r="S586">
        <v>77</v>
      </c>
      <c r="T586">
        <v>20</v>
      </c>
      <c r="U586">
        <v>-12</v>
      </c>
      <c r="V586">
        <v>2</v>
      </c>
      <c r="W586">
        <v>-8</v>
      </c>
      <c r="X586">
        <v>-42</v>
      </c>
      <c r="Y586" s="2" t="s">
        <v>468</v>
      </c>
      <c r="Z586">
        <v>45.558286191935501</v>
      </c>
      <c r="AA586">
        <v>10.2275211779121</v>
      </c>
      <c r="AB586" t="s">
        <v>78</v>
      </c>
      <c r="AC586" t="s">
        <v>81</v>
      </c>
      <c r="AD586" t="s">
        <v>82</v>
      </c>
      <c r="AE586">
        <v>131017</v>
      </c>
      <c r="AF586">
        <v>0</v>
      </c>
      <c r="AG586">
        <v>0</v>
      </c>
      <c r="AH586">
        <v>10595</v>
      </c>
      <c r="AI586">
        <v>59406</v>
      </c>
      <c r="AJ586">
        <v>53084</v>
      </c>
      <c r="AK586">
        <v>7932</v>
      </c>
      <c r="AL586">
        <v>14985</v>
      </c>
      <c r="AM586">
        <v>48242</v>
      </c>
      <c r="AN586">
        <v>185581</v>
      </c>
      <c r="AO586">
        <v>349290</v>
      </c>
      <c r="AP586">
        <v>5</v>
      </c>
      <c r="AQ586">
        <v>0</v>
      </c>
      <c r="AR586">
        <v>4</v>
      </c>
      <c r="AS586">
        <v>5</v>
      </c>
      <c r="AT586">
        <v>2</v>
      </c>
      <c r="AU586">
        <v>31</v>
      </c>
      <c r="AV586">
        <v>8</v>
      </c>
      <c r="AW586">
        <v>0</v>
      </c>
      <c r="AX586">
        <v>3</v>
      </c>
      <c r="AY586">
        <v>1</v>
      </c>
      <c r="AZ586">
        <v>1</v>
      </c>
      <c r="BA586">
        <v>55</v>
      </c>
      <c r="BB586">
        <v>105</v>
      </c>
      <c r="BC586">
        <v>12</v>
      </c>
      <c r="BD586">
        <v>6</v>
      </c>
      <c r="BE586">
        <v>0</v>
      </c>
      <c r="BF586">
        <v>20</v>
      </c>
      <c r="BG586">
        <v>0</v>
      </c>
      <c r="BH586">
        <v>34</v>
      </c>
      <c r="BI586">
        <v>1</v>
      </c>
      <c r="BJ586">
        <v>45.558267899999997</v>
      </c>
      <c r="BK586">
        <v>10.227610200000001</v>
      </c>
      <c r="BL586">
        <v>100</v>
      </c>
      <c r="BM586" t="s">
        <v>83</v>
      </c>
      <c r="BN586" t="s">
        <v>84</v>
      </c>
      <c r="BO586" t="s">
        <v>85</v>
      </c>
      <c r="BP586" t="s">
        <v>107</v>
      </c>
      <c r="BQ586" t="s">
        <v>108</v>
      </c>
      <c r="BR586" t="s">
        <v>179</v>
      </c>
      <c r="BS586">
        <v>2412912</v>
      </c>
      <c r="BT586">
        <v>0</v>
      </c>
      <c r="BU586">
        <v>0</v>
      </c>
      <c r="BV586">
        <v>211906</v>
      </c>
      <c r="BW586">
        <v>1198584</v>
      </c>
      <c r="BX586">
        <v>843753</v>
      </c>
      <c r="BY586">
        <v>158669</v>
      </c>
      <c r="BZ586">
        <v>1</v>
      </c>
      <c r="CA586" t="s">
        <v>469</v>
      </c>
      <c r="CB586" t="s">
        <v>470</v>
      </c>
      <c r="CC586" s="3">
        <v>46092.557106481479</v>
      </c>
      <c r="CD586" t="s">
        <v>91</v>
      </c>
    </row>
    <row r="587" spans="1:82" ht="16" x14ac:dyDescent="0.2">
      <c r="A587" t="s">
        <v>1239</v>
      </c>
      <c r="B587" t="s">
        <v>397</v>
      </c>
      <c r="C587" t="s">
        <v>398</v>
      </c>
      <c r="D587" t="s">
        <v>78</v>
      </c>
      <c r="E587" t="s">
        <v>399</v>
      </c>
      <c r="F587">
        <v>2</v>
      </c>
      <c r="G587">
        <v>50</v>
      </c>
      <c r="H587" t="str">
        <f t="shared" si="64"/>
        <v>2x50</v>
      </c>
      <c r="I587">
        <v>56</v>
      </c>
      <c r="J587" s="4">
        <f t="shared" si="65"/>
        <v>2.9166666666666664E-2</v>
      </c>
      <c r="K587">
        <v>84</v>
      </c>
      <c r="L587" s="4">
        <f t="shared" si="66"/>
        <v>4.3750000000000004E-2</v>
      </c>
      <c r="M587">
        <v>128</v>
      </c>
      <c r="N587" s="4">
        <f t="shared" si="67"/>
        <v>6.6666666666666666E-2</v>
      </c>
      <c r="O587">
        <v>256</v>
      </c>
      <c r="P587" s="4">
        <f t="shared" si="68"/>
        <v>0.13333333333333333</v>
      </c>
      <c r="Q587" s="6" t="str">
        <f t="shared" si="63"/>
        <v>later</v>
      </c>
      <c r="R587" s="6">
        <f t="shared" si="69"/>
        <v>666</v>
      </c>
      <c r="S587">
        <v>77</v>
      </c>
      <c r="T587">
        <v>26</v>
      </c>
      <c r="U587">
        <v>-12</v>
      </c>
      <c r="V587">
        <v>-3</v>
      </c>
      <c r="W587">
        <v>-9</v>
      </c>
      <c r="X587">
        <v>-39</v>
      </c>
      <c r="Y587" s="2" t="s">
        <v>400</v>
      </c>
      <c r="Z587">
        <v>41.6770861878679</v>
      </c>
      <c r="AA587">
        <v>12.500755177912099</v>
      </c>
      <c r="AB587" t="s">
        <v>78</v>
      </c>
      <c r="AC587" t="s">
        <v>81</v>
      </c>
      <c r="AD587" t="s">
        <v>82</v>
      </c>
      <c r="AE587">
        <v>99459</v>
      </c>
      <c r="AF587">
        <v>0</v>
      </c>
      <c r="AG587">
        <v>66148</v>
      </c>
      <c r="AH587">
        <v>0</v>
      </c>
      <c r="AI587">
        <v>0</v>
      </c>
      <c r="AJ587">
        <v>23420</v>
      </c>
      <c r="AK587">
        <v>9891</v>
      </c>
      <c r="AL587">
        <v>9326</v>
      </c>
      <c r="AM587">
        <v>25111</v>
      </c>
      <c r="AN587">
        <v>41559</v>
      </c>
      <c r="AO587">
        <v>110995</v>
      </c>
      <c r="AP587">
        <v>6</v>
      </c>
      <c r="AQ587">
        <v>1</v>
      </c>
      <c r="AR587">
        <v>4</v>
      </c>
      <c r="AS587">
        <v>7</v>
      </c>
      <c r="AT587">
        <v>2</v>
      </c>
      <c r="AU587">
        <v>21</v>
      </c>
      <c r="AV587">
        <v>17</v>
      </c>
      <c r="AW587">
        <v>1</v>
      </c>
      <c r="AX587">
        <v>0</v>
      </c>
      <c r="AY587">
        <v>1</v>
      </c>
      <c r="AZ587">
        <v>0</v>
      </c>
      <c r="BA587">
        <v>26</v>
      </c>
      <c r="BB587">
        <v>40</v>
      </c>
      <c r="BC587">
        <v>8</v>
      </c>
      <c r="BD587">
        <v>2</v>
      </c>
      <c r="BE587">
        <v>0</v>
      </c>
      <c r="BF587">
        <v>6</v>
      </c>
      <c r="BG587">
        <v>4</v>
      </c>
      <c r="BH587">
        <v>14</v>
      </c>
      <c r="BI587">
        <v>4</v>
      </c>
      <c r="BJ587">
        <v>41.6772834</v>
      </c>
      <c r="BK587">
        <v>12.500575700000001</v>
      </c>
      <c r="BL587">
        <v>100</v>
      </c>
      <c r="BM587" t="s">
        <v>83</v>
      </c>
      <c r="BN587" t="s">
        <v>84</v>
      </c>
      <c r="BO587" t="s">
        <v>85</v>
      </c>
      <c r="BP587" t="s">
        <v>86</v>
      </c>
      <c r="BQ587" t="s">
        <v>87</v>
      </c>
      <c r="BR587" t="s">
        <v>88</v>
      </c>
      <c r="BS587">
        <v>2319199</v>
      </c>
      <c r="BT587">
        <v>0</v>
      </c>
      <c r="BU587">
        <v>1719870</v>
      </c>
      <c r="BV587">
        <v>0</v>
      </c>
      <c r="BW587">
        <v>0</v>
      </c>
      <c r="BX587">
        <v>401454</v>
      </c>
      <c r="BY587">
        <v>197875</v>
      </c>
      <c r="BZ587">
        <v>1</v>
      </c>
      <c r="CA587" t="s">
        <v>401</v>
      </c>
      <c r="CB587" t="s">
        <v>402</v>
      </c>
      <c r="CC587" s="3">
        <v>46092.557106481479</v>
      </c>
      <c r="CD587" t="s">
        <v>91</v>
      </c>
    </row>
    <row r="588" spans="1:82" ht="16" x14ac:dyDescent="0.2">
      <c r="A588" t="s">
        <v>1240</v>
      </c>
      <c r="B588" t="s">
        <v>500</v>
      </c>
      <c r="C588" t="s">
        <v>501</v>
      </c>
      <c r="D588" t="s">
        <v>78</v>
      </c>
      <c r="E588" t="s">
        <v>502</v>
      </c>
      <c r="F588">
        <v>2</v>
      </c>
      <c r="G588">
        <v>50</v>
      </c>
      <c r="H588" t="str">
        <f t="shared" si="64"/>
        <v>2x50</v>
      </c>
      <c r="I588">
        <v>56</v>
      </c>
      <c r="J588" s="4">
        <f t="shared" si="65"/>
        <v>2.9166666666666664E-2</v>
      </c>
      <c r="K588">
        <v>84</v>
      </c>
      <c r="L588" s="4">
        <f t="shared" si="66"/>
        <v>4.3750000000000004E-2</v>
      </c>
      <c r="M588">
        <v>128</v>
      </c>
      <c r="N588" s="4">
        <f t="shared" si="67"/>
        <v>6.6666666666666666E-2</v>
      </c>
      <c r="O588">
        <v>256</v>
      </c>
      <c r="P588" s="4">
        <f t="shared" si="68"/>
        <v>0.13333333333333333</v>
      </c>
      <c r="Q588" s="6" t="str">
        <f t="shared" si="63"/>
        <v>later</v>
      </c>
      <c r="R588" s="6">
        <f t="shared" si="69"/>
        <v>666</v>
      </c>
      <c r="S588">
        <v>77</v>
      </c>
      <c r="T588">
        <v>4</v>
      </c>
      <c r="U588">
        <v>-11</v>
      </c>
      <c r="V588">
        <v>9</v>
      </c>
      <c r="W588">
        <v>-1</v>
      </c>
      <c r="X588">
        <v>-36</v>
      </c>
      <c r="Y588" s="2" t="s">
        <v>503</v>
      </c>
      <c r="Z588">
        <v>45.161174593903397</v>
      </c>
      <c r="AA588">
        <v>9.1316349018458904</v>
      </c>
      <c r="AB588" t="s">
        <v>78</v>
      </c>
      <c r="AC588" t="s">
        <v>81</v>
      </c>
      <c r="AD588" t="s">
        <v>82</v>
      </c>
      <c r="AE588">
        <v>50624</v>
      </c>
      <c r="AF588">
        <v>17953</v>
      </c>
      <c r="AG588">
        <v>0</v>
      </c>
      <c r="AH588">
        <v>16223</v>
      </c>
      <c r="AI588">
        <v>6121</v>
      </c>
      <c r="AJ588">
        <v>10327</v>
      </c>
      <c r="AK588">
        <v>0</v>
      </c>
      <c r="AL588">
        <v>3621</v>
      </c>
      <c r="AM588">
        <v>8949</v>
      </c>
      <c r="AN588">
        <v>68261</v>
      </c>
      <c r="AO588">
        <v>118625</v>
      </c>
      <c r="AP588">
        <v>0</v>
      </c>
      <c r="AQ588">
        <v>0</v>
      </c>
      <c r="AR588">
        <v>6</v>
      </c>
      <c r="AS588">
        <v>7</v>
      </c>
      <c r="AT588">
        <v>2</v>
      </c>
      <c r="AU588">
        <v>34</v>
      </c>
      <c r="AV588">
        <v>2</v>
      </c>
      <c r="AW588">
        <v>0</v>
      </c>
      <c r="AX588">
        <v>3</v>
      </c>
      <c r="AY588">
        <v>0</v>
      </c>
      <c r="AZ588">
        <v>1</v>
      </c>
      <c r="BA588">
        <v>14</v>
      </c>
      <c r="BB588">
        <v>24</v>
      </c>
      <c r="BC588">
        <v>9</v>
      </c>
      <c r="BD588">
        <v>2</v>
      </c>
      <c r="BE588">
        <v>0</v>
      </c>
      <c r="BF588">
        <v>4</v>
      </c>
      <c r="BG588">
        <v>0</v>
      </c>
      <c r="BH588">
        <v>6</v>
      </c>
      <c r="BI588">
        <v>0</v>
      </c>
      <c r="BJ588">
        <v>45.160783199999997</v>
      </c>
      <c r="BK588">
        <v>9.1322530999999998</v>
      </c>
      <c r="BL588">
        <v>100</v>
      </c>
      <c r="BM588" t="s">
        <v>83</v>
      </c>
      <c r="BN588" t="s">
        <v>84</v>
      </c>
      <c r="BO588" t="s">
        <v>85</v>
      </c>
      <c r="BP588" t="s">
        <v>107</v>
      </c>
      <c r="BQ588" t="s">
        <v>108</v>
      </c>
      <c r="BR588" t="s">
        <v>501</v>
      </c>
      <c r="BS588">
        <v>1012573</v>
      </c>
      <c r="BT588">
        <v>359065</v>
      </c>
      <c r="BU588">
        <v>0</v>
      </c>
      <c r="BV588">
        <v>324488</v>
      </c>
      <c r="BW588">
        <v>122439</v>
      </c>
      <c r="BX588">
        <v>206581</v>
      </c>
      <c r="BY588">
        <v>0</v>
      </c>
      <c r="BZ588">
        <v>1</v>
      </c>
      <c r="CA588" t="s">
        <v>504</v>
      </c>
      <c r="CB588" t="s">
        <v>505</v>
      </c>
      <c r="CC588" s="3">
        <v>46092.557106481479</v>
      </c>
      <c r="CD588" t="s">
        <v>91</v>
      </c>
    </row>
    <row r="589" spans="1:82" ht="16" x14ac:dyDescent="0.2">
      <c r="A589" t="s">
        <v>1241</v>
      </c>
      <c r="B589" t="s">
        <v>412</v>
      </c>
      <c r="C589" t="s">
        <v>413</v>
      </c>
      <c r="D589" t="s">
        <v>78</v>
      </c>
      <c r="E589" t="s">
        <v>414</v>
      </c>
      <c r="F589">
        <v>2</v>
      </c>
      <c r="G589">
        <v>50</v>
      </c>
      <c r="H589" t="str">
        <f t="shared" si="64"/>
        <v>2x50</v>
      </c>
      <c r="I589">
        <v>56</v>
      </c>
      <c r="J589" s="4">
        <f t="shared" si="65"/>
        <v>2.9166666666666664E-2</v>
      </c>
      <c r="K589">
        <v>84</v>
      </c>
      <c r="L589" s="4">
        <f t="shared" si="66"/>
        <v>4.3750000000000004E-2</v>
      </c>
      <c r="M589">
        <v>128</v>
      </c>
      <c r="N589" s="4">
        <f t="shared" si="67"/>
        <v>6.6666666666666666E-2</v>
      </c>
      <c r="O589">
        <v>255</v>
      </c>
      <c r="P589" s="4">
        <f t="shared" si="68"/>
        <v>0.1328125</v>
      </c>
      <c r="Q589" s="6" t="str">
        <f t="shared" si="63"/>
        <v>later</v>
      </c>
      <c r="R589" s="6">
        <f t="shared" si="69"/>
        <v>666</v>
      </c>
      <c r="S589">
        <v>77</v>
      </c>
      <c r="T589">
        <v>10</v>
      </c>
      <c r="U589">
        <v>-9</v>
      </c>
      <c r="V589">
        <v>-3</v>
      </c>
      <c r="W589">
        <v>3</v>
      </c>
      <c r="X589">
        <v>-41</v>
      </c>
      <c r="Y589" s="2" t="s">
        <v>415</v>
      </c>
      <c r="Z589">
        <v>40.900849999999998</v>
      </c>
      <c r="AA589">
        <v>14.040596000000001</v>
      </c>
      <c r="AB589" t="s">
        <v>78</v>
      </c>
      <c r="AC589" t="s">
        <v>81</v>
      </c>
      <c r="AD589" t="s">
        <v>82</v>
      </c>
      <c r="AE589">
        <v>19160</v>
      </c>
      <c r="AF589">
        <v>0</v>
      </c>
      <c r="AG589">
        <v>0</v>
      </c>
      <c r="AH589">
        <v>0</v>
      </c>
      <c r="AI589">
        <v>12088</v>
      </c>
      <c r="AJ589">
        <v>5580</v>
      </c>
      <c r="AK589">
        <v>1492</v>
      </c>
      <c r="AL589">
        <v>1799</v>
      </c>
      <c r="AM589">
        <v>8336</v>
      </c>
      <c r="AN589">
        <v>42529</v>
      </c>
      <c r="AO589">
        <v>187729</v>
      </c>
      <c r="AP589">
        <v>3</v>
      </c>
      <c r="AQ589">
        <v>0</v>
      </c>
      <c r="AR589">
        <v>3</v>
      </c>
      <c r="AS589">
        <v>12</v>
      </c>
      <c r="AT589">
        <v>2</v>
      </c>
      <c r="AU589">
        <v>21</v>
      </c>
      <c r="AV589">
        <v>0</v>
      </c>
      <c r="AW589">
        <v>0</v>
      </c>
      <c r="AX589">
        <v>5</v>
      </c>
      <c r="AY589">
        <v>0</v>
      </c>
      <c r="AZ589">
        <v>1</v>
      </c>
      <c r="BA589">
        <v>0</v>
      </c>
      <c r="BB589">
        <v>0</v>
      </c>
      <c r="BC589">
        <v>0</v>
      </c>
      <c r="BD589">
        <v>2</v>
      </c>
      <c r="BE589">
        <v>0</v>
      </c>
      <c r="BF589">
        <v>2</v>
      </c>
      <c r="BG589">
        <v>0</v>
      </c>
      <c r="BH589">
        <v>2</v>
      </c>
      <c r="BI589">
        <v>0</v>
      </c>
      <c r="BJ589">
        <v>40.900739999999999</v>
      </c>
      <c r="BK589">
        <v>14.040509999999999</v>
      </c>
      <c r="BL589">
        <v>100</v>
      </c>
      <c r="BM589" t="s">
        <v>83</v>
      </c>
      <c r="BN589" t="s">
        <v>84</v>
      </c>
      <c r="BO589" t="s">
        <v>85</v>
      </c>
      <c r="BP589" t="s">
        <v>97</v>
      </c>
      <c r="BQ589" t="s">
        <v>98</v>
      </c>
      <c r="BR589" t="s">
        <v>99</v>
      </c>
      <c r="BS589">
        <v>383320</v>
      </c>
      <c r="BT589">
        <v>0</v>
      </c>
      <c r="BU589">
        <v>0</v>
      </c>
      <c r="BV589">
        <v>0</v>
      </c>
      <c r="BW589">
        <v>241817</v>
      </c>
      <c r="BX589">
        <v>111626</v>
      </c>
      <c r="BY589">
        <v>29877</v>
      </c>
      <c r="BZ589">
        <v>1</v>
      </c>
      <c r="CA589" t="s">
        <v>416</v>
      </c>
      <c r="CB589" t="s">
        <v>417</v>
      </c>
      <c r="CC589" s="3">
        <v>46092.557106481479</v>
      </c>
      <c r="CD589" t="s">
        <v>91</v>
      </c>
    </row>
    <row r="590" spans="1:82" ht="16" x14ac:dyDescent="0.2">
      <c r="A590" t="s">
        <v>1242</v>
      </c>
      <c r="B590" t="s">
        <v>638</v>
      </c>
      <c r="C590" t="s">
        <v>639</v>
      </c>
      <c r="D590" t="s">
        <v>78</v>
      </c>
      <c r="E590" t="s">
        <v>640</v>
      </c>
      <c r="F590">
        <v>2</v>
      </c>
      <c r="G590">
        <v>50</v>
      </c>
      <c r="H590" t="str">
        <f t="shared" si="64"/>
        <v>2x50</v>
      </c>
      <c r="I590">
        <v>55</v>
      </c>
      <c r="J590" s="4">
        <f t="shared" si="65"/>
        <v>2.8645833333333332E-2</v>
      </c>
      <c r="K590">
        <v>83</v>
      </c>
      <c r="L590" s="4">
        <f t="shared" si="66"/>
        <v>4.3229166666666673E-2</v>
      </c>
      <c r="M590">
        <v>126</v>
      </c>
      <c r="N590" s="4">
        <f t="shared" si="67"/>
        <v>6.5625000000000003E-2</v>
      </c>
      <c r="O590">
        <v>251</v>
      </c>
      <c r="P590" s="4">
        <f t="shared" si="68"/>
        <v>0.13072916666666667</v>
      </c>
      <c r="Q590" s="6" t="str">
        <f t="shared" si="63"/>
        <v>later</v>
      </c>
      <c r="R590" s="6">
        <f t="shared" si="69"/>
        <v>666</v>
      </c>
      <c r="S590">
        <v>77</v>
      </c>
      <c r="T590">
        <v>-17</v>
      </c>
      <c r="U590">
        <v>6</v>
      </c>
      <c r="V590">
        <v>11</v>
      </c>
      <c r="W590">
        <v>-2</v>
      </c>
      <c r="X590">
        <v>-33</v>
      </c>
      <c r="Y590" s="2" t="s">
        <v>641</v>
      </c>
      <c r="Z590">
        <v>41.446401199999997</v>
      </c>
      <c r="AA590">
        <v>15.538045</v>
      </c>
      <c r="AB590" t="s">
        <v>78</v>
      </c>
      <c r="AC590" t="s">
        <v>81</v>
      </c>
      <c r="AD590" t="s">
        <v>82</v>
      </c>
      <c r="AE590">
        <v>17376</v>
      </c>
      <c r="AF590">
        <v>0</v>
      </c>
      <c r="AG590">
        <v>0</v>
      </c>
      <c r="AH590">
        <v>0</v>
      </c>
      <c r="AI590">
        <v>6799</v>
      </c>
      <c r="AJ590">
        <v>10577</v>
      </c>
      <c r="AK590">
        <v>0</v>
      </c>
      <c r="AL590">
        <v>14311</v>
      </c>
      <c r="AM590">
        <v>75420</v>
      </c>
      <c r="AN590">
        <v>145776</v>
      </c>
      <c r="AO590">
        <v>149112</v>
      </c>
      <c r="AP590">
        <v>0</v>
      </c>
      <c r="AQ590">
        <v>0</v>
      </c>
      <c r="AR590">
        <v>6</v>
      </c>
      <c r="AS590">
        <v>0</v>
      </c>
      <c r="AT590">
        <v>0</v>
      </c>
      <c r="AU590">
        <v>3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4</v>
      </c>
      <c r="BC590">
        <v>0</v>
      </c>
      <c r="BD590">
        <v>2</v>
      </c>
      <c r="BE590">
        <v>0</v>
      </c>
      <c r="BF590">
        <v>4</v>
      </c>
      <c r="BG590">
        <v>0</v>
      </c>
      <c r="BH590">
        <v>12</v>
      </c>
      <c r="BI590">
        <v>0</v>
      </c>
      <c r="BJ590">
        <v>41.446402499999998</v>
      </c>
      <c r="BK590">
        <v>15.5380465</v>
      </c>
      <c r="BL590">
        <v>100</v>
      </c>
      <c r="BM590" t="s">
        <v>83</v>
      </c>
      <c r="BN590" t="s">
        <v>84</v>
      </c>
      <c r="BO590" t="s">
        <v>85</v>
      </c>
      <c r="BP590" t="s">
        <v>97</v>
      </c>
      <c r="BQ590" t="s">
        <v>187</v>
      </c>
      <c r="BR590" t="s">
        <v>639</v>
      </c>
      <c r="BS590">
        <v>221510</v>
      </c>
      <c r="BT590">
        <v>0</v>
      </c>
      <c r="BU590">
        <v>0</v>
      </c>
      <c r="BV590">
        <v>0</v>
      </c>
      <c r="BW590">
        <v>84144</v>
      </c>
      <c r="BX590">
        <v>137366</v>
      </c>
      <c r="BY590">
        <v>0</v>
      </c>
      <c r="BZ590">
        <v>1</v>
      </c>
      <c r="CA590" t="s">
        <v>642</v>
      </c>
      <c r="CB590" t="s">
        <v>643</v>
      </c>
      <c r="CC590" s="3">
        <v>46092.557106481479</v>
      </c>
      <c r="CD590" t="s">
        <v>91</v>
      </c>
    </row>
    <row r="591" spans="1:82" ht="16" x14ac:dyDescent="0.2">
      <c r="A591" t="s">
        <v>1243</v>
      </c>
      <c r="B591" t="s">
        <v>732</v>
      </c>
      <c r="C591" t="s">
        <v>733</v>
      </c>
      <c r="D591" t="s">
        <v>78</v>
      </c>
      <c r="E591" t="s">
        <v>734</v>
      </c>
      <c r="F591">
        <v>2</v>
      </c>
      <c r="G591">
        <v>50</v>
      </c>
      <c r="H591" t="str">
        <f t="shared" si="64"/>
        <v>2x50</v>
      </c>
      <c r="I591">
        <v>55</v>
      </c>
      <c r="J591" s="4">
        <f t="shared" si="65"/>
        <v>2.8645833333333332E-2</v>
      </c>
      <c r="K591">
        <v>82</v>
      </c>
      <c r="L591" s="4">
        <f t="shared" si="66"/>
        <v>4.2708333333333327E-2</v>
      </c>
      <c r="M591">
        <v>125</v>
      </c>
      <c r="N591" s="4">
        <f t="shared" si="67"/>
        <v>6.5104166666666671E-2</v>
      </c>
      <c r="O591">
        <v>250</v>
      </c>
      <c r="P591" s="4">
        <f t="shared" si="68"/>
        <v>0.13020833333333334</v>
      </c>
      <c r="Q591" s="6" t="str">
        <f t="shared" si="63"/>
        <v>later</v>
      </c>
      <c r="R591" s="6">
        <f t="shared" si="69"/>
        <v>666</v>
      </c>
      <c r="S591">
        <v>77</v>
      </c>
      <c r="T591">
        <v>10</v>
      </c>
      <c r="U591">
        <v>-12</v>
      </c>
      <c r="V591">
        <v>2</v>
      </c>
      <c r="W591">
        <v>-5</v>
      </c>
      <c r="X591">
        <v>-29</v>
      </c>
      <c r="Y591" s="2" t="s">
        <v>735</v>
      </c>
      <c r="Z591">
        <v>42.43282</v>
      </c>
      <c r="AA591">
        <v>12.09629</v>
      </c>
      <c r="AB591" t="s">
        <v>78</v>
      </c>
      <c r="AC591" t="s">
        <v>81</v>
      </c>
      <c r="AD591" t="s">
        <v>82</v>
      </c>
      <c r="AE591">
        <v>48619</v>
      </c>
      <c r="AF591">
        <v>0</v>
      </c>
      <c r="AG591">
        <v>16202</v>
      </c>
      <c r="AH591">
        <v>20710</v>
      </c>
      <c r="AI591">
        <v>7144</v>
      </c>
      <c r="AJ591">
        <v>4563</v>
      </c>
      <c r="AK591">
        <v>0</v>
      </c>
      <c r="AL591">
        <v>5781</v>
      </c>
      <c r="AM591">
        <v>25498</v>
      </c>
      <c r="AN591">
        <v>55078</v>
      </c>
      <c r="AO591">
        <v>68984</v>
      </c>
      <c r="AP591">
        <v>0</v>
      </c>
      <c r="AQ591">
        <v>0</v>
      </c>
      <c r="AR591">
        <v>7</v>
      </c>
      <c r="AS591">
        <v>14</v>
      </c>
      <c r="AT591">
        <v>2</v>
      </c>
      <c r="AU591">
        <v>26</v>
      </c>
      <c r="AV591">
        <v>1</v>
      </c>
      <c r="AW591">
        <v>0</v>
      </c>
      <c r="AX591">
        <v>1</v>
      </c>
      <c r="AY591">
        <v>1</v>
      </c>
      <c r="AZ591">
        <v>2</v>
      </c>
      <c r="BA591">
        <v>28</v>
      </c>
      <c r="BB591">
        <v>57</v>
      </c>
      <c r="BC591">
        <v>6</v>
      </c>
      <c r="BD591">
        <v>6</v>
      </c>
      <c r="BE591">
        <v>0</v>
      </c>
      <c r="BF591">
        <v>14</v>
      </c>
      <c r="BG591">
        <v>0</v>
      </c>
      <c r="BH591">
        <v>14</v>
      </c>
      <c r="BI591">
        <v>0</v>
      </c>
      <c r="BJ591">
        <v>42.432845200000003</v>
      </c>
      <c r="BK591">
        <v>12.0963504</v>
      </c>
      <c r="BL591">
        <v>100</v>
      </c>
      <c r="BM591" t="s">
        <v>83</v>
      </c>
      <c r="BN591" t="s">
        <v>84</v>
      </c>
      <c r="BO591" t="s">
        <v>85</v>
      </c>
      <c r="BP591" t="s">
        <v>86</v>
      </c>
      <c r="BQ591" t="s">
        <v>87</v>
      </c>
      <c r="BR591" t="s">
        <v>733</v>
      </c>
      <c r="BS591">
        <v>972474</v>
      </c>
      <c r="BT591">
        <v>0</v>
      </c>
      <c r="BU591">
        <v>324062</v>
      </c>
      <c r="BV591">
        <v>414225</v>
      </c>
      <c r="BW591">
        <v>142909</v>
      </c>
      <c r="BX591">
        <v>91278</v>
      </c>
      <c r="BY591">
        <v>0</v>
      </c>
      <c r="BZ591">
        <v>1</v>
      </c>
      <c r="CA591" t="s">
        <v>736</v>
      </c>
      <c r="CB591" t="s">
        <v>737</v>
      </c>
      <c r="CC591" s="3">
        <v>46092.557106481479</v>
      </c>
      <c r="CD591" t="s">
        <v>91</v>
      </c>
    </row>
    <row r="592" spans="1:82" ht="16" x14ac:dyDescent="0.2">
      <c r="A592" t="s">
        <v>1244</v>
      </c>
      <c r="B592" t="s">
        <v>645</v>
      </c>
      <c r="C592" t="s">
        <v>646</v>
      </c>
      <c r="D592" t="s">
        <v>78</v>
      </c>
      <c r="E592" t="s">
        <v>647</v>
      </c>
      <c r="F592">
        <v>2</v>
      </c>
      <c r="G592">
        <v>50</v>
      </c>
      <c r="H592" t="str">
        <f t="shared" si="64"/>
        <v>2x50</v>
      </c>
      <c r="I592">
        <v>54</v>
      </c>
      <c r="J592" s="4">
        <f t="shared" si="65"/>
        <v>2.8125000000000001E-2</v>
      </c>
      <c r="K592">
        <v>82</v>
      </c>
      <c r="L592" s="4">
        <f t="shared" si="66"/>
        <v>4.2708333333333327E-2</v>
      </c>
      <c r="M592">
        <v>124</v>
      </c>
      <c r="N592" s="4">
        <f t="shared" si="67"/>
        <v>6.458333333333334E-2</v>
      </c>
      <c r="O592">
        <v>248</v>
      </c>
      <c r="P592" s="4">
        <f t="shared" si="68"/>
        <v>0.12916666666666668</v>
      </c>
      <c r="Q592" s="6" t="str">
        <f t="shared" si="63"/>
        <v>later</v>
      </c>
      <c r="R592" s="6">
        <f t="shared" si="69"/>
        <v>666</v>
      </c>
      <c r="S592">
        <v>77</v>
      </c>
      <c r="T592">
        <v>12</v>
      </c>
      <c r="U592">
        <v>-8</v>
      </c>
      <c r="V592">
        <v>-10</v>
      </c>
      <c r="W592">
        <v>1</v>
      </c>
      <c r="X592">
        <v>-32</v>
      </c>
      <c r="Y592" s="2" t="s">
        <v>648</v>
      </c>
      <c r="Z592">
        <v>45.185358361245001</v>
      </c>
      <c r="AA592">
        <v>11.260499013665299</v>
      </c>
      <c r="AB592" t="s">
        <v>78</v>
      </c>
      <c r="AC592" t="s">
        <v>81</v>
      </c>
      <c r="AD592" t="s">
        <v>82</v>
      </c>
      <c r="AE592">
        <v>50531</v>
      </c>
      <c r="AF592">
        <v>0</v>
      </c>
      <c r="AG592">
        <v>11713</v>
      </c>
      <c r="AH592">
        <v>28623</v>
      </c>
      <c r="AI592">
        <v>3775</v>
      </c>
      <c r="AJ592">
        <v>6111</v>
      </c>
      <c r="AK592">
        <v>309</v>
      </c>
      <c r="AL592">
        <v>704</v>
      </c>
      <c r="AM592">
        <v>4088</v>
      </c>
      <c r="AN592">
        <v>36380</v>
      </c>
      <c r="AO592">
        <v>71073</v>
      </c>
      <c r="AP592">
        <v>0</v>
      </c>
      <c r="AQ592">
        <v>0</v>
      </c>
      <c r="AR592">
        <v>5</v>
      </c>
      <c r="AS592">
        <v>4</v>
      </c>
      <c r="AT592">
        <v>3</v>
      </c>
      <c r="AU592">
        <v>28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18</v>
      </c>
      <c r="BB592">
        <v>21</v>
      </c>
      <c r="BC592">
        <v>9</v>
      </c>
      <c r="BD592">
        <v>0</v>
      </c>
      <c r="BE592">
        <v>0</v>
      </c>
      <c r="BF592">
        <v>0</v>
      </c>
      <c r="BG592">
        <v>0</v>
      </c>
      <c r="BH592">
        <v>2</v>
      </c>
      <c r="BI592">
        <v>0</v>
      </c>
      <c r="BJ592">
        <v>45.1854899</v>
      </c>
      <c r="BK592">
        <v>11.260399899999999</v>
      </c>
      <c r="BL592">
        <v>100</v>
      </c>
      <c r="BM592" t="s">
        <v>83</v>
      </c>
      <c r="BN592" t="s">
        <v>84</v>
      </c>
      <c r="BO592" t="s">
        <v>85</v>
      </c>
      <c r="BP592" t="s">
        <v>160</v>
      </c>
      <c r="BQ592" t="s">
        <v>161</v>
      </c>
      <c r="BR592" t="s">
        <v>162</v>
      </c>
      <c r="BS592">
        <v>1010713</v>
      </c>
      <c r="BT592">
        <v>0</v>
      </c>
      <c r="BU592">
        <v>234273</v>
      </c>
      <c r="BV592">
        <v>572489</v>
      </c>
      <c r="BW592">
        <v>75500</v>
      </c>
      <c r="BX592">
        <v>122261</v>
      </c>
      <c r="BY592">
        <v>6190</v>
      </c>
      <c r="BZ592">
        <v>1</v>
      </c>
      <c r="CA592" t="s">
        <v>649</v>
      </c>
      <c r="CB592" t="s">
        <v>650</v>
      </c>
      <c r="CC592" s="3">
        <v>46092.557106481479</v>
      </c>
      <c r="CD592" t="s">
        <v>91</v>
      </c>
    </row>
    <row r="593" spans="1:82" ht="16" x14ac:dyDescent="0.2">
      <c r="A593" t="s">
        <v>1245</v>
      </c>
      <c r="B593" t="s">
        <v>689</v>
      </c>
      <c r="C593" t="s">
        <v>690</v>
      </c>
      <c r="D593" t="s">
        <v>78</v>
      </c>
      <c r="E593" t="s">
        <v>691</v>
      </c>
      <c r="F593">
        <v>2</v>
      </c>
      <c r="G593">
        <v>50</v>
      </c>
      <c r="H593" t="str">
        <f t="shared" si="64"/>
        <v>2x50</v>
      </c>
      <c r="I593">
        <v>54</v>
      </c>
      <c r="J593" s="4">
        <f t="shared" si="65"/>
        <v>2.8125000000000001E-2</v>
      </c>
      <c r="K593">
        <v>81</v>
      </c>
      <c r="L593" s="4">
        <f t="shared" si="66"/>
        <v>4.2187499999999996E-2</v>
      </c>
      <c r="M593">
        <v>124</v>
      </c>
      <c r="N593" s="4">
        <f t="shared" si="67"/>
        <v>6.458333333333334E-2</v>
      </c>
      <c r="O593">
        <v>247</v>
      </c>
      <c r="P593" s="4">
        <f t="shared" si="68"/>
        <v>0.12864583333333332</v>
      </c>
      <c r="Q593" s="6" t="str">
        <f t="shared" si="63"/>
        <v>later</v>
      </c>
      <c r="R593" s="6">
        <f t="shared" si="69"/>
        <v>666</v>
      </c>
      <c r="S593">
        <v>77</v>
      </c>
      <c r="T593">
        <v>-9</v>
      </c>
      <c r="U593">
        <v>2</v>
      </c>
      <c r="V593">
        <v>1</v>
      </c>
      <c r="W593">
        <v>-1</v>
      </c>
      <c r="X593">
        <v>-32</v>
      </c>
      <c r="Y593" s="2" t="s">
        <v>692</v>
      </c>
      <c r="Z593">
        <v>45.656489999999998</v>
      </c>
      <c r="AA593">
        <v>8.9792100000000001</v>
      </c>
      <c r="AB593" t="s">
        <v>78</v>
      </c>
      <c r="AC593" t="s">
        <v>81</v>
      </c>
      <c r="AD593" t="s">
        <v>82</v>
      </c>
      <c r="AE593">
        <v>30923</v>
      </c>
      <c r="AF593">
        <v>0</v>
      </c>
      <c r="AG593">
        <v>0</v>
      </c>
      <c r="AH593">
        <v>15919</v>
      </c>
      <c r="AI593">
        <v>0</v>
      </c>
      <c r="AJ593">
        <v>12249</v>
      </c>
      <c r="AK593">
        <v>2755</v>
      </c>
      <c r="AL593">
        <v>5823</v>
      </c>
      <c r="AM593">
        <v>17463</v>
      </c>
      <c r="AN593">
        <v>78680</v>
      </c>
      <c r="AO593">
        <v>437875</v>
      </c>
      <c r="AP593">
        <v>3</v>
      </c>
      <c r="AQ593">
        <v>0</v>
      </c>
      <c r="AR593">
        <v>3</v>
      </c>
      <c r="AS593">
        <v>5</v>
      </c>
      <c r="AT593">
        <v>0</v>
      </c>
      <c r="AU593">
        <v>20</v>
      </c>
      <c r="AV593">
        <v>17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8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45.656741199999999</v>
      </c>
      <c r="BK593">
        <v>8.9791789000000009</v>
      </c>
      <c r="BL593">
        <v>100</v>
      </c>
      <c r="BM593" t="s">
        <v>83</v>
      </c>
      <c r="BN593" t="s">
        <v>84</v>
      </c>
      <c r="BO593" t="s">
        <v>85</v>
      </c>
      <c r="BP593" t="s">
        <v>107</v>
      </c>
      <c r="BQ593" t="s">
        <v>108</v>
      </c>
      <c r="BR593" t="s">
        <v>305</v>
      </c>
      <c r="BS593">
        <v>618624</v>
      </c>
      <c r="BT593">
        <v>0</v>
      </c>
      <c r="BU593">
        <v>0</v>
      </c>
      <c r="BV593">
        <v>318384</v>
      </c>
      <c r="BW593">
        <v>0</v>
      </c>
      <c r="BX593">
        <v>245107</v>
      </c>
      <c r="BY593">
        <v>55133</v>
      </c>
      <c r="BZ593">
        <v>1</v>
      </c>
      <c r="CA593" t="s">
        <v>693</v>
      </c>
      <c r="CB593" t="s">
        <v>694</v>
      </c>
      <c r="CC593" s="3">
        <v>46092.557106481479</v>
      </c>
      <c r="CD593" t="s">
        <v>91</v>
      </c>
    </row>
    <row r="594" spans="1:82" ht="16" x14ac:dyDescent="0.2">
      <c r="A594" t="s">
        <v>1246</v>
      </c>
      <c r="B594" t="s">
        <v>427</v>
      </c>
      <c r="C594" t="s">
        <v>428</v>
      </c>
      <c r="D594" t="s">
        <v>78</v>
      </c>
      <c r="E594" t="s">
        <v>429</v>
      </c>
      <c r="F594">
        <v>2</v>
      </c>
      <c r="G594">
        <v>50</v>
      </c>
      <c r="H594" t="str">
        <f t="shared" si="64"/>
        <v>2x50</v>
      </c>
      <c r="I594">
        <v>52</v>
      </c>
      <c r="J594" s="4">
        <f t="shared" si="65"/>
        <v>2.7083333333333334E-2</v>
      </c>
      <c r="K594">
        <v>79</v>
      </c>
      <c r="L594" s="4">
        <f t="shared" si="66"/>
        <v>4.1145833333333333E-2</v>
      </c>
      <c r="M594">
        <v>120</v>
      </c>
      <c r="N594" s="4">
        <f t="shared" si="67"/>
        <v>6.25E-2</v>
      </c>
      <c r="O594">
        <v>239</v>
      </c>
      <c r="P594" s="4">
        <f t="shared" si="68"/>
        <v>0.12447916666666665</v>
      </c>
      <c r="Q594" s="6" t="str">
        <f t="shared" si="63"/>
        <v>later</v>
      </c>
      <c r="R594" s="6">
        <f t="shared" si="69"/>
        <v>666</v>
      </c>
      <c r="S594">
        <v>77</v>
      </c>
      <c r="T594">
        <v>27</v>
      </c>
      <c r="U594">
        <v>-10</v>
      </c>
      <c r="V594">
        <v>-17</v>
      </c>
      <c r="W594">
        <v>0</v>
      </c>
      <c r="X594">
        <v>-44</v>
      </c>
      <c r="Y594" s="2" t="s">
        <v>430</v>
      </c>
      <c r="Z594">
        <v>45.648725403241002</v>
      </c>
      <c r="AA594">
        <v>12.311449886505301</v>
      </c>
      <c r="AB594" t="s">
        <v>78</v>
      </c>
      <c r="AC594" t="s">
        <v>81</v>
      </c>
      <c r="AD594" t="s">
        <v>82</v>
      </c>
      <c r="AE594">
        <v>103576</v>
      </c>
      <c r="AF594">
        <v>57988</v>
      </c>
      <c r="AG594">
        <v>0</v>
      </c>
      <c r="AH594">
        <v>22600</v>
      </c>
      <c r="AI594">
        <v>19027</v>
      </c>
      <c r="AJ594">
        <v>3961</v>
      </c>
      <c r="AK594">
        <v>0</v>
      </c>
      <c r="AL594">
        <v>1601</v>
      </c>
      <c r="AM594">
        <v>7961</v>
      </c>
      <c r="AN594">
        <v>54450</v>
      </c>
      <c r="AO594">
        <v>211501</v>
      </c>
      <c r="AP594">
        <v>0</v>
      </c>
      <c r="AQ594">
        <v>0</v>
      </c>
      <c r="AR594">
        <v>2</v>
      </c>
      <c r="AS594">
        <v>2</v>
      </c>
      <c r="AT594">
        <v>0</v>
      </c>
      <c r="AU594">
        <v>23</v>
      </c>
      <c r="AV594">
        <v>3</v>
      </c>
      <c r="AW594">
        <v>0</v>
      </c>
      <c r="AX594">
        <v>0</v>
      </c>
      <c r="AY594">
        <v>0</v>
      </c>
      <c r="AZ594">
        <v>0</v>
      </c>
      <c r="BA594">
        <v>5</v>
      </c>
      <c r="BB594">
        <v>11</v>
      </c>
      <c r="BC594">
        <v>3</v>
      </c>
      <c r="BD594">
        <v>4</v>
      </c>
      <c r="BE594">
        <v>0</v>
      </c>
      <c r="BF594">
        <v>4</v>
      </c>
      <c r="BG594">
        <v>0</v>
      </c>
      <c r="BH594">
        <v>4</v>
      </c>
      <c r="BI594">
        <v>0</v>
      </c>
      <c r="BJ594">
        <v>45.648766100000003</v>
      </c>
      <c r="BK594">
        <v>12.3114645</v>
      </c>
      <c r="BL594">
        <v>100</v>
      </c>
      <c r="BM594" t="s">
        <v>83</v>
      </c>
      <c r="BN594" t="s">
        <v>84</v>
      </c>
      <c r="BO594" t="s">
        <v>85</v>
      </c>
      <c r="BP594" t="s">
        <v>160</v>
      </c>
      <c r="BQ594" t="s">
        <v>161</v>
      </c>
      <c r="BR594" t="s">
        <v>428</v>
      </c>
      <c r="BS594">
        <v>2555112</v>
      </c>
      <c r="BT594">
        <v>1507720</v>
      </c>
      <c r="BU594">
        <v>0</v>
      </c>
      <c r="BV594">
        <v>587606</v>
      </c>
      <c r="BW594">
        <v>380550</v>
      </c>
      <c r="BX594">
        <v>79236</v>
      </c>
      <c r="BY594">
        <v>0</v>
      </c>
      <c r="BZ594">
        <v>1</v>
      </c>
      <c r="CA594" t="s">
        <v>431</v>
      </c>
      <c r="CB594" t="s">
        <v>432</v>
      </c>
      <c r="CC594" s="3">
        <v>46092.557106481479</v>
      </c>
      <c r="CD594" t="s">
        <v>91</v>
      </c>
    </row>
    <row r="595" spans="1:82" ht="16" x14ac:dyDescent="0.2">
      <c r="A595" t="s">
        <v>1247</v>
      </c>
      <c r="B595" t="s">
        <v>660</v>
      </c>
      <c r="C595" t="s">
        <v>661</v>
      </c>
      <c r="D595" t="s">
        <v>78</v>
      </c>
      <c r="E595" t="s">
        <v>662</v>
      </c>
      <c r="F595">
        <v>2</v>
      </c>
      <c r="G595">
        <v>50</v>
      </c>
      <c r="H595" t="str">
        <f t="shared" si="64"/>
        <v>2x50</v>
      </c>
      <c r="I595">
        <v>52</v>
      </c>
      <c r="J595" s="4">
        <f t="shared" si="65"/>
        <v>2.7083333333333334E-2</v>
      </c>
      <c r="K595">
        <v>78</v>
      </c>
      <c r="L595" s="4">
        <f t="shared" si="66"/>
        <v>4.0625000000000001E-2</v>
      </c>
      <c r="M595">
        <v>119</v>
      </c>
      <c r="N595" s="4">
        <f t="shared" si="67"/>
        <v>6.1979166666666669E-2</v>
      </c>
      <c r="O595">
        <v>237</v>
      </c>
      <c r="P595" s="4">
        <f t="shared" si="68"/>
        <v>0.12343749999999999</v>
      </c>
      <c r="Q595" s="6" t="str">
        <f t="shared" si="63"/>
        <v>later</v>
      </c>
      <c r="R595" s="6">
        <f t="shared" si="69"/>
        <v>666</v>
      </c>
      <c r="S595">
        <v>77</v>
      </c>
      <c r="T595">
        <v>7</v>
      </c>
      <c r="U595">
        <v>-9</v>
      </c>
      <c r="V595">
        <v>-5</v>
      </c>
      <c r="W595">
        <v>0</v>
      </c>
      <c r="X595">
        <v>-31</v>
      </c>
      <c r="Y595" s="2" t="s">
        <v>663</v>
      </c>
      <c r="Z595">
        <v>41.975872699999996</v>
      </c>
      <c r="AA595">
        <v>12.079630999999999</v>
      </c>
      <c r="AB595" t="s">
        <v>78</v>
      </c>
      <c r="AC595" t="s">
        <v>81</v>
      </c>
      <c r="AD595" t="s">
        <v>82</v>
      </c>
      <c r="AE595">
        <v>64716</v>
      </c>
      <c r="AF595">
        <v>44963</v>
      </c>
      <c r="AG595">
        <v>0</v>
      </c>
      <c r="AH595">
        <v>5905</v>
      </c>
      <c r="AI595">
        <v>0</v>
      </c>
      <c r="AJ595">
        <v>10902</v>
      </c>
      <c r="AK595">
        <v>2946</v>
      </c>
      <c r="AL595">
        <v>1906</v>
      </c>
      <c r="AM595">
        <v>19929</v>
      </c>
      <c r="AN595">
        <v>68266</v>
      </c>
      <c r="AO595">
        <v>81436</v>
      </c>
      <c r="AP595">
        <v>0</v>
      </c>
      <c r="AQ595">
        <v>0</v>
      </c>
      <c r="AR595">
        <v>1</v>
      </c>
      <c r="AS595">
        <v>1</v>
      </c>
      <c r="AT595">
        <v>0</v>
      </c>
      <c r="AU595">
        <v>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3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2</v>
      </c>
      <c r="BI595">
        <v>0</v>
      </c>
      <c r="BJ595">
        <v>41.975678700000003</v>
      </c>
      <c r="BK595">
        <v>12.080140800000001</v>
      </c>
      <c r="BL595">
        <v>100</v>
      </c>
      <c r="BM595" t="s">
        <v>83</v>
      </c>
      <c r="BN595" t="s">
        <v>84</v>
      </c>
      <c r="BO595" t="s">
        <v>85</v>
      </c>
      <c r="BP595" t="s">
        <v>86</v>
      </c>
      <c r="BQ595" t="s">
        <v>87</v>
      </c>
      <c r="BR595" t="s">
        <v>88</v>
      </c>
      <c r="BS595">
        <v>1424058</v>
      </c>
      <c r="BT595">
        <v>1028893</v>
      </c>
      <c r="BU595">
        <v>0</v>
      </c>
      <c r="BV595">
        <v>118115</v>
      </c>
      <c r="BW595">
        <v>0</v>
      </c>
      <c r="BX595">
        <v>218105</v>
      </c>
      <c r="BY595">
        <v>58945</v>
      </c>
      <c r="BZ595">
        <v>1</v>
      </c>
      <c r="CA595" t="s">
        <v>664</v>
      </c>
      <c r="CB595" t="s">
        <v>665</v>
      </c>
      <c r="CC595" s="3">
        <v>46092.557106481479</v>
      </c>
      <c r="CD595" t="s">
        <v>91</v>
      </c>
    </row>
    <row r="596" spans="1:82" ht="16" x14ac:dyDescent="0.2">
      <c r="A596" t="s">
        <v>1248</v>
      </c>
      <c r="B596" t="s">
        <v>800</v>
      </c>
      <c r="C596" t="s">
        <v>801</v>
      </c>
      <c r="D596" t="s">
        <v>78</v>
      </c>
      <c r="E596" t="s">
        <v>802</v>
      </c>
      <c r="F596">
        <v>2</v>
      </c>
      <c r="G596">
        <v>50</v>
      </c>
      <c r="H596" t="str">
        <f t="shared" si="64"/>
        <v>2x50</v>
      </c>
      <c r="I596">
        <v>52</v>
      </c>
      <c r="J596" s="4">
        <f t="shared" si="65"/>
        <v>2.7083333333333334E-2</v>
      </c>
      <c r="K596">
        <v>78</v>
      </c>
      <c r="L596" s="4">
        <f t="shared" si="66"/>
        <v>4.0625000000000001E-2</v>
      </c>
      <c r="M596">
        <v>119</v>
      </c>
      <c r="N596" s="4">
        <f t="shared" si="67"/>
        <v>6.1979166666666669E-2</v>
      </c>
      <c r="O596">
        <v>237</v>
      </c>
      <c r="P596" s="4">
        <f t="shared" si="68"/>
        <v>0.12343749999999999</v>
      </c>
      <c r="Q596" s="6" t="str">
        <f t="shared" si="63"/>
        <v>later</v>
      </c>
      <c r="R596" s="6">
        <f t="shared" si="69"/>
        <v>666</v>
      </c>
      <c r="S596">
        <v>77</v>
      </c>
      <c r="T596">
        <v>-21</v>
      </c>
      <c r="U596">
        <v>-8</v>
      </c>
      <c r="V596">
        <v>17</v>
      </c>
      <c r="W596">
        <v>2</v>
      </c>
      <c r="X596">
        <v>-25</v>
      </c>
      <c r="Y596" s="2" t="s">
        <v>803</v>
      </c>
      <c r="Z596">
        <v>41.118589999999998</v>
      </c>
      <c r="AA596">
        <v>14.758330000000001</v>
      </c>
      <c r="AB596" t="s">
        <v>78</v>
      </c>
      <c r="AC596" t="s">
        <v>81</v>
      </c>
      <c r="AD596" t="s">
        <v>82</v>
      </c>
      <c r="AE596">
        <v>20302</v>
      </c>
      <c r="AF596">
        <v>0</v>
      </c>
      <c r="AG596">
        <v>0</v>
      </c>
      <c r="AH596">
        <v>10969</v>
      </c>
      <c r="AI596">
        <v>1395</v>
      </c>
      <c r="AJ596">
        <v>7938</v>
      </c>
      <c r="AK596">
        <v>0</v>
      </c>
      <c r="AL596">
        <v>3497</v>
      </c>
      <c r="AM596">
        <v>19520</v>
      </c>
      <c r="AN596">
        <v>59709</v>
      </c>
      <c r="AO596">
        <v>95627</v>
      </c>
      <c r="AP596">
        <v>0</v>
      </c>
      <c r="AQ596">
        <v>0</v>
      </c>
      <c r="AR596">
        <v>2</v>
      </c>
      <c r="AS596">
        <v>44</v>
      </c>
      <c r="AT596">
        <v>0</v>
      </c>
      <c r="AU596">
        <v>12</v>
      </c>
      <c r="AV596">
        <v>1</v>
      </c>
      <c r="AW596">
        <v>0</v>
      </c>
      <c r="AX596">
        <v>0</v>
      </c>
      <c r="AY596">
        <v>0</v>
      </c>
      <c r="AZ596">
        <v>1</v>
      </c>
      <c r="BA596">
        <v>2</v>
      </c>
      <c r="BB596">
        <v>7</v>
      </c>
      <c r="BC596">
        <v>2</v>
      </c>
      <c r="BD596">
        <v>0</v>
      </c>
      <c r="BE596">
        <v>0</v>
      </c>
      <c r="BF596">
        <v>0</v>
      </c>
      <c r="BG596">
        <v>0</v>
      </c>
      <c r="BH596">
        <v>2</v>
      </c>
      <c r="BI596">
        <v>0</v>
      </c>
      <c r="BJ596">
        <v>41.118693299999997</v>
      </c>
      <c r="BK596">
        <v>14.7582954</v>
      </c>
      <c r="BL596">
        <v>100</v>
      </c>
      <c r="BM596" t="s">
        <v>83</v>
      </c>
      <c r="BN596" t="s">
        <v>84</v>
      </c>
      <c r="BO596" t="s">
        <v>85</v>
      </c>
      <c r="BP596" t="s">
        <v>97</v>
      </c>
      <c r="BQ596" t="s">
        <v>98</v>
      </c>
      <c r="BR596" t="s">
        <v>801</v>
      </c>
      <c r="BS596">
        <v>354726</v>
      </c>
      <c r="BT596">
        <v>0</v>
      </c>
      <c r="BU596">
        <v>0</v>
      </c>
      <c r="BV596">
        <v>219401</v>
      </c>
      <c r="BW596">
        <v>27918</v>
      </c>
      <c r="BX596">
        <v>107407</v>
      </c>
      <c r="BY596">
        <v>0</v>
      </c>
      <c r="BZ596">
        <v>1</v>
      </c>
      <c r="CA596" t="s">
        <v>804</v>
      </c>
      <c r="CB596" t="s">
        <v>805</v>
      </c>
      <c r="CC596" s="3">
        <v>46092.557106481479</v>
      </c>
      <c r="CD596" t="s">
        <v>91</v>
      </c>
    </row>
    <row r="597" spans="1:82" ht="16" x14ac:dyDescent="0.2">
      <c r="A597" t="s">
        <v>1249</v>
      </c>
      <c r="B597" t="s">
        <v>859</v>
      </c>
      <c r="C597" t="s">
        <v>860</v>
      </c>
      <c r="D597" t="s">
        <v>78</v>
      </c>
      <c r="E597" t="s">
        <v>861</v>
      </c>
      <c r="F597">
        <v>2</v>
      </c>
      <c r="G597">
        <v>50</v>
      </c>
      <c r="H597" t="str">
        <f t="shared" si="64"/>
        <v>2x50</v>
      </c>
      <c r="I597">
        <v>51</v>
      </c>
      <c r="J597" s="4">
        <f t="shared" si="65"/>
        <v>2.6562499999999999E-2</v>
      </c>
      <c r="K597">
        <v>77</v>
      </c>
      <c r="L597" s="4">
        <f t="shared" si="66"/>
        <v>4.010416666666667E-2</v>
      </c>
      <c r="M597">
        <v>117</v>
      </c>
      <c r="N597" s="4">
        <f t="shared" si="67"/>
        <v>6.0937499999999999E-2</v>
      </c>
      <c r="O597">
        <v>233</v>
      </c>
      <c r="P597" s="4">
        <f t="shared" si="68"/>
        <v>0.12135416666666667</v>
      </c>
      <c r="Q597" s="6" t="str">
        <f t="shared" si="63"/>
        <v>later</v>
      </c>
      <c r="R597" s="6">
        <f t="shared" si="69"/>
        <v>666</v>
      </c>
      <c r="S597">
        <v>77</v>
      </c>
      <c r="T597">
        <v>1</v>
      </c>
      <c r="U597">
        <v>-8</v>
      </c>
      <c r="V597">
        <v>-5</v>
      </c>
      <c r="W597">
        <v>1</v>
      </c>
      <c r="X597">
        <v>-25</v>
      </c>
      <c r="Y597" s="2" t="s">
        <v>862</v>
      </c>
      <c r="Z597">
        <v>41.968359999999997</v>
      </c>
      <c r="AA597">
        <v>12.710850000000001</v>
      </c>
      <c r="AB597" t="s">
        <v>78</v>
      </c>
      <c r="AC597" t="s">
        <v>81</v>
      </c>
      <c r="AD597" t="s">
        <v>82</v>
      </c>
      <c r="AE597">
        <v>30880</v>
      </c>
      <c r="AF597">
        <v>0</v>
      </c>
      <c r="AG597">
        <v>0</v>
      </c>
      <c r="AH597">
        <v>6425</v>
      </c>
      <c r="AI597">
        <v>0</v>
      </c>
      <c r="AJ597">
        <v>24455</v>
      </c>
      <c r="AK597">
        <v>0</v>
      </c>
      <c r="AL597">
        <v>5813</v>
      </c>
      <c r="AM597">
        <v>20412</v>
      </c>
      <c r="AN597">
        <v>83970</v>
      </c>
      <c r="AO597">
        <v>287240</v>
      </c>
      <c r="AP597">
        <v>1</v>
      </c>
      <c r="AQ597">
        <v>0</v>
      </c>
      <c r="AR597">
        <v>1</v>
      </c>
      <c r="AS597">
        <v>0</v>
      </c>
      <c r="AT597">
        <v>0</v>
      </c>
      <c r="AU597">
        <v>10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6</v>
      </c>
      <c r="BB597">
        <v>14</v>
      </c>
      <c r="BC597">
        <v>4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41.968721299999999</v>
      </c>
      <c r="BK597">
        <v>12.7104082</v>
      </c>
      <c r="BL597">
        <v>100</v>
      </c>
      <c r="BM597" t="s">
        <v>83</v>
      </c>
      <c r="BN597" t="s">
        <v>84</v>
      </c>
      <c r="BO597" t="s">
        <v>85</v>
      </c>
      <c r="BP597" t="s">
        <v>86</v>
      </c>
      <c r="BQ597" t="s">
        <v>87</v>
      </c>
      <c r="BR597" t="s">
        <v>88</v>
      </c>
      <c r="BS597">
        <v>617681</v>
      </c>
      <c r="BT597">
        <v>0</v>
      </c>
      <c r="BU597">
        <v>0</v>
      </c>
      <c r="BV597">
        <v>128519</v>
      </c>
      <c r="BW597">
        <v>0</v>
      </c>
      <c r="BX597">
        <v>489162</v>
      </c>
      <c r="BY597">
        <v>0</v>
      </c>
      <c r="BZ597">
        <v>1</v>
      </c>
      <c r="CA597" t="s">
        <v>863</v>
      </c>
      <c r="CB597" t="s">
        <v>864</v>
      </c>
      <c r="CC597" s="3">
        <v>46092.557106481479</v>
      </c>
      <c r="CD597" t="s">
        <v>91</v>
      </c>
    </row>
    <row r="598" spans="1:82" ht="16" x14ac:dyDescent="0.2">
      <c r="A598" t="s">
        <v>1250</v>
      </c>
      <c r="B598" t="s">
        <v>703</v>
      </c>
      <c r="C598" t="s">
        <v>704</v>
      </c>
      <c r="D598" t="s">
        <v>78</v>
      </c>
      <c r="E598" t="s">
        <v>705</v>
      </c>
      <c r="F598">
        <v>2</v>
      </c>
      <c r="G598">
        <v>50</v>
      </c>
      <c r="H598" t="str">
        <f t="shared" si="64"/>
        <v>2x50</v>
      </c>
      <c r="I598">
        <v>51</v>
      </c>
      <c r="J598" s="4">
        <f t="shared" si="65"/>
        <v>2.6562499999999999E-2</v>
      </c>
      <c r="K598">
        <v>77</v>
      </c>
      <c r="L598" s="4">
        <f t="shared" si="66"/>
        <v>4.010416666666667E-2</v>
      </c>
      <c r="M598">
        <v>117</v>
      </c>
      <c r="N598" s="4">
        <f t="shared" si="67"/>
        <v>6.0937499999999999E-2</v>
      </c>
      <c r="O598">
        <v>233</v>
      </c>
      <c r="P598" s="4">
        <f t="shared" si="68"/>
        <v>0.12135416666666667</v>
      </c>
      <c r="Q598" s="6" t="str">
        <f t="shared" si="63"/>
        <v>later</v>
      </c>
      <c r="R598" s="6">
        <f t="shared" si="69"/>
        <v>666</v>
      </c>
      <c r="S598">
        <v>77</v>
      </c>
      <c r="T598">
        <v>-6</v>
      </c>
      <c r="U598">
        <v>-8</v>
      </c>
      <c r="V598">
        <v>3</v>
      </c>
      <c r="W598">
        <v>1</v>
      </c>
      <c r="X598">
        <v>-29</v>
      </c>
      <c r="Y598" s="2" t="s">
        <v>706</v>
      </c>
      <c r="Z598">
        <v>42.051982428722503</v>
      </c>
      <c r="AA598">
        <v>11.820677321688899</v>
      </c>
      <c r="AB598" t="s">
        <v>78</v>
      </c>
      <c r="AC598" t="s">
        <v>81</v>
      </c>
      <c r="AD598" t="s">
        <v>82</v>
      </c>
      <c r="AE598">
        <v>38062</v>
      </c>
      <c r="AF598">
        <v>15356</v>
      </c>
      <c r="AG598">
        <v>0</v>
      </c>
      <c r="AH598">
        <v>22706</v>
      </c>
      <c r="AI598">
        <v>0</v>
      </c>
      <c r="AJ598">
        <v>0</v>
      </c>
      <c r="AK598">
        <v>0</v>
      </c>
      <c r="AL598">
        <v>770</v>
      </c>
      <c r="AM598">
        <v>3811</v>
      </c>
      <c r="AN598">
        <v>44080</v>
      </c>
      <c r="AO598">
        <v>69105</v>
      </c>
      <c r="AP598">
        <v>0</v>
      </c>
      <c r="AQ598">
        <v>1</v>
      </c>
      <c r="AR598">
        <v>3</v>
      </c>
      <c r="AS598">
        <v>8</v>
      </c>
      <c r="AT598">
        <v>2</v>
      </c>
      <c r="AU598">
        <v>5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42.0520122</v>
      </c>
      <c r="BK598">
        <v>11.820933800000001</v>
      </c>
      <c r="BL598">
        <v>100</v>
      </c>
      <c r="BM598" t="s">
        <v>83</v>
      </c>
      <c r="BN598" t="s">
        <v>84</v>
      </c>
      <c r="BO598" t="s">
        <v>85</v>
      </c>
      <c r="BP598" t="s">
        <v>86</v>
      </c>
      <c r="BQ598" t="s">
        <v>87</v>
      </c>
      <c r="BR598" t="s">
        <v>88</v>
      </c>
      <c r="BS598">
        <v>761249</v>
      </c>
      <c r="BT598">
        <v>307120</v>
      </c>
      <c r="BU598">
        <v>0</v>
      </c>
      <c r="BV598">
        <v>454129</v>
      </c>
      <c r="BW598">
        <v>0</v>
      </c>
      <c r="BX598">
        <v>0</v>
      </c>
      <c r="BY598">
        <v>0</v>
      </c>
      <c r="BZ598">
        <v>1</v>
      </c>
      <c r="CA598" t="s">
        <v>707</v>
      </c>
      <c r="CB598" t="s">
        <v>708</v>
      </c>
      <c r="CC598" s="3">
        <v>46092.557106481479</v>
      </c>
      <c r="CD598" t="s">
        <v>91</v>
      </c>
    </row>
    <row r="599" spans="1:82" ht="16" x14ac:dyDescent="0.2">
      <c r="A599" t="s">
        <v>1251</v>
      </c>
      <c r="B599" t="s">
        <v>582</v>
      </c>
      <c r="C599" t="s">
        <v>583</v>
      </c>
      <c r="D599" t="s">
        <v>78</v>
      </c>
      <c r="E599" t="s">
        <v>584</v>
      </c>
      <c r="F599">
        <v>2</v>
      </c>
      <c r="G599">
        <v>50</v>
      </c>
      <c r="H599" t="str">
        <f t="shared" si="64"/>
        <v>2x50</v>
      </c>
      <c r="I599">
        <v>51</v>
      </c>
      <c r="J599" s="4">
        <f t="shared" si="65"/>
        <v>2.6562499999999999E-2</v>
      </c>
      <c r="K599">
        <v>77</v>
      </c>
      <c r="L599" s="4">
        <f t="shared" si="66"/>
        <v>4.010416666666667E-2</v>
      </c>
      <c r="M599">
        <v>116</v>
      </c>
      <c r="N599" s="4">
        <f t="shared" si="67"/>
        <v>6.0416666666666667E-2</v>
      </c>
      <c r="O599">
        <v>232</v>
      </c>
      <c r="P599" s="4">
        <f t="shared" si="68"/>
        <v>0.12083333333333333</v>
      </c>
      <c r="Q599" s="6" t="str">
        <f t="shared" si="63"/>
        <v>later</v>
      </c>
      <c r="R599" s="6">
        <f t="shared" si="69"/>
        <v>666</v>
      </c>
      <c r="S599">
        <v>77</v>
      </c>
      <c r="T599">
        <v>12</v>
      </c>
      <c r="U599">
        <v>-9</v>
      </c>
      <c r="V599">
        <v>-3</v>
      </c>
      <c r="W599">
        <v>-6</v>
      </c>
      <c r="X599">
        <v>-36</v>
      </c>
      <c r="Y599" s="2" t="s">
        <v>585</v>
      </c>
      <c r="Z599">
        <v>45.589790000000001</v>
      </c>
      <c r="AA599">
        <v>9.8967399999999994</v>
      </c>
      <c r="AB599" t="s">
        <v>78</v>
      </c>
      <c r="AC599" t="s">
        <v>81</v>
      </c>
      <c r="AD599" t="s">
        <v>82</v>
      </c>
      <c r="AE599">
        <v>16875</v>
      </c>
      <c r="AF599">
        <v>0</v>
      </c>
      <c r="AG599">
        <v>0</v>
      </c>
      <c r="AH599">
        <v>0</v>
      </c>
      <c r="AI599">
        <v>15353</v>
      </c>
      <c r="AJ599">
        <v>1522</v>
      </c>
      <c r="AK599">
        <v>0</v>
      </c>
      <c r="AL599">
        <v>4678</v>
      </c>
      <c r="AM599">
        <v>14005</v>
      </c>
      <c r="AN599">
        <v>49695</v>
      </c>
      <c r="AO599">
        <v>200002</v>
      </c>
      <c r="AP599">
        <v>1</v>
      </c>
      <c r="AQ599">
        <v>0</v>
      </c>
      <c r="AR599">
        <v>2</v>
      </c>
      <c r="AS599">
        <v>8</v>
      </c>
      <c r="AT599">
        <v>0</v>
      </c>
      <c r="AU599">
        <v>7</v>
      </c>
      <c r="AV599">
        <v>1</v>
      </c>
      <c r="AW599">
        <v>1</v>
      </c>
      <c r="AX599">
        <v>0</v>
      </c>
      <c r="AY599">
        <v>0</v>
      </c>
      <c r="AZ599">
        <v>0</v>
      </c>
      <c r="BA599">
        <v>8</v>
      </c>
      <c r="BB599">
        <v>15</v>
      </c>
      <c r="BC599">
        <v>4</v>
      </c>
      <c r="BD599">
        <v>6</v>
      </c>
      <c r="BE599">
        <v>0</v>
      </c>
      <c r="BF599">
        <v>6</v>
      </c>
      <c r="BG599">
        <v>0</v>
      </c>
      <c r="BH599">
        <v>6</v>
      </c>
      <c r="BI599">
        <v>0</v>
      </c>
      <c r="BJ599">
        <v>45.589811699999998</v>
      </c>
      <c r="BK599">
        <v>9.8967262999999992</v>
      </c>
      <c r="BL599">
        <v>100</v>
      </c>
      <c r="BM599" t="s">
        <v>83</v>
      </c>
      <c r="BN599" t="s">
        <v>84</v>
      </c>
      <c r="BO599" t="s">
        <v>85</v>
      </c>
      <c r="BP599" t="s">
        <v>107</v>
      </c>
      <c r="BQ599" t="s">
        <v>108</v>
      </c>
      <c r="BR599" t="s">
        <v>179</v>
      </c>
      <c r="BS599">
        <v>337524</v>
      </c>
      <c r="BT599">
        <v>0</v>
      </c>
      <c r="BU599">
        <v>0</v>
      </c>
      <c r="BV599">
        <v>0</v>
      </c>
      <c r="BW599">
        <v>307071</v>
      </c>
      <c r="BX599">
        <v>30453</v>
      </c>
      <c r="BY599">
        <v>0</v>
      </c>
      <c r="BZ599">
        <v>1</v>
      </c>
      <c r="CA599" t="s">
        <v>586</v>
      </c>
      <c r="CB599" t="s">
        <v>587</v>
      </c>
      <c r="CC599" s="3">
        <v>46092.557106481479</v>
      </c>
      <c r="CD599" t="s">
        <v>91</v>
      </c>
    </row>
    <row r="600" spans="1:82" ht="16" x14ac:dyDescent="0.2">
      <c r="A600" t="s">
        <v>1252</v>
      </c>
      <c r="B600" t="s">
        <v>339</v>
      </c>
      <c r="C600" t="s">
        <v>340</v>
      </c>
      <c r="D600" t="s">
        <v>78</v>
      </c>
      <c r="E600" t="s">
        <v>341</v>
      </c>
      <c r="F600">
        <v>2</v>
      </c>
      <c r="G600">
        <v>50</v>
      </c>
      <c r="H600" t="str">
        <f t="shared" si="64"/>
        <v>2x50</v>
      </c>
      <c r="I600">
        <v>51</v>
      </c>
      <c r="J600" s="4">
        <f t="shared" si="65"/>
        <v>2.6562499999999999E-2</v>
      </c>
      <c r="K600">
        <v>76</v>
      </c>
      <c r="L600" s="4">
        <f t="shared" si="66"/>
        <v>3.9583333333333331E-2</v>
      </c>
      <c r="M600">
        <v>116</v>
      </c>
      <c r="N600" s="4">
        <f t="shared" si="67"/>
        <v>6.0416666666666667E-2</v>
      </c>
      <c r="O600">
        <v>231</v>
      </c>
      <c r="P600" s="4">
        <f t="shared" si="68"/>
        <v>0.1203125</v>
      </c>
      <c r="Q600" s="6" t="str">
        <f t="shared" si="63"/>
        <v>later</v>
      </c>
      <c r="R600" s="6">
        <f t="shared" si="69"/>
        <v>666</v>
      </c>
      <c r="S600">
        <v>77</v>
      </c>
      <c r="T600">
        <v>25</v>
      </c>
      <c r="U600">
        <v>-14</v>
      </c>
      <c r="V600">
        <v>-6</v>
      </c>
      <c r="W600">
        <v>-3</v>
      </c>
      <c r="X600">
        <v>-53</v>
      </c>
      <c r="Y600" s="2" t="s">
        <v>342</v>
      </c>
      <c r="Z600">
        <v>45.517616099999998</v>
      </c>
      <c r="AA600">
        <v>12.237434800000001</v>
      </c>
      <c r="AB600" t="s">
        <v>78</v>
      </c>
      <c r="AC600" t="s">
        <v>81</v>
      </c>
      <c r="AD600" t="s">
        <v>82</v>
      </c>
      <c r="AE600">
        <v>133452</v>
      </c>
      <c r="AF600">
        <v>95408</v>
      </c>
      <c r="AG600">
        <v>0</v>
      </c>
      <c r="AH600">
        <v>18512</v>
      </c>
      <c r="AI600">
        <v>1403</v>
      </c>
      <c r="AJ600">
        <v>15919</v>
      </c>
      <c r="AK600">
        <v>2210</v>
      </c>
      <c r="AL600">
        <v>2043</v>
      </c>
      <c r="AM600">
        <v>18156</v>
      </c>
      <c r="AN600">
        <v>161291</v>
      </c>
      <c r="AO600">
        <v>312009</v>
      </c>
      <c r="AP600">
        <v>0</v>
      </c>
      <c r="AQ600">
        <v>0</v>
      </c>
      <c r="AR600">
        <v>1</v>
      </c>
      <c r="AS600">
        <v>2</v>
      </c>
      <c r="AT600">
        <v>4</v>
      </c>
      <c r="AU600">
        <v>11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14</v>
      </c>
      <c r="BB600">
        <v>39</v>
      </c>
      <c r="BC600">
        <v>11</v>
      </c>
      <c r="BD600">
        <v>0</v>
      </c>
      <c r="BE600">
        <v>0</v>
      </c>
      <c r="BF600">
        <v>2</v>
      </c>
      <c r="BG600">
        <v>0</v>
      </c>
      <c r="BH600">
        <v>8</v>
      </c>
      <c r="BI600">
        <v>0</v>
      </c>
      <c r="BJ600">
        <v>45.517622799999998</v>
      </c>
      <c r="BK600">
        <v>12.237425699999999</v>
      </c>
      <c r="BL600">
        <v>100</v>
      </c>
      <c r="BM600" t="s">
        <v>83</v>
      </c>
      <c r="BN600" t="s">
        <v>84</v>
      </c>
      <c r="BO600" t="s">
        <v>85</v>
      </c>
      <c r="BP600" t="s">
        <v>160</v>
      </c>
      <c r="BQ600" t="s">
        <v>161</v>
      </c>
      <c r="BR600" t="s">
        <v>343</v>
      </c>
      <c r="BS600">
        <v>3146222</v>
      </c>
      <c r="BT600">
        <v>2385226</v>
      </c>
      <c r="BU600">
        <v>0</v>
      </c>
      <c r="BV600">
        <v>370254</v>
      </c>
      <c r="BW600">
        <v>28076</v>
      </c>
      <c r="BX600">
        <v>318425</v>
      </c>
      <c r="BY600">
        <v>44241</v>
      </c>
      <c r="BZ600">
        <v>1</v>
      </c>
      <c r="CA600" t="s">
        <v>344</v>
      </c>
      <c r="CB600" t="s">
        <v>345</v>
      </c>
      <c r="CC600" s="3">
        <v>46092.557106481479</v>
      </c>
      <c r="CD600" t="s">
        <v>91</v>
      </c>
    </row>
    <row r="601" spans="1:82" ht="16" x14ac:dyDescent="0.2">
      <c r="A601" t="s">
        <v>1253</v>
      </c>
      <c r="B601" t="s">
        <v>838</v>
      </c>
      <c r="C601" t="s">
        <v>839</v>
      </c>
      <c r="D601" t="s">
        <v>78</v>
      </c>
      <c r="E601" t="s">
        <v>840</v>
      </c>
      <c r="F601">
        <v>2</v>
      </c>
      <c r="G601">
        <v>50</v>
      </c>
      <c r="H601" t="str">
        <f t="shared" si="64"/>
        <v>2x50</v>
      </c>
      <c r="I601">
        <v>50</v>
      </c>
      <c r="J601" s="4">
        <f t="shared" si="65"/>
        <v>2.6041666666666668E-2</v>
      </c>
      <c r="K601">
        <v>75</v>
      </c>
      <c r="L601" s="4">
        <f t="shared" si="66"/>
        <v>3.90625E-2</v>
      </c>
      <c r="M601">
        <v>114</v>
      </c>
      <c r="N601" s="4">
        <f t="shared" si="67"/>
        <v>5.9375000000000004E-2</v>
      </c>
      <c r="O601">
        <v>227</v>
      </c>
      <c r="P601" s="4">
        <f t="shared" si="68"/>
        <v>0.11822916666666666</v>
      </c>
      <c r="Q601" s="6" t="str">
        <f t="shared" si="63"/>
        <v>later</v>
      </c>
      <c r="R601" s="6">
        <f t="shared" si="69"/>
        <v>666</v>
      </c>
      <c r="S601">
        <v>77</v>
      </c>
      <c r="T601">
        <v>-8</v>
      </c>
      <c r="U601">
        <v>-8</v>
      </c>
      <c r="V601">
        <v>1</v>
      </c>
      <c r="W601">
        <v>3</v>
      </c>
      <c r="X601">
        <v>-25</v>
      </c>
      <c r="Y601" s="2" t="s">
        <v>841</v>
      </c>
      <c r="Z601">
        <v>45.645789710492402</v>
      </c>
      <c r="AA601">
        <v>9.9373671779121793</v>
      </c>
      <c r="AB601" t="s">
        <v>78</v>
      </c>
      <c r="AC601" t="s">
        <v>81</v>
      </c>
      <c r="AD601" t="s">
        <v>82</v>
      </c>
      <c r="AE601">
        <v>21743</v>
      </c>
      <c r="AF601">
        <v>0</v>
      </c>
      <c r="AG601">
        <v>0</v>
      </c>
      <c r="AH601">
        <v>0</v>
      </c>
      <c r="AI601">
        <v>0</v>
      </c>
      <c r="AJ601">
        <v>21743</v>
      </c>
      <c r="AK601">
        <v>0</v>
      </c>
      <c r="AL601">
        <v>4505</v>
      </c>
      <c r="AM601">
        <v>14707</v>
      </c>
      <c r="AN601">
        <v>61846</v>
      </c>
      <c r="AO601">
        <v>189054</v>
      </c>
      <c r="AP601">
        <v>1</v>
      </c>
      <c r="AQ601">
        <v>0</v>
      </c>
      <c r="AR601">
        <v>2</v>
      </c>
      <c r="AS601">
        <v>11</v>
      </c>
      <c r="AT601">
        <v>0</v>
      </c>
      <c r="AU601">
        <v>9</v>
      </c>
      <c r="AV601">
        <v>5</v>
      </c>
      <c r="AW601">
        <v>0</v>
      </c>
      <c r="AX601">
        <v>0</v>
      </c>
      <c r="AY601">
        <v>0</v>
      </c>
      <c r="AZ601">
        <v>0</v>
      </c>
      <c r="BA601">
        <v>5</v>
      </c>
      <c r="BB601">
        <v>19</v>
      </c>
      <c r="BC601">
        <v>3</v>
      </c>
      <c r="BD601">
        <v>3</v>
      </c>
      <c r="BE601">
        <v>0</v>
      </c>
      <c r="BF601">
        <v>3</v>
      </c>
      <c r="BG601">
        <v>0</v>
      </c>
      <c r="BH601">
        <v>3</v>
      </c>
      <c r="BI601">
        <v>0</v>
      </c>
      <c r="BJ601">
        <v>45.645777699999996</v>
      </c>
      <c r="BK601">
        <v>9.9373764999999992</v>
      </c>
      <c r="BL601">
        <v>100</v>
      </c>
      <c r="BM601" t="s">
        <v>83</v>
      </c>
      <c r="BN601" t="s">
        <v>84</v>
      </c>
      <c r="BO601" t="s">
        <v>85</v>
      </c>
      <c r="BP601" t="s">
        <v>107</v>
      </c>
      <c r="BQ601" t="s">
        <v>108</v>
      </c>
      <c r="BR601" t="s">
        <v>179</v>
      </c>
      <c r="BS601">
        <v>434926</v>
      </c>
      <c r="BT601">
        <v>0</v>
      </c>
      <c r="BU601">
        <v>0</v>
      </c>
      <c r="BV601">
        <v>0</v>
      </c>
      <c r="BW601">
        <v>0</v>
      </c>
      <c r="BX601">
        <v>434926</v>
      </c>
      <c r="BY601">
        <v>0</v>
      </c>
      <c r="BZ601">
        <v>1</v>
      </c>
      <c r="CA601" t="s">
        <v>842</v>
      </c>
      <c r="CB601" t="s">
        <v>843</v>
      </c>
      <c r="CC601" s="3">
        <v>46092.557106481479</v>
      </c>
      <c r="CD601" t="s">
        <v>91</v>
      </c>
    </row>
    <row r="602" spans="1:82" ht="16" x14ac:dyDescent="0.2">
      <c r="A602" t="s">
        <v>1254</v>
      </c>
      <c r="B602" t="s">
        <v>739</v>
      </c>
      <c r="C602" t="s">
        <v>740</v>
      </c>
      <c r="D602" t="s">
        <v>78</v>
      </c>
      <c r="E602" t="s">
        <v>741</v>
      </c>
      <c r="F602">
        <v>2</v>
      </c>
      <c r="G602">
        <v>50</v>
      </c>
      <c r="H602" t="str">
        <f t="shared" si="64"/>
        <v>2x50</v>
      </c>
      <c r="I602">
        <v>49</v>
      </c>
      <c r="J602" s="4">
        <f t="shared" si="65"/>
        <v>2.5520833333333336E-2</v>
      </c>
      <c r="K602">
        <v>74</v>
      </c>
      <c r="L602" s="4">
        <f t="shared" si="66"/>
        <v>3.8541666666666669E-2</v>
      </c>
      <c r="M602">
        <v>113</v>
      </c>
      <c r="N602" s="4">
        <f t="shared" si="67"/>
        <v>5.8854166666666673E-2</v>
      </c>
      <c r="O602">
        <v>225</v>
      </c>
      <c r="P602" s="4">
        <f t="shared" si="68"/>
        <v>0.1171875</v>
      </c>
      <c r="Q602" s="6" t="str">
        <f t="shared" si="63"/>
        <v>later</v>
      </c>
      <c r="R602" s="6">
        <f t="shared" si="69"/>
        <v>666</v>
      </c>
      <c r="S602">
        <v>77</v>
      </c>
      <c r="T602">
        <v>-5</v>
      </c>
      <c r="U602">
        <v>1</v>
      </c>
      <c r="V602">
        <v>-2</v>
      </c>
      <c r="W602">
        <v>-4</v>
      </c>
      <c r="X602">
        <v>-31</v>
      </c>
      <c r="Y602" s="2" t="s">
        <v>742</v>
      </c>
      <c r="Z602">
        <v>41.023249999999997</v>
      </c>
      <c r="AA602">
        <v>14.35951</v>
      </c>
      <c r="AB602" t="s">
        <v>78</v>
      </c>
      <c r="AC602" t="s">
        <v>81</v>
      </c>
      <c r="AD602" t="s">
        <v>82</v>
      </c>
      <c r="AE602">
        <v>35813</v>
      </c>
      <c r="AF602">
        <v>0</v>
      </c>
      <c r="AG602">
        <v>0</v>
      </c>
      <c r="AH602">
        <v>19290</v>
      </c>
      <c r="AI602">
        <v>9571</v>
      </c>
      <c r="AJ602">
        <v>3138</v>
      </c>
      <c r="AK602">
        <v>3814</v>
      </c>
      <c r="AL602">
        <v>258</v>
      </c>
      <c r="AM602">
        <v>10362</v>
      </c>
      <c r="AN602">
        <v>98430</v>
      </c>
      <c r="AO602">
        <v>417907</v>
      </c>
      <c r="AP602">
        <v>0</v>
      </c>
      <c r="AQ602">
        <v>0</v>
      </c>
      <c r="AR602">
        <v>2</v>
      </c>
      <c r="AS602">
        <v>7</v>
      </c>
      <c r="AT602">
        <v>0</v>
      </c>
      <c r="AU602">
        <v>8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</v>
      </c>
      <c r="BC602">
        <v>0</v>
      </c>
      <c r="BD602">
        <v>0</v>
      </c>
      <c r="BE602">
        <v>2</v>
      </c>
      <c r="BF602">
        <v>0</v>
      </c>
      <c r="BG602">
        <v>2</v>
      </c>
      <c r="BH602">
        <v>2</v>
      </c>
      <c r="BI602">
        <v>2</v>
      </c>
      <c r="BJ602">
        <v>41.023566199999998</v>
      </c>
      <c r="BK602">
        <v>14.3593285</v>
      </c>
      <c r="BL602">
        <v>100</v>
      </c>
      <c r="BM602" t="s">
        <v>83</v>
      </c>
      <c r="BN602" t="s">
        <v>84</v>
      </c>
      <c r="BO602" t="s">
        <v>85</v>
      </c>
      <c r="BP602" t="s">
        <v>97</v>
      </c>
      <c r="BQ602" t="s">
        <v>98</v>
      </c>
      <c r="BR602" t="s">
        <v>743</v>
      </c>
      <c r="BS602">
        <v>716313</v>
      </c>
      <c r="BT602">
        <v>0</v>
      </c>
      <c r="BU602">
        <v>0</v>
      </c>
      <c r="BV602">
        <v>385816</v>
      </c>
      <c r="BW602">
        <v>191426</v>
      </c>
      <c r="BX602">
        <v>62777</v>
      </c>
      <c r="BY602">
        <v>76294</v>
      </c>
      <c r="BZ602">
        <v>1</v>
      </c>
      <c r="CA602" t="s">
        <v>744</v>
      </c>
      <c r="CB602" t="s">
        <v>745</v>
      </c>
      <c r="CC602" s="3">
        <v>46092.557106481479</v>
      </c>
      <c r="CD602" t="s">
        <v>91</v>
      </c>
    </row>
    <row r="603" spans="1:82" ht="16" x14ac:dyDescent="0.2">
      <c r="A603" t="s">
        <v>1255</v>
      </c>
      <c r="B603" t="s">
        <v>508</v>
      </c>
      <c r="C603" t="s">
        <v>509</v>
      </c>
      <c r="D603" t="s">
        <v>78</v>
      </c>
      <c r="E603" t="s">
        <v>510</v>
      </c>
      <c r="F603">
        <v>2</v>
      </c>
      <c r="G603">
        <v>50</v>
      </c>
      <c r="H603" t="str">
        <f t="shared" si="64"/>
        <v>2x50</v>
      </c>
      <c r="I603">
        <v>49</v>
      </c>
      <c r="J603" s="4">
        <f t="shared" si="65"/>
        <v>2.5520833333333336E-2</v>
      </c>
      <c r="K603">
        <v>74</v>
      </c>
      <c r="L603" s="4">
        <f t="shared" si="66"/>
        <v>3.8541666666666669E-2</v>
      </c>
      <c r="M603">
        <v>113</v>
      </c>
      <c r="N603" s="4">
        <f t="shared" si="67"/>
        <v>5.8854166666666673E-2</v>
      </c>
      <c r="O603">
        <v>225</v>
      </c>
      <c r="P603" s="4">
        <f t="shared" si="68"/>
        <v>0.1171875</v>
      </c>
      <c r="Q603" s="6" t="str">
        <f t="shared" si="63"/>
        <v>later</v>
      </c>
      <c r="R603" s="6">
        <f t="shared" si="69"/>
        <v>666</v>
      </c>
      <c r="S603">
        <v>77</v>
      </c>
      <c r="T603">
        <v>23</v>
      </c>
      <c r="U603">
        <v>-12</v>
      </c>
      <c r="V603">
        <v>-10</v>
      </c>
      <c r="W603">
        <v>-5</v>
      </c>
      <c r="X603">
        <v>-44</v>
      </c>
      <c r="Y603" s="2" t="s">
        <v>511</v>
      </c>
      <c r="Z603">
        <v>44.653759999999998</v>
      </c>
      <c r="AA603">
        <v>10.909890000000001</v>
      </c>
      <c r="AB603" t="s">
        <v>78</v>
      </c>
      <c r="AC603" t="s">
        <v>81</v>
      </c>
      <c r="AD603" t="s">
        <v>82</v>
      </c>
      <c r="AE603">
        <v>100189</v>
      </c>
      <c r="AF603">
        <v>0</v>
      </c>
      <c r="AG603">
        <v>0</v>
      </c>
      <c r="AH603">
        <v>0</v>
      </c>
      <c r="AI603">
        <v>21684</v>
      </c>
      <c r="AJ603">
        <v>64945</v>
      </c>
      <c r="AK603">
        <v>13560</v>
      </c>
      <c r="AL603">
        <v>13026</v>
      </c>
      <c r="AM603">
        <v>55648</v>
      </c>
      <c r="AN603">
        <v>162561</v>
      </c>
      <c r="AO603">
        <v>232464</v>
      </c>
      <c r="AP603">
        <v>0</v>
      </c>
      <c r="AQ603">
        <v>1</v>
      </c>
      <c r="AR603">
        <v>4</v>
      </c>
      <c r="AS603">
        <v>10</v>
      </c>
      <c r="AT603">
        <v>5</v>
      </c>
      <c r="AU603">
        <v>30</v>
      </c>
      <c r="AV603">
        <v>1</v>
      </c>
      <c r="AW603">
        <v>0</v>
      </c>
      <c r="AX603">
        <v>1</v>
      </c>
      <c r="AY603">
        <v>0</v>
      </c>
      <c r="AZ603">
        <v>4</v>
      </c>
      <c r="BA603">
        <v>10</v>
      </c>
      <c r="BB603">
        <v>63</v>
      </c>
      <c r="BC603">
        <v>2</v>
      </c>
      <c r="BD603">
        <v>1</v>
      </c>
      <c r="BE603">
        <v>0</v>
      </c>
      <c r="BF603">
        <v>3</v>
      </c>
      <c r="BG603">
        <v>0</v>
      </c>
      <c r="BH603">
        <v>15</v>
      </c>
      <c r="BI603">
        <v>0</v>
      </c>
      <c r="BJ603">
        <v>44.653704300000001</v>
      </c>
      <c r="BK603">
        <v>10.910024399999999</v>
      </c>
      <c r="BL603">
        <v>100</v>
      </c>
      <c r="BM603" t="s">
        <v>83</v>
      </c>
      <c r="BN603" t="s">
        <v>84</v>
      </c>
      <c r="BO603" t="s">
        <v>85</v>
      </c>
      <c r="BP603" t="s">
        <v>160</v>
      </c>
      <c r="BQ603" t="s">
        <v>170</v>
      </c>
      <c r="BR603" t="s">
        <v>462</v>
      </c>
      <c r="BS603">
        <v>1839620</v>
      </c>
      <c r="BT603">
        <v>0</v>
      </c>
      <c r="BU603">
        <v>0</v>
      </c>
      <c r="BV603">
        <v>0</v>
      </c>
      <c r="BW603">
        <v>433699</v>
      </c>
      <c r="BX603">
        <v>1134683</v>
      </c>
      <c r="BY603">
        <v>271238</v>
      </c>
      <c r="BZ603">
        <v>1</v>
      </c>
      <c r="CA603" t="s">
        <v>512</v>
      </c>
      <c r="CB603" t="s">
        <v>513</v>
      </c>
      <c r="CC603" s="3">
        <v>46092.557106481479</v>
      </c>
      <c r="CD603" t="s">
        <v>91</v>
      </c>
    </row>
    <row r="604" spans="1:82" ht="16" x14ac:dyDescent="0.2">
      <c r="A604" t="s">
        <v>1256</v>
      </c>
      <c r="B604" t="s">
        <v>790</v>
      </c>
      <c r="C604" t="s">
        <v>791</v>
      </c>
      <c r="D604" t="s">
        <v>78</v>
      </c>
      <c r="E604" t="s">
        <v>792</v>
      </c>
      <c r="F604">
        <v>2</v>
      </c>
      <c r="G604">
        <v>50</v>
      </c>
      <c r="H604" t="str">
        <f t="shared" si="64"/>
        <v>2x50</v>
      </c>
      <c r="I604">
        <v>49</v>
      </c>
      <c r="J604" s="4">
        <f t="shared" si="65"/>
        <v>2.5520833333333336E-2</v>
      </c>
      <c r="K604">
        <v>74</v>
      </c>
      <c r="L604" s="4">
        <f t="shared" si="66"/>
        <v>3.8541666666666669E-2</v>
      </c>
      <c r="M604">
        <v>112</v>
      </c>
      <c r="N604" s="4">
        <f t="shared" si="67"/>
        <v>5.8333333333333327E-2</v>
      </c>
      <c r="O604">
        <v>223</v>
      </c>
      <c r="P604" s="4">
        <f t="shared" si="68"/>
        <v>0.11614583333333334</v>
      </c>
      <c r="Q604" s="6" t="str">
        <f t="shared" si="63"/>
        <v>later</v>
      </c>
      <c r="R604" s="6">
        <f t="shared" si="69"/>
        <v>666</v>
      </c>
      <c r="S604">
        <v>77</v>
      </c>
      <c r="T604">
        <v>12</v>
      </c>
      <c r="U604">
        <v>-12</v>
      </c>
      <c r="V604">
        <v>-2</v>
      </c>
      <c r="W604">
        <v>-10</v>
      </c>
      <c r="X604">
        <v>-28</v>
      </c>
      <c r="Y604" s="2" t="s">
        <v>793</v>
      </c>
      <c r="Z604">
        <v>46.086127612709298</v>
      </c>
      <c r="AA604">
        <v>11.1180209355824</v>
      </c>
      <c r="AB604" t="s">
        <v>78</v>
      </c>
      <c r="AC604" t="s">
        <v>81</v>
      </c>
      <c r="AD604" t="s">
        <v>82</v>
      </c>
      <c r="AE604">
        <v>64671</v>
      </c>
      <c r="AF604">
        <v>0</v>
      </c>
      <c r="AG604">
        <v>20781</v>
      </c>
      <c r="AH604">
        <v>7492</v>
      </c>
      <c r="AI604">
        <v>0</v>
      </c>
      <c r="AJ604">
        <v>31808</v>
      </c>
      <c r="AK604">
        <v>4590</v>
      </c>
      <c r="AL604">
        <v>10279</v>
      </c>
      <c r="AM604">
        <v>31214</v>
      </c>
      <c r="AN604">
        <v>98782</v>
      </c>
      <c r="AO604">
        <v>157068</v>
      </c>
      <c r="AP604">
        <v>6</v>
      </c>
      <c r="AQ604">
        <v>0</v>
      </c>
      <c r="AR604">
        <v>4</v>
      </c>
      <c r="AS604">
        <v>13</v>
      </c>
      <c r="AT604">
        <v>1</v>
      </c>
      <c r="AU604">
        <v>29</v>
      </c>
      <c r="AV604">
        <v>6</v>
      </c>
      <c r="AW604">
        <v>0</v>
      </c>
      <c r="AX604">
        <v>0</v>
      </c>
      <c r="AY604">
        <v>0</v>
      </c>
      <c r="AZ604">
        <v>1</v>
      </c>
      <c r="BA604">
        <v>14</v>
      </c>
      <c r="BB604">
        <v>36</v>
      </c>
      <c r="BC604">
        <v>8</v>
      </c>
      <c r="BD604">
        <v>2</v>
      </c>
      <c r="BE604">
        <v>0</v>
      </c>
      <c r="BF604">
        <v>6</v>
      </c>
      <c r="BG604">
        <v>6</v>
      </c>
      <c r="BH604">
        <v>7</v>
      </c>
      <c r="BI604">
        <v>6</v>
      </c>
      <c r="BJ604">
        <v>46.08625</v>
      </c>
      <c r="BK604">
        <v>11.1184999</v>
      </c>
      <c r="BL604">
        <v>100</v>
      </c>
      <c r="BM604" t="s">
        <v>83</v>
      </c>
      <c r="BN604" t="s">
        <v>84</v>
      </c>
      <c r="BO604" t="s">
        <v>85</v>
      </c>
      <c r="BP604" t="s">
        <v>160</v>
      </c>
      <c r="BQ604" t="s">
        <v>794</v>
      </c>
      <c r="BR604" t="s">
        <v>791</v>
      </c>
      <c r="BS604">
        <v>1293541</v>
      </c>
      <c r="BT604">
        <v>0</v>
      </c>
      <c r="BU604">
        <v>415630</v>
      </c>
      <c r="BV604">
        <v>149852</v>
      </c>
      <c r="BW604">
        <v>0</v>
      </c>
      <c r="BX604">
        <v>636222</v>
      </c>
      <c r="BY604">
        <v>91837</v>
      </c>
      <c r="BZ604">
        <v>1</v>
      </c>
      <c r="CA604" t="s">
        <v>795</v>
      </c>
      <c r="CB604" t="s">
        <v>796</v>
      </c>
      <c r="CC604" s="3">
        <v>46092.557106481479</v>
      </c>
      <c r="CD604" t="s">
        <v>91</v>
      </c>
    </row>
    <row r="605" spans="1:82" ht="16" x14ac:dyDescent="0.2">
      <c r="A605" t="s">
        <v>1257</v>
      </c>
      <c r="B605" t="s">
        <v>596</v>
      </c>
      <c r="C605" t="s">
        <v>597</v>
      </c>
      <c r="D605" t="s">
        <v>78</v>
      </c>
      <c r="E605" t="s">
        <v>598</v>
      </c>
      <c r="F605">
        <v>2</v>
      </c>
      <c r="G605">
        <v>50</v>
      </c>
      <c r="H605" t="str">
        <f t="shared" si="64"/>
        <v>2x50</v>
      </c>
      <c r="I605">
        <v>49</v>
      </c>
      <c r="J605" s="4">
        <f t="shared" si="65"/>
        <v>2.5520833333333336E-2</v>
      </c>
      <c r="K605">
        <v>73</v>
      </c>
      <c r="L605" s="4">
        <f t="shared" si="66"/>
        <v>3.802083333333333E-2</v>
      </c>
      <c r="M605">
        <v>111</v>
      </c>
      <c r="N605" s="4">
        <f t="shared" si="67"/>
        <v>5.7812499999999996E-2</v>
      </c>
      <c r="O605">
        <v>222</v>
      </c>
      <c r="P605" s="4">
        <f t="shared" si="68"/>
        <v>0.11562499999999999</v>
      </c>
      <c r="Q605" s="6" t="str">
        <f t="shared" si="63"/>
        <v>later</v>
      </c>
      <c r="R605" s="6">
        <f t="shared" si="69"/>
        <v>666</v>
      </c>
      <c r="S605">
        <v>77</v>
      </c>
      <c r="T605">
        <v>20</v>
      </c>
      <c r="U605">
        <v>-11</v>
      </c>
      <c r="V605">
        <v>-17</v>
      </c>
      <c r="W605">
        <v>1</v>
      </c>
      <c r="X605">
        <v>-40</v>
      </c>
      <c r="Y605" s="2" t="s">
        <v>599</v>
      </c>
      <c r="Z605">
        <v>45.609499999999997</v>
      </c>
      <c r="AA605">
        <v>10.208</v>
      </c>
      <c r="AB605" t="s">
        <v>78</v>
      </c>
      <c r="AC605" t="s">
        <v>81</v>
      </c>
      <c r="AD605" t="s">
        <v>82</v>
      </c>
      <c r="AE605">
        <v>50945</v>
      </c>
      <c r="AF605">
        <v>0</v>
      </c>
      <c r="AG605">
        <v>0</v>
      </c>
      <c r="AH605">
        <v>0</v>
      </c>
      <c r="AI605">
        <v>37251</v>
      </c>
      <c r="AJ605">
        <v>12491</v>
      </c>
      <c r="AK605">
        <v>1203</v>
      </c>
      <c r="AL605">
        <v>5409</v>
      </c>
      <c r="AM605">
        <v>15201</v>
      </c>
      <c r="AN605">
        <v>72240</v>
      </c>
      <c r="AO605">
        <v>300794</v>
      </c>
      <c r="AP605">
        <v>3</v>
      </c>
      <c r="AQ605">
        <v>0</v>
      </c>
      <c r="AR605">
        <v>4</v>
      </c>
      <c r="AS605">
        <v>6</v>
      </c>
      <c r="AT605">
        <v>0</v>
      </c>
      <c r="AU605">
        <v>23</v>
      </c>
      <c r="AV605">
        <v>22</v>
      </c>
      <c r="AW605">
        <v>2</v>
      </c>
      <c r="AX605">
        <v>0</v>
      </c>
      <c r="AY605">
        <v>0</v>
      </c>
      <c r="AZ605">
        <v>0</v>
      </c>
      <c r="BA605">
        <v>8</v>
      </c>
      <c r="BB605">
        <v>12</v>
      </c>
      <c r="BC605">
        <v>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45.6094632</v>
      </c>
      <c r="BK605">
        <v>10.207891999999999</v>
      </c>
      <c r="BL605">
        <v>100</v>
      </c>
      <c r="BM605" t="s">
        <v>83</v>
      </c>
      <c r="BN605" t="s">
        <v>84</v>
      </c>
      <c r="BO605" t="s">
        <v>85</v>
      </c>
      <c r="BP605" t="s">
        <v>107</v>
      </c>
      <c r="BQ605" t="s">
        <v>108</v>
      </c>
      <c r="BR605" t="s">
        <v>179</v>
      </c>
      <c r="BS605">
        <v>1019030</v>
      </c>
      <c r="BT605">
        <v>0</v>
      </c>
      <c r="BU605">
        <v>0</v>
      </c>
      <c r="BV605">
        <v>0</v>
      </c>
      <c r="BW605">
        <v>745045</v>
      </c>
      <c r="BX605">
        <v>249902</v>
      </c>
      <c r="BY605">
        <v>24083</v>
      </c>
      <c r="BZ605">
        <v>1</v>
      </c>
      <c r="CA605" t="s">
        <v>600</v>
      </c>
      <c r="CB605" t="s">
        <v>601</v>
      </c>
      <c r="CC605" s="3">
        <v>46092.557106481479</v>
      </c>
      <c r="CD605" t="s">
        <v>91</v>
      </c>
    </row>
    <row r="606" spans="1:82" ht="16" x14ac:dyDescent="0.2">
      <c r="A606" t="s">
        <v>1258</v>
      </c>
      <c r="B606" t="s">
        <v>747</v>
      </c>
      <c r="C606" t="s">
        <v>748</v>
      </c>
      <c r="D606" t="s">
        <v>78</v>
      </c>
      <c r="E606" t="s">
        <v>749</v>
      </c>
      <c r="F606">
        <v>2</v>
      </c>
      <c r="G606">
        <v>50</v>
      </c>
      <c r="H606" t="str">
        <f t="shared" si="64"/>
        <v>2x50</v>
      </c>
      <c r="I606">
        <v>48</v>
      </c>
      <c r="J606" s="4">
        <f t="shared" si="65"/>
        <v>2.4999999999999998E-2</v>
      </c>
      <c r="K606">
        <v>72</v>
      </c>
      <c r="L606" s="4">
        <f t="shared" si="66"/>
        <v>3.7499999999999999E-2</v>
      </c>
      <c r="M606">
        <v>109</v>
      </c>
      <c r="N606" s="4">
        <f t="shared" si="67"/>
        <v>5.6770833333333333E-2</v>
      </c>
      <c r="O606">
        <v>217</v>
      </c>
      <c r="P606" s="4">
        <f t="shared" si="68"/>
        <v>0.11302083333333333</v>
      </c>
      <c r="Q606" s="6" t="str">
        <f t="shared" si="63"/>
        <v>later</v>
      </c>
      <c r="R606" s="6">
        <f t="shared" si="69"/>
        <v>666</v>
      </c>
      <c r="S606">
        <v>77</v>
      </c>
      <c r="T606">
        <v>-17</v>
      </c>
      <c r="U606">
        <v>3</v>
      </c>
      <c r="V606">
        <v>0</v>
      </c>
      <c r="W606">
        <v>2</v>
      </c>
      <c r="X606">
        <v>-32</v>
      </c>
      <c r="Y606" s="2" t="s">
        <v>750</v>
      </c>
      <c r="Z606">
        <v>40.93506</v>
      </c>
      <c r="AA606">
        <v>14.441610000000001</v>
      </c>
      <c r="AB606" t="s">
        <v>78</v>
      </c>
      <c r="AC606" t="s">
        <v>81</v>
      </c>
      <c r="AD606" t="s">
        <v>82</v>
      </c>
      <c r="AE606">
        <v>22043</v>
      </c>
      <c r="AF606">
        <v>0</v>
      </c>
      <c r="AG606">
        <v>0</v>
      </c>
      <c r="AH606">
        <v>0</v>
      </c>
      <c r="AI606">
        <v>10640</v>
      </c>
      <c r="AJ606">
        <v>7042</v>
      </c>
      <c r="AK606">
        <v>4361</v>
      </c>
      <c r="AL606">
        <v>7279</v>
      </c>
      <c r="AM606">
        <v>30169</v>
      </c>
      <c r="AN606">
        <v>100192</v>
      </c>
      <c r="AO606">
        <v>432459</v>
      </c>
      <c r="AP606">
        <v>0</v>
      </c>
      <c r="AQ606">
        <v>0</v>
      </c>
      <c r="AR606">
        <v>2</v>
      </c>
      <c r="AS606">
        <v>2</v>
      </c>
      <c r="AT606">
        <v>0</v>
      </c>
      <c r="AU606">
        <v>10</v>
      </c>
      <c r="AV606">
        <v>5</v>
      </c>
      <c r="AW606">
        <v>0</v>
      </c>
      <c r="AX606">
        <v>0</v>
      </c>
      <c r="AY606">
        <v>0</v>
      </c>
      <c r="AZ606">
        <v>0</v>
      </c>
      <c r="BA606">
        <v>6</v>
      </c>
      <c r="BB606">
        <v>18</v>
      </c>
      <c r="BC606">
        <v>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40.935041699999999</v>
      </c>
      <c r="BK606">
        <v>14.441605600000001</v>
      </c>
      <c r="BL606">
        <v>100</v>
      </c>
      <c r="BM606" t="s">
        <v>83</v>
      </c>
      <c r="BN606" t="s">
        <v>84</v>
      </c>
      <c r="BO606" t="s">
        <v>85</v>
      </c>
      <c r="BP606" t="s">
        <v>97</v>
      </c>
      <c r="BQ606" t="s">
        <v>98</v>
      </c>
      <c r="BR606" t="s">
        <v>99</v>
      </c>
      <c r="BS606">
        <v>440979</v>
      </c>
      <c r="BT606">
        <v>0</v>
      </c>
      <c r="BU606">
        <v>0</v>
      </c>
      <c r="BV606">
        <v>0</v>
      </c>
      <c r="BW606">
        <v>212811</v>
      </c>
      <c r="BX606">
        <v>140900</v>
      </c>
      <c r="BY606">
        <v>87268</v>
      </c>
      <c r="BZ606">
        <v>1</v>
      </c>
      <c r="CA606" t="s">
        <v>751</v>
      </c>
      <c r="CB606" t="s">
        <v>752</v>
      </c>
      <c r="CC606" s="3">
        <v>46092.557106481479</v>
      </c>
      <c r="CD606" t="s">
        <v>91</v>
      </c>
    </row>
    <row r="607" spans="1:82" ht="16" x14ac:dyDescent="0.2">
      <c r="A607" t="s">
        <v>1259</v>
      </c>
      <c r="B607" t="s">
        <v>783</v>
      </c>
      <c r="C607" t="s">
        <v>784</v>
      </c>
      <c r="D607" t="s">
        <v>78</v>
      </c>
      <c r="E607" t="s">
        <v>785</v>
      </c>
      <c r="F607">
        <v>2</v>
      </c>
      <c r="G607">
        <v>50</v>
      </c>
      <c r="H607" t="str">
        <f t="shared" si="64"/>
        <v>2x50</v>
      </c>
      <c r="I607">
        <v>47</v>
      </c>
      <c r="J607" s="4">
        <f t="shared" si="65"/>
        <v>2.4479166666666666E-2</v>
      </c>
      <c r="K607">
        <v>71</v>
      </c>
      <c r="L607" s="4">
        <f t="shared" si="66"/>
        <v>3.6979166666666667E-2</v>
      </c>
      <c r="M607">
        <v>108</v>
      </c>
      <c r="N607" s="4">
        <f t="shared" si="67"/>
        <v>5.6250000000000001E-2</v>
      </c>
      <c r="O607">
        <v>216</v>
      </c>
      <c r="P607" s="4">
        <f t="shared" si="68"/>
        <v>0.1125</v>
      </c>
      <c r="Q607" s="6" t="str">
        <f t="shared" si="63"/>
        <v>later</v>
      </c>
      <c r="R607" s="6">
        <f t="shared" si="69"/>
        <v>666</v>
      </c>
      <c r="S607">
        <v>77</v>
      </c>
      <c r="T607">
        <v>10</v>
      </c>
      <c r="U607">
        <v>-11</v>
      </c>
      <c r="V607">
        <v>-1</v>
      </c>
      <c r="W607">
        <v>-9</v>
      </c>
      <c r="X607">
        <v>-31</v>
      </c>
      <c r="Y607" s="2" t="s">
        <v>786</v>
      </c>
      <c r="Z607">
        <v>45.18929</v>
      </c>
      <c r="AA607">
        <v>7.6367900000000004</v>
      </c>
      <c r="AB607" t="s">
        <v>78</v>
      </c>
      <c r="AC607" t="s">
        <v>81</v>
      </c>
      <c r="AD607" t="s">
        <v>82</v>
      </c>
      <c r="AE607">
        <v>37967</v>
      </c>
      <c r="AF607">
        <v>17307</v>
      </c>
      <c r="AG607">
        <v>0</v>
      </c>
      <c r="AH607">
        <v>0</v>
      </c>
      <c r="AI607">
        <v>14286</v>
      </c>
      <c r="AJ607">
        <v>6374</v>
      </c>
      <c r="AK607">
        <v>0</v>
      </c>
      <c r="AL607">
        <v>1307</v>
      </c>
      <c r="AM607">
        <v>11484</v>
      </c>
      <c r="AN607">
        <v>44628</v>
      </c>
      <c r="AO607">
        <v>222309</v>
      </c>
      <c r="AP607">
        <v>0</v>
      </c>
      <c r="AQ607">
        <v>0</v>
      </c>
      <c r="AR607">
        <v>3</v>
      </c>
      <c r="AS607">
        <v>1</v>
      </c>
      <c r="AT607">
        <v>0</v>
      </c>
      <c r="AU607">
        <v>8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24</v>
      </c>
      <c r="BB607">
        <v>38</v>
      </c>
      <c r="BC607">
        <v>6</v>
      </c>
      <c r="BD607">
        <v>0</v>
      </c>
      <c r="BE607">
        <v>0</v>
      </c>
      <c r="BF607">
        <v>4</v>
      </c>
      <c r="BG607">
        <v>6</v>
      </c>
      <c r="BH607">
        <v>12</v>
      </c>
      <c r="BI607">
        <v>6</v>
      </c>
      <c r="BJ607">
        <v>45.189247000000002</v>
      </c>
      <c r="BK607">
        <v>7.6367756</v>
      </c>
      <c r="BL607">
        <v>100</v>
      </c>
      <c r="BM607" t="s">
        <v>83</v>
      </c>
      <c r="BN607" t="s">
        <v>84</v>
      </c>
      <c r="BO607" t="s">
        <v>85</v>
      </c>
      <c r="BP607" t="s">
        <v>107</v>
      </c>
      <c r="BQ607" t="s">
        <v>203</v>
      </c>
      <c r="BR607" t="s">
        <v>204</v>
      </c>
      <c r="BS607">
        <v>759418</v>
      </c>
      <c r="BT607">
        <v>346143</v>
      </c>
      <c r="BU607">
        <v>0</v>
      </c>
      <c r="BV607">
        <v>0</v>
      </c>
      <c r="BW607">
        <v>285740</v>
      </c>
      <c r="BX607">
        <v>127535</v>
      </c>
      <c r="BY607">
        <v>0</v>
      </c>
      <c r="BZ607">
        <v>1</v>
      </c>
      <c r="CA607" t="s">
        <v>787</v>
      </c>
      <c r="CB607" t="s">
        <v>788</v>
      </c>
      <c r="CC607" s="3">
        <v>46092.557106481479</v>
      </c>
      <c r="CD607" t="s">
        <v>91</v>
      </c>
    </row>
    <row r="608" spans="1:82" ht="16" x14ac:dyDescent="0.2">
      <c r="A608" t="s">
        <v>1260</v>
      </c>
      <c r="B608" t="s">
        <v>696</v>
      </c>
      <c r="C608" t="s">
        <v>697</v>
      </c>
      <c r="D608" t="s">
        <v>78</v>
      </c>
      <c r="E608" t="s">
        <v>698</v>
      </c>
      <c r="F608">
        <v>2</v>
      </c>
      <c r="G608">
        <v>50</v>
      </c>
      <c r="H608" t="str">
        <f t="shared" si="64"/>
        <v>2x50</v>
      </c>
      <c r="I608">
        <v>47</v>
      </c>
      <c r="J608" s="4">
        <f t="shared" si="65"/>
        <v>2.4479166666666666E-2</v>
      </c>
      <c r="K608">
        <v>71</v>
      </c>
      <c r="L608" s="4">
        <f t="shared" si="66"/>
        <v>3.6979166666666667E-2</v>
      </c>
      <c r="M608">
        <v>107</v>
      </c>
      <c r="N608" s="4">
        <f t="shared" si="67"/>
        <v>5.5729166666666663E-2</v>
      </c>
      <c r="O608">
        <v>214</v>
      </c>
      <c r="P608" s="4">
        <f t="shared" si="68"/>
        <v>0.11145833333333333</v>
      </c>
      <c r="Q608" s="6" t="str">
        <f t="shared" si="63"/>
        <v>later</v>
      </c>
      <c r="R608" s="6">
        <f t="shared" si="69"/>
        <v>666</v>
      </c>
      <c r="S608">
        <v>77</v>
      </c>
      <c r="T608">
        <v>4</v>
      </c>
      <c r="U608">
        <v>-2</v>
      </c>
      <c r="V608">
        <v>-7</v>
      </c>
      <c r="W608">
        <v>-5</v>
      </c>
      <c r="X608">
        <v>-36</v>
      </c>
      <c r="Y608" s="2" t="s">
        <v>699</v>
      </c>
      <c r="Z608">
        <v>45.080591811177499</v>
      </c>
      <c r="AA608">
        <v>7.5080043720537404</v>
      </c>
      <c r="AB608" t="s">
        <v>78</v>
      </c>
      <c r="AC608" t="s">
        <v>81</v>
      </c>
      <c r="AD608" t="s">
        <v>82</v>
      </c>
      <c r="AE608">
        <v>58901</v>
      </c>
      <c r="AF608">
        <v>41622</v>
      </c>
      <c r="AG608">
        <v>0</v>
      </c>
      <c r="AH608">
        <v>7958</v>
      </c>
      <c r="AI608">
        <v>0</v>
      </c>
      <c r="AJ608">
        <v>4080</v>
      </c>
      <c r="AK608">
        <v>5241</v>
      </c>
      <c r="AL608">
        <v>7518</v>
      </c>
      <c r="AM608">
        <v>28395</v>
      </c>
      <c r="AN608">
        <v>114506</v>
      </c>
      <c r="AO608">
        <v>389225</v>
      </c>
      <c r="AP608">
        <v>8</v>
      </c>
      <c r="AQ608">
        <v>0</v>
      </c>
      <c r="AR608">
        <v>2</v>
      </c>
      <c r="AS608">
        <v>3</v>
      </c>
      <c r="AT608">
        <v>0</v>
      </c>
      <c r="AU608">
        <v>31</v>
      </c>
      <c r="AV608">
        <v>10</v>
      </c>
      <c r="AW608">
        <v>2</v>
      </c>
      <c r="AX608">
        <v>1</v>
      </c>
      <c r="AY608">
        <v>1</v>
      </c>
      <c r="AZ608">
        <v>2</v>
      </c>
      <c r="BA608">
        <v>5</v>
      </c>
      <c r="BB608">
        <v>9</v>
      </c>
      <c r="BC608">
        <v>0</v>
      </c>
      <c r="BD608">
        <v>0</v>
      </c>
      <c r="BE608">
        <v>6</v>
      </c>
      <c r="BF608">
        <v>2</v>
      </c>
      <c r="BG608">
        <v>6</v>
      </c>
      <c r="BH608">
        <v>2</v>
      </c>
      <c r="BI608">
        <v>6</v>
      </c>
      <c r="BJ608">
        <v>45.080570000000002</v>
      </c>
      <c r="BK608">
        <v>7.508</v>
      </c>
      <c r="BL608">
        <v>100</v>
      </c>
      <c r="BM608" t="s">
        <v>83</v>
      </c>
      <c r="BN608" t="s">
        <v>84</v>
      </c>
      <c r="BO608" t="s">
        <v>85</v>
      </c>
      <c r="BP608" t="s">
        <v>107</v>
      </c>
      <c r="BQ608" t="s">
        <v>203</v>
      </c>
      <c r="BR608" t="s">
        <v>204</v>
      </c>
      <c r="BS608">
        <v>1296532</v>
      </c>
      <c r="BT608">
        <v>950898</v>
      </c>
      <c r="BU608">
        <v>0</v>
      </c>
      <c r="BV608">
        <v>159193</v>
      </c>
      <c r="BW608">
        <v>0</v>
      </c>
      <c r="BX608">
        <v>81619</v>
      </c>
      <c r="BY608">
        <v>104822</v>
      </c>
      <c r="BZ608">
        <v>1</v>
      </c>
      <c r="CA608" t="s">
        <v>700</v>
      </c>
      <c r="CB608" t="s">
        <v>701</v>
      </c>
      <c r="CC608" s="3">
        <v>46092.557106481479</v>
      </c>
      <c r="CD608" t="s">
        <v>91</v>
      </c>
    </row>
    <row r="609" spans="1:82" ht="16" x14ac:dyDescent="0.2">
      <c r="A609" t="s">
        <v>1261</v>
      </c>
      <c r="B609" t="s">
        <v>768</v>
      </c>
      <c r="C609" t="s">
        <v>769</v>
      </c>
      <c r="D609" t="s">
        <v>78</v>
      </c>
      <c r="E609" t="s">
        <v>770</v>
      </c>
      <c r="F609">
        <v>2</v>
      </c>
      <c r="G609">
        <v>50</v>
      </c>
      <c r="H609" t="str">
        <f t="shared" si="64"/>
        <v>2x50</v>
      </c>
      <c r="I609">
        <v>46</v>
      </c>
      <c r="J609" s="4">
        <f t="shared" si="65"/>
        <v>2.3958333333333331E-2</v>
      </c>
      <c r="K609">
        <v>69</v>
      </c>
      <c r="L609" s="4">
        <f t="shared" si="66"/>
        <v>3.5937500000000004E-2</v>
      </c>
      <c r="M609">
        <v>105</v>
      </c>
      <c r="N609" s="4">
        <f t="shared" si="67"/>
        <v>5.46875E-2</v>
      </c>
      <c r="O609">
        <v>209</v>
      </c>
      <c r="P609" s="4">
        <f t="shared" si="68"/>
        <v>0.10885416666666665</v>
      </c>
      <c r="Q609" s="6" t="str">
        <f t="shared" si="63"/>
        <v>later</v>
      </c>
      <c r="R609" s="6">
        <f t="shared" si="69"/>
        <v>666</v>
      </c>
      <c r="S609">
        <v>77</v>
      </c>
      <c r="T609">
        <v>-17</v>
      </c>
      <c r="U609">
        <v>-9</v>
      </c>
      <c r="V609">
        <v>8</v>
      </c>
      <c r="W609">
        <v>4</v>
      </c>
      <c r="X609">
        <v>-29</v>
      </c>
      <c r="Y609" s="2" t="s">
        <v>771</v>
      </c>
      <c r="Z609">
        <v>41.35801</v>
      </c>
      <c r="AA609">
        <v>13.41455</v>
      </c>
      <c r="AB609" t="s">
        <v>78</v>
      </c>
      <c r="AC609" t="s">
        <v>81</v>
      </c>
      <c r="AD609" t="s">
        <v>82</v>
      </c>
      <c r="AE609">
        <v>13443</v>
      </c>
      <c r="AF609">
        <v>0</v>
      </c>
      <c r="AG609">
        <v>0</v>
      </c>
      <c r="AH609">
        <v>0</v>
      </c>
      <c r="AI609">
        <v>4408</v>
      </c>
      <c r="AJ609">
        <v>5281</v>
      </c>
      <c r="AK609">
        <v>3754</v>
      </c>
      <c r="AL609">
        <v>7552</v>
      </c>
      <c r="AM609">
        <v>22842</v>
      </c>
      <c r="AN609">
        <v>36433</v>
      </c>
      <c r="AO609">
        <v>51830</v>
      </c>
      <c r="AP609">
        <v>1</v>
      </c>
      <c r="AQ609">
        <v>0</v>
      </c>
      <c r="AR609">
        <v>3</v>
      </c>
      <c r="AS609">
        <v>13</v>
      </c>
      <c r="AT609">
        <v>0</v>
      </c>
      <c r="AU609">
        <v>16</v>
      </c>
      <c r="AV609">
        <v>0</v>
      </c>
      <c r="AW609">
        <v>1</v>
      </c>
      <c r="AX609">
        <v>2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2</v>
      </c>
      <c r="BE609">
        <v>0</v>
      </c>
      <c r="BF609">
        <v>2</v>
      </c>
      <c r="BG609">
        <v>0</v>
      </c>
      <c r="BH609">
        <v>2</v>
      </c>
      <c r="BI609">
        <v>0</v>
      </c>
      <c r="BJ609">
        <v>41.358293699999997</v>
      </c>
      <c r="BK609">
        <v>13.414480599999999</v>
      </c>
      <c r="BL609">
        <v>100</v>
      </c>
      <c r="BM609" t="s">
        <v>83</v>
      </c>
      <c r="BN609" t="s">
        <v>84</v>
      </c>
      <c r="BO609" t="s">
        <v>85</v>
      </c>
      <c r="BP609" t="s">
        <v>86</v>
      </c>
      <c r="BQ609" t="s">
        <v>87</v>
      </c>
      <c r="BR609" t="s">
        <v>772</v>
      </c>
      <c r="BS609">
        <v>269021</v>
      </c>
      <c r="BT609">
        <v>0</v>
      </c>
      <c r="BU609">
        <v>0</v>
      </c>
      <c r="BV609">
        <v>0</v>
      </c>
      <c r="BW609">
        <v>88175</v>
      </c>
      <c r="BX609">
        <v>105718</v>
      </c>
      <c r="BY609">
        <v>75128</v>
      </c>
      <c r="BZ609">
        <v>1</v>
      </c>
      <c r="CA609" t="s">
        <v>773</v>
      </c>
      <c r="CB609" t="s">
        <v>774</v>
      </c>
      <c r="CC609" s="3">
        <v>46092.557106481479</v>
      </c>
      <c r="CD609" t="s">
        <v>91</v>
      </c>
    </row>
    <row r="610" spans="1:82" ht="16" x14ac:dyDescent="0.2">
      <c r="A610" t="s">
        <v>1262</v>
      </c>
      <c r="B610" t="s">
        <v>815</v>
      </c>
      <c r="C610" t="s">
        <v>816</v>
      </c>
      <c r="D610" t="s">
        <v>78</v>
      </c>
      <c r="E610" t="s">
        <v>817</v>
      </c>
      <c r="F610">
        <v>2</v>
      </c>
      <c r="G610">
        <v>50</v>
      </c>
      <c r="H610" t="str">
        <f t="shared" si="64"/>
        <v>2x50</v>
      </c>
      <c r="I610">
        <v>45</v>
      </c>
      <c r="J610" s="4">
        <f t="shared" si="65"/>
        <v>2.34375E-2</v>
      </c>
      <c r="K610">
        <v>69</v>
      </c>
      <c r="L610" s="4">
        <f t="shared" si="66"/>
        <v>3.5937500000000004E-2</v>
      </c>
      <c r="M610">
        <v>104</v>
      </c>
      <c r="N610" s="4">
        <f t="shared" si="67"/>
        <v>5.4166666666666669E-2</v>
      </c>
      <c r="O610">
        <v>207</v>
      </c>
      <c r="P610" s="4">
        <f t="shared" si="68"/>
        <v>0.10781249999999999</v>
      </c>
      <c r="Q610" s="6" t="str">
        <f t="shared" si="63"/>
        <v>later</v>
      </c>
      <c r="R610" s="6">
        <f t="shared" si="69"/>
        <v>666</v>
      </c>
      <c r="S610">
        <v>77</v>
      </c>
      <c r="T610">
        <v>-8</v>
      </c>
      <c r="U610">
        <v>-9</v>
      </c>
      <c r="V610">
        <v>1</v>
      </c>
      <c r="W610">
        <v>1</v>
      </c>
      <c r="X610">
        <v>-29</v>
      </c>
      <c r="Y610" s="2" t="s">
        <v>818</v>
      </c>
      <c r="Z610">
        <v>45.928421193010401</v>
      </c>
      <c r="AA610">
        <v>8.5559556033571909</v>
      </c>
      <c r="AB610" t="s">
        <v>78</v>
      </c>
      <c r="AC610" t="s">
        <v>81</v>
      </c>
      <c r="AD610" t="s">
        <v>82</v>
      </c>
      <c r="AE610">
        <v>30869</v>
      </c>
      <c r="AF610">
        <v>0</v>
      </c>
      <c r="AG610">
        <v>0</v>
      </c>
      <c r="AH610">
        <v>18337</v>
      </c>
      <c r="AI610">
        <v>0</v>
      </c>
      <c r="AJ610">
        <v>11733</v>
      </c>
      <c r="AK610">
        <v>799</v>
      </c>
      <c r="AL610">
        <v>8561</v>
      </c>
      <c r="AM610">
        <v>19307</v>
      </c>
      <c r="AN610">
        <v>43075</v>
      </c>
      <c r="AO610">
        <v>83800</v>
      </c>
      <c r="AP610">
        <v>6</v>
      </c>
      <c r="AQ610">
        <v>0</v>
      </c>
      <c r="AR610">
        <v>4</v>
      </c>
      <c r="AS610">
        <v>8</v>
      </c>
      <c r="AT610">
        <v>0</v>
      </c>
      <c r="AU610">
        <v>28</v>
      </c>
      <c r="AV610">
        <v>5</v>
      </c>
      <c r="AW610">
        <v>1</v>
      </c>
      <c r="AX610">
        <v>3</v>
      </c>
      <c r="AY610">
        <v>0</v>
      </c>
      <c r="AZ610">
        <v>5</v>
      </c>
      <c r="BA610">
        <v>15</v>
      </c>
      <c r="BB610">
        <v>22</v>
      </c>
      <c r="BC610">
        <v>9</v>
      </c>
      <c r="BD610">
        <v>2</v>
      </c>
      <c r="BE610">
        <v>0</v>
      </c>
      <c r="BF610">
        <v>4</v>
      </c>
      <c r="BG610">
        <v>0</v>
      </c>
      <c r="BH610">
        <v>6</v>
      </c>
      <c r="BI610">
        <v>0</v>
      </c>
      <c r="BJ610">
        <v>45.928179900000003</v>
      </c>
      <c r="BK610">
        <v>8.5558700000000005</v>
      </c>
      <c r="BL610">
        <v>100</v>
      </c>
      <c r="BM610" t="s">
        <v>83</v>
      </c>
      <c r="BN610" t="s">
        <v>84</v>
      </c>
      <c r="BO610" t="s">
        <v>85</v>
      </c>
      <c r="BP610" t="s">
        <v>107</v>
      </c>
      <c r="BQ610" t="s">
        <v>203</v>
      </c>
      <c r="BR610" t="s">
        <v>819</v>
      </c>
      <c r="BS610">
        <v>617470</v>
      </c>
      <c r="BT610">
        <v>0</v>
      </c>
      <c r="BU610">
        <v>0</v>
      </c>
      <c r="BV610">
        <v>366768</v>
      </c>
      <c r="BW610">
        <v>0</v>
      </c>
      <c r="BX610">
        <v>234703</v>
      </c>
      <c r="BY610">
        <v>15999</v>
      </c>
      <c r="BZ610">
        <v>1</v>
      </c>
      <c r="CA610" t="s">
        <v>820</v>
      </c>
      <c r="CB610" t="s">
        <v>821</v>
      </c>
      <c r="CC610" s="3">
        <v>46092.557106481479</v>
      </c>
      <c r="CD610" t="s">
        <v>91</v>
      </c>
    </row>
    <row r="611" spans="1:82" ht="16" x14ac:dyDescent="0.2">
      <c r="A611" t="s">
        <v>1263</v>
      </c>
      <c r="B611" t="s">
        <v>368</v>
      </c>
      <c r="C611" t="s">
        <v>369</v>
      </c>
      <c r="D611" t="s">
        <v>78</v>
      </c>
      <c r="E611" t="s">
        <v>370</v>
      </c>
      <c r="F611">
        <v>2</v>
      </c>
      <c r="G611">
        <v>50</v>
      </c>
      <c r="H611" t="str">
        <f t="shared" si="64"/>
        <v>2x50</v>
      </c>
      <c r="I611">
        <v>44</v>
      </c>
      <c r="J611" s="4">
        <f t="shared" si="65"/>
        <v>2.2916666666666669E-2</v>
      </c>
      <c r="K611">
        <v>66</v>
      </c>
      <c r="L611" s="4">
        <f t="shared" si="66"/>
        <v>3.4374999999999996E-2</v>
      </c>
      <c r="M611">
        <v>100</v>
      </c>
      <c r="N611" s="4">
        <f t="shared" si="67"/>
        <v>5.2083333333333336E-2</v>
      </c>
      <c r="O611">
        <v>200</v>
      </c>
      <c r="P611" s="4">
        <f t="shared" si="68"/>
        <v>0.10416666666666667</v>
      </c>
      <c r="Q611" s="6" t="str">
        <f t="shared" si="63"/>
        <v>later</v>
      </c>
      <c r="R611" s="6">
        <f t="shared" si="69"/>
        <v>666</v>
      </c>
      <c r="S611">
        <v>77</v>
      </c>
      <c r="T611">
        <v>13</v>
      </c>
      <c r="U611">
        <v>-12</v>
      </c>
      <c r="V611">
        <v>-5</v>
      </c>
      <c r="W611">
        <v>-4</v>
      </c>
      <c r="X611">
        <v>-46</v>
      </c>
      <c r="Y611" s="2" t="s">
        <v>371</v>
      </c>
      <c r="Z611">
        <v>43.549818000000002</v>
      </c>
      <c r="AA611">
        <v>13.511400099999999</v>
      </c>
      <c r="AB611" t="s">
        <v>78</v>
      </c>
      <c r="AC611" t="s">
        <v>81</v>
      </c>
      <c r="AD611" t="s">
        <v>82</v>
      </c>
      <c r="AE611">
        <v>78966</v>
      </c>
      <c r="AF611">
        <v>0</v>
      </c>
      <c r="AG611">
        <v>0</v>
      </c>
      <c r="AH611">
        <v>34317</v>
      </c>
      <c r="AI611">
        <v>12688</v>
      </c>
      <c r="AJ611">
        <v>31961</v>
      </c>
      <c r="AK611">
        <v>0</v>
      </c>
      <c r="AL611">
        <v>301</v>
      </c>
      <c r="AM611">
        <v>3178</v>
      </c>
      <c r="AN611">
        <v>35232</v>
      </c>
      <c r="AO611">
        <v>158297</v>
      </c>
      <c r="AP611">
        <v>0</v>
      </c>
      <c r="AQ611">
        <v>0</v>
      </c>
      <c r="AR611">
        <v>2</v>
      </c>
      <c r="AS611">
        <v>15</v>
      </c>
      <c r="AT611">
        <v>0</v>
      </c>
      <c r="AU611">
        <v>36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7</v>
      </c>
      <c r="BB611">
        <v>19</v>
      </c>
      <c r="BC611">
        <v>1</v>
      </c>
      <c r="BD611">
        <v>2</v>
      </c>
      <c r="BE611">
        <v>0</v>
      </c>
      <c r="BF611">
        <v>2</v>
      </c>
      <c r="BG611">
        <v>2</v>
      </c>
      <c r="BH611">
        <v>2</v>
      </c>
      <c r="BI611">
        <v>2</v>
      </c>
      <c r="BJ611">
        <v>43.549857299999999</v>
      </c>
      <c r="BK611">
        <v>13.511385799999999</v>
      </c>
      <c r="BL611">
        <v>100</v>
      </c>
      <c r="BM611" t="s">
        <v>83</v>
      </c>
      <c r="BN611" t="s">
        <v>84</v>
      </c>
      <c r="BO611" t="s">
        <v>85</v>
      </c>
      <c r="BP611" t="s">
        <v>86</v>
      </c>
      <c r="BQ611" t="s">
        <v>372</v>
      </c>
      <c r="BR611" t="s">
        <v>369</v>
      </c>
      <c r="BS611">
        <v>1579407</v>
      </c>
      <c r="BT611">
        <v>0</v>
      </c>
      <c r="BU611">
        <v>0</v>
      </c>
      <c r="BV611">
        <v>686356</v>
      </c>
      <c r="BW611">
        <v>253776</v>
      </c>
      <c r="BX611">
        <v>639275</v>
      </c>
      <c r="BY611">
        <v>0</v>
      </c>
      <c r="BZ611">
        <v>1</v>
      </c>
      <c r="CA611" t="s">
        <v>373</v>
      </c>
      <c r="CB611" t="s">
        <v>374</v>
      </c>
      <c r="CC611" s="3">
        <v>46092.557106481479</v>
      </c>
      <c r="CD611" t="s">
        <v>91</v>
      </c>
    </row>
    <row r="612" spans="1:82" ht="16" x14ac:dyDescent="0.2">
      <c r="A612" t="s">
        <v>1264</v>
      </c>
      <c r="B612" t="s">
        <v>761</v>
      </c>
      <c r="C612" t="s">
        <v>762</v>
      </c>
      <c r="D612" t="s">
        <v>78</v>
      </c>
      <c r="E612" t="s">
        <v>763</v>
      </c>
      <c r="F612">
        <v>2</v>
      </c>
      <c r="G612">
        <v>50</v>
      </c>
      <c r="H612" t="str">
        <f t="shared" si="64"/>
        <v>2x50</v>
      </c>
      <c r="I612">
        <v>43</v>
      </c>
      <c r="J612" s="4">
        <f t="shared" si="65"/>
        <v>2.2395833333333334E-2</v>
      </c>
      <c r="K612">
        <v>64</v>
      </c>
      <c r="L612" s="4">
        <f t="shared" si="66"/>
        <v>3.3333333333333333E-2</v>
      </c>
      <c r="M612">
        <v>98</v>
      </c>
      <c r="N612" s="4">
        <f t="shared" si="67"/>
        <v>5.1041666666666673E-2</v>
      </c>
      <c r="O612">
        <v>195</v>
      </c>
      <c r="P612" s="4">
        <f t="shared" si="68"/>
        <v>0.1015625</v>
      </c>
      <c r="Q612" s="6" t="str">
        <f t="shared" si="63"/>
        <v>later</v>
      </c>
      <c r="R612" s="6">
        <f t="shared" si="69"/>
        <v>666</v>
      </c>
      <c r="S612">
        <v>77</v>
      </c>
      <c r="T612">
        <v>3</v>
      </c>
      <c r="U612">
        <v>-10</v>
      </c>
      <c r="V612">
        <v>-10</v>
      </c>
      <c r="W612">
        <v>1</v>
      </c>
      <c r="X612">
        <v>-32</v>
      </c>
      <c r="Y612" s="2" t="s">
        <v>764</v>
      </c>
      <c r="Z612">
        <v>45.417378374500203</v>
      </c>
      <c r="AA612">
        <v>9.4286086085931995</v>
      </c>
      <c r="AB612" t="s">
        <v>78</v>
      </c>
      <c r="AC612" t="s">
        <v>81</v>
      </c>
      <c r="AD612" t="s">
        <v>82</v>
      </c>
      <c r="AE612">
        <v>46868</v>
      </c>
      <c r="AF612">
        <v>0</v>
      </c>
      <c r="AG612">
        <v>0</v>
      </c>
      <c r="AH612">
        <v>35740</v>
      </c>
      <c r="AI612">
        <v>0</v>
      </c>
      <c r="AJ612">
        <v>10720</v>
      </c>
      <c r="AK612">
        <v>408</v>
      </c>
      <c r="AL612">
        <v>3532</v>
      </c>
      <c r="AM612">
        <v>12818</v>
      </c>
      <c r="AN612">
        <v>36512</v>
      </c>
      <c r="AO612">
        <v>154116</v>
      </c>
      <c r="AP612">
        <v>0</v>
      </c>
      <c r="AQ612">
        <v>0</v>
      </c>
      <c r="AR612">
        <v>1</v>
      </c>
      <c r="AS612">
        <v>4</v>
      </c>
      <c r="AT612">
        <v>0</v>
      </c>
      <c r="AU612">
        <v>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4</v>
      </c>
      <c r="BB612">
        <v>10</v>
      </c>
      <c r="BC612">
        <v>4</v>
      </c>
      <c r="BD612">
        <v>0</v>
      </c>
      <c r="BE612">
        <v>0</v>
      </c>
      <c r="BF612">
        <v>0</v>
      </c>
      <c r="BG612">
        <v>0</v>
      </c>
      <c r="BH612">
        <v>2</v>
      </c>
      <c r="BI612">
        <v>0</v>
      </c>
      <c r="BJ612">
        <v>45.417318899999998</v>
      </c>
      <c r="BK612">
        <v>9.4285596999999992</v>
      </c>
      <c r="BL612">
        <v>100</v>
      </c>
      <c r="BM612" t="s">
        <v>83</v>
      </c>
      <c r="BN612" t="s">
        <v>84</v>
      </c>
      <c r="BO612" t="s">
        <v>85</v>
      </c>
      <c r="BP612" t="s">
        <v>107</v>
      </c>
      <c r="BQ612" t="s">
        <v>108</v>
      </c>
      <c r="BR612" t="s">
        <v>539</v>
      </c>
      <c r="BS612">
        <v>937470</v>
      </c>
      <c r="BT612">
        <v>0</v>
      </c>
      <c r="BU612">
        <v>0</v>
      </c>
      <c r="BV612">
        <v>714839</v>
      </c>
      <c r="BW612">
        <v>0</v>
      </c>
      <c r="BX612">
        <v>214452</v>
      </c>
      <c r="BY612">
        <v>8179</v>
      </c>
      <c r="BZ612">
        <v>1</v>
      </c>
      <c r="CA612" t="s">
        <v>765</v>
      </c>
      <c r="CB612" t="s">
        <v>766</v>
      </c>
      <c r="CC612" s="3">
        <v>46092.557106481479</v>
      </c>
      <c r="CD612" t="s">
        <v>91</v>
      </c>
    </row>
    <row r="613" spans="1:82" ht="16" x14ac:dyDescent="0.2">
      <c r="A613" t="s">
        <v>1265</v>
      </c>
      <c r="B613" t="s">
        <v>823</v>
      </c>
      <c r="C613" t="s">
        <v>824</v>
      </c>
      <c r="D613" t="s">
        <v>78</v>
      </c>
      <c r="E613" t="s">
        <v>825</v>
      </c>
      <c r="F613">
        <v>2</v>
      </c>
      <c r="G613">
        <v>50</v>
      </c>
      <c r="H613" t="str">
        <f t="shared" si="64"/>
        <v>2x50</v>
      </c>
      <c r="I613">
        <v>43</v>
      </c>
      <c r="J613" s="4">
        <f t="shared" si="65"/>
        <v>2.2395833333333334E-2</v>
      </c>
      <c r="K613">
        <v>64</v>
      </c>
      <c r="L613" s="4">
        <f t="shared" si="66"/>
        <v>3.3333333333333333E-2</v>
      </c>
      <c r="M613">
        <v>98</v>
      </c>
      <c r="N613" s="4">
        <f t="shared" si="67"/>
        <v>5.1041666666666673E-2</v>
      </c>
      <c r="O613">
        <v>195</v>
      </c>
      <c r="P613" s="4">
        <f t="shared" si="68"/>
        <v>0.1015625</v>
      </c>
      <c r="Q613" s="6" t="str">
        <f t="shared" si="63"/>
        <v>later</v>
      </c>
      <c r="R613" s="6">
        <f t="shared" si="69"/>
        <v>666</v>
      </c>
      <c r="S613">
        <v>77</v>
      </c>
      <c r="T613">
        <v>-8</v>
      </c>
      <c r="U613">
        <v>-9</v>
      </c>
      <c r="V613">
        <v>-3</v>
      </c>
      <c r="W613">
        <v>2</v>
      </c>
      <c r="X613">
        <v>-29</v>
      </c>
      <c r="Y613" s="2" t="s">
        <v>826</v>
      </c>
      <c r="Z613">
        <v>45.647728303697697</v>
      </c>
      <c r="AA613">
        <v>12.5471903509229</v>
      </c>
      <c r="AB613" t="s">
        <v>78</v>
      </c>
      <c r="AC613" t="s">
        <v>81</v>
      </c>
      <c r="AD613" t="s">
        <v>82</v>
      </c>
      <c r="AE613">
        <v>33558</v>
      </c>
      <c r="AF613">
        <v>0</v>
      </c>
      <c r="AG613">
        <v>0</v>
      </c>
      <c r="AH613">
        <v>10223</v>
      </c>
      <c r="AI613">
        <v>9827</v>
      </c>
      <c r="AJ613">
        <v>8828</v>
      </c>
      <c r="AK613">
        <v>4680</v>
      </c>
      <c r="AL613">
        <v>4242</v>
      </c>
      <c r="AM613">
        <v>15551</v>
      </c>
      <c r="AN613">
        <v>57063</v>
      </c>
      <c r="AO613">
        <v>98126</v>
      </c>
      <c r="AP613">
        <v>0</v>
      </c>
      <c r="AQ613">
        <v>0</v>
      </c>
      <c r="AR613">
        <v>2</v>
      </c>
      <c r="AS613">
        <v>3</v>
      </c>
      <c r="AT613">
        <v>1</v>
      </c>
      <c r="AU613">
        <v>7</v>
      </c>
      <c r="AV613">
        <v>1</v>
      </c>
      <c r="AW613">
        <v>1</v>
      </c>
      <c r="AX613">
        <v>0</v>
      </c>
      <c r="AY613">
        <v>0</v>
      </c>
      <c r="AZ613">
        <v>0</v>
      </c>
      <c r="BA613">
        <v>4</v>
      </c>
      <c r="BB613">
        <v>17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2</v>
      </c>
      <c r="BI613">
        <v>0</v>
      </c>
      <c r="BJ613">
        <v>45.647742800000003</v>
      </c>
      <c r="BK613">
        <v>12.5471804</v>
      </c>
      <c r="BL613">
        <v>100</v>
      </c>
      <c r="BM613" t="s">
        <v>83</v>
      </c>
      <c r="BN613" t="s">
        <v>84</v>
      </c>
      <c r="BO613" t="s">
        <v>85</v>
      </c>
      <c r="BP613" t="s">
        <v>160</v>
      </c>
      <c r="BQ613" t="s">
        <v>161</v>
      </c>
      <c r="BR613" t="s">
        <v>343</v>
      </c>
      <c r="BS613">
        <v>671309</v>
      </c>
      <c r="BT613">
        <v>0</v>
      </c>
      <c r="BU613">
        <v>0</v>
      </c>
      <c r="BV613">
        <v>204464</v>
      </c>
      <c r="BW613">
        <v>196554</v>
      </c>
      <c r="BX613">
        <v>176648</v>
      </c>
      <c r="BY613">
        <v>93643</v>
      </c>
      <c r="BZ613">
        <v>1</v>
      </c>
      <c r="CA613" t="s">
        <v>827</v>
      </c>
      <c r="CB613" t="s">
        <v>828</v>
      </c>
      <c r="CC613" s="3">
        <v>46092.557106481479</v>
      </c>
      <c r="CD613" t="s">
        <v>91</v>
      </c>
    </row>
    <row r="614" spans="1:82" ht="16" x14ac:dyDescent="0.2">
      <c r="A614" t="s">
        <v>1266</v>
      </c>
      <c r="B614" t="s">
        <v>943</v>
      </c>
      <c r="C614" t="s">
        <v>944</v>
      </c>
      <c r="D614" t="s">
        <v>78</v>
      </c>
      <c r="E614" t="s">
        <v>945</v>
      </c>
      <c r="F614">
        <v>2</v>
      </c>
      <c r="G614">
        <v>50</v>
      </c>
      <c r="H614" t="str">
        <f t="shared" si="64"/>
        <v>2x50</v>
      </c>
      <c r="I614">
        <v>42</v>
      </c>
      <c r="J614" s="4">
        <f t="shared" si="65"/>
        <v>2.1875000000000002E-2</v>
      </c>
      <c r="K614">
        <v>64</v>
      </c>
      <c r="L614" s="4">
        <f t="shared" si="66"/>
        <v>3.3333333333333333E-2</v>
      </c>
      <c r="M614">
        <v>97</v>
      </c>
      <c r="N614" s="4">
        <f t="shared" si="67"/>
        <v>5.0520833333333327E-2</v>
      </c>
      <c r="O614">
        <v>194</v>
      </c>
      <c r="P614" s="4">
        <f t="shared" si="68"/>
        <v>0.10104166666666665</v>
      </c>
      <c r="Q614" s="6" t="str">
        <f t="shared" si="63"/>
        <v>later</v>
      </c>
      <c r="R614" s="6">
        <f t="shared" si="69"/>
        <v>666</v>
      </c>
      <c r="S614">
        <v>77</v>
      </c>
      <c r="T614">
        <v>-17</v>
      </c>
      <c r="U614">
        <v>-7</v>
      </c>
      <c r="V614">
        <v>9</v>
      </c>
      <c r="W614">
        <v>-3</v>
      </c>
      <c r="X614">
        <v>-28</v>
      </c>
      <c r="Y614" s="2" t="s">
        <v>946</v>
      </c>
      <c r="Z614">
        <v>42.03931</v>
      </c>
      <c r="AA614">
        <v>13.42216</v>
      </c>
      <c r="AB614" t="s">
        <v>78</v>
      </c>
      <c r="AC614" t="s">
        <v>81</v>
      </c>
      <c r="AD614" t="s">
        <v>82</v>
      </c>
      <c r="AE614">
        <v>16751</v>
      </c>
      <c r="AF614">
        <v>0</v>
      </c>
      <c r="AG614">
        <v>0</v>
      </c>
      <c r="AH614">
        <v>12529</v>
      </c>
      <c r="AI614">
        <v>0</v>
      </c>
      <c r="AJ614">
        <v>0</v>
      </c>
      <c r="AK614">
        <v>4222</v>
      </c>
      <c r="AL614">
        <v>12259</v>
      </c>
      <c r="AM614">
        <v>30237</v>
      </c>
      <c r="AN614">
        <v>41746</v>
      </c>
      <c r="AO614">
        <v>61317</v>
      </c>
      <c r="AP614">
        <v>7</v>
      </c>
      <c r="AQ614">
        <v>0</v>
      </c>
      <c r="AR614">
        <v>7</v>
      </c>
      <c r="AS614">
        <v>6</v>
      </c>
      <c r="AT614">
        <v>1</v>
      </c>
      <c r="AU614">
        <v>27</v>
      </c>
      <c r="AV614">
        <v>8</v>
      </c>
      <c r="AW614">
        <v>1</v>
      </c>
      <c r="AX614">
        <v>0</v>
      </c>
      <c r="AY614">
        <v>1</v>
      </c>
      <c r="AZ614">
        <v>2</v>
      </c>
      <c r="BA614">
        <v>6</v>
      </c>
      <c r="BB614">
        <v>14</v>
      </c>
      <c r="BC614">
        <v>1</v>
      </c>
      <c r="BD614">
        <v>2</v>
      </c>
      <c r="BE614">
        <v>0</v>
      </c>
      <c r="BF614">
        <v>4</v>
      </c>
      <c r="BG614">
        <v>0</v>
      </c>
      <c r="BH614">
        <v>8</v>
      </c>
      <c r="BI614">
        <v>0</v>
      </c>
      <c r="BJ614">
        <v>42.039415499999997</v>
      </c>
      <c r="BK614">
        <v>13.422079699999999</v>
      </c>
      <c r="BL614">
        <v>100</v>
      </c>
      <c r="BM614" t="s">
        <v>83</v>
      </c>
      <c r="BN614" t="s">
        <v>84</v>
      </c>
      <c r="BO614" t="s">
        <v>85</v>
      </c>
      <c r="BP614" t="s">
        <v>97</v>
      </c>
      <c r="BQ614" t="s">
        <v>870</v>
      </c>
      <c r="BR614" t="s">
        <v>910</v>
      </c>
      <c r="BS614">
        <v>299077</v>
      </c>
      <c r="BT614">
        <v>0</v>
      </c>
      <c r="BU614">
        <v>0</v>
      </c>
      <c r="BV614">
        <v>214629</v>
      </c>
      <c r="BW614">
        <v>0</v>
      </c>
      <c r="BX614">
        <v>0</v>
      </c>
      <c r="BY614">
        <v>84448</v>
      </c>
      <c r="BZ614">
        <v>1</v>
      </c>
      <c r="CA614" t="s">
        <v>947</v>
      </c>
      <c r="CB614" t="s">
        <v>948</v>
      </c>
      <c r="CC614" s="3">
        <v>46092.557106481479</v>
      </c>
      <c r="CD614" t="s">
        <v>91</v>
      </c>
    </row>
    <row r="615" spans="1:82" ht="16" x14ac:dyDescent="0.2">
      <c r="A615" t="s">
        <v>1267</v>
      </c>
      <c r="B615" t="s">
        <v>882</v>
      </c>
      <c r="C615" t="s">
        <v>883</v>
      </c>
      <c r="D615" t="s">
        <v>78</v>
      </c>
      <c r="E615" t="s">
        <v>884</v>
      </c>
      <c r="F615">
        <v>2</v>
      </c>
      <c r="G615">
        <v>50</v>
      </c>
      <c r="H615" t="str">
        <f t="shared" si="64"/>
        <v>2x50</v>
      </c>
      <c r="I615">
        <v>42</v>
      </c>
      <c r="J615" s="4">
        <f t="shared" si="65"/>
        <v>2.1875000000000002E-2</v>
      </c>
      <c r="K615">
        <v>64</v>
      </c>
      <c r="L615" s="4">
        <f t="shared" si="66"/>
        <v>3.3333333333333333E-2</v>
      </c>
      <c r="M615">
        <v>96</v>
      </c>
      <c r="N615" s="4">
        <f t="shared" si="67"/>
        <v>4.9999999999999996E-2</v>
      </c>
      <c r="O615">
        <v>192</v>
      </c>
      <c r="P615" s="4">
        <f t="shared" si="68"/>
        <v>9.9999999999999992E-2</v>
      </c>
      <c r="Q615" s="6" t="str">
        <f t="shared" si="63"/>
        <v>later</v>
      </c>
      <c r="R615" s="6">
        <f t="shared" si="69"/>
        <v>666</v>
      </c>
      <c r="S615">
        <v>77</v>
      </c>
      <c r="T615">
        <v>-8</v>
      </c>
      <c r="U615">
        <v>-8</v>
      </c>
      <c r="V615">
        <v>-5</v>
      </c>
      <c r="W615">
        <v>2</v>
      </c>
      <c r="X615">
        <v>-27</v>
      </c>
      <c r="Y615" s="2" t="s">
        <v>885</v>
      </c>
      <c r="Z615">
        <v>43.859022699999997</v>
      </c>
      <c r="AA615">
        <v>10.763140699999999</v>
      </c>
      <c r="AB615" t="s">
        <v>78</v>
      </c>
      <c r="AC615" t="s">
        <v>81</v>
      </c>
      <c r="AD615" t="s">
        <v>82</v>
      </c>
      <c r="AE615">
        <v>22201</v>
      </c>
      <c r="AF615">
        <v>0</v>
      </c>
      <c r="AG615">
        <v>0</v>
      </c>
      <c r="AH615">
        <v>0</v>
      </c>
      <c r="AI615">
        <v>0</v>
      </c>
      <c r="AJ615">
        <v>22201</v>
      </c>
      <c r="AK615">
        <v>0</v>
      </c>
      <c r="AL615">
        <v>1564</v>
      </c>
      <c r="AM615">
        <v>9855</v>
      </c>
      <c r="AN615">
        <v>73885</v>
      </c>
      <c r="AO615">
        <v>139401</v>
      </c>
      <c r="AP615">
        <v>0</v>
      </c>
      <c r="AQ615">
        <v>0</v>
      </c>
      <c r="AR615">
        <v>1</v>
      </c>
      <c r="AS615">
        <v>7</v>
      </c>
      <c r="AT615">
        <v>0</v>
      </c>
      <c r="AU615">
        <v>17</v>
      </c>
      <c r="AV615">
        <v>1</v>
      </c>
      <c r="AW615">
        <v>0</v>
      </c>
      <c r="AX615">
        <v>0</v>
      </c>
      <c r="AY615">
        <v>0</v>
      </c>
      <c r="AZ615">
        <v>1</v>
      </c>
      <c r="BA615">
        <v>11</v>
      </c>
      <c r="BB615">
        <v>15</v>
      </c>
      <c r="BC615">
        <v>9</v>
      </c>
      <c r="BD615">
        <v>2</v>
      </c>
      <c r="BE615">
        <v>0</v>
      </c>
      <c r="BF615">
        <v>2</v>
      </c>
      <c r="BG615">
        <v>0</v>
      </c>
      <c r="BH615">
        <v>2</v>
      </c>
      <c r="BI615">
        <v>0</v>
      </c>
      <c r="BJ615">
        <v>43.859012300000003</v>
      </c>
      <c r="BK615">
        <v>10.763164700000001</v>
      </c>
      <c r="BL615">
        <v>100</v>
      </c>
      <c r="BM615" t="s">
        <v>83</v>
      </c>
      <c r="BN615" t="s">
        <v>84</v>
      </c>
      <c r="BO615" t="s">
        <v>85</v>
      </c>
      <c r="BP615" t="s">
        <v>86</v>
      </c>
      <c r="BQ615" t="s">
        <v>212</v>
      </c>
      <c r="BR615" t="s">
        <v>886</v>
      </c>
      <c r="BS615">
        <v>444130</v>
      </c>
      <c r="BT615">
        <v>0</v>
      </c>
      <c r="BU615">
        <v>0</v>
      </c>
      <c r="BV615">
        <v>0</v>
      </c>
      <c r="BW615">
        <v>0</v>
      </c>
      <c r="BX615">
        <v>444130</v>
      </c>
      <c r="BY615">
        <v>0</v>
      </c>
      <c r="BZ615">
        <v>1</v>
      </c>
      <c r="CA615" t="s">
        <v>887</v>
      </c>
      <c r="CB615" t="s">
        <v>888</v>
      </c>
      <c r="CC615" s="3">
        <v>46092.557106481479</v>
      </c>
      <c r="CD615" t="s">
        <v>91</v>
      </c>
    </row>
    <row r="616" spans="1:82" ht="16" x14ac:dyDescent="0.2">
      <c r="A616" t="s">
        <v>1268</v>
      </c>
      <c r="B616" t="s">
        <v>899</v>
      </c>
      <c r="C616" t="s">
        <v>900</v>
      </c>
      <c r="D616" t="s">
        <v>78</v>
      </c>
      <c r="E616" t="s">
        <v>901</v>
      </c>
      <c r="F616">
        <v>2</v>
      </c>
      <c r="G616">
        <v>50</v>
      </c>
      <c r="H616" t="str">
        <f t="shared" si="64"/>
        <v>2x50</v>
      </c>
      <c r="I616">
        <v>42</v>
      </c>
      <c r="J616" s="4">
        <f t="shared" si="65"/>
        <v>2.1875000000000002E-2</v>
      </c>
      <c r="K616">
        <v>63</v>
      </c>
      <c r="L616" s="4">
        <f t="shared" si="66"/>
        <v>3.2812500000000001E-2</v>
      </c>
      <c r="M616">
        <v>96</v>
      </c>
      <c r="N616" s="4">
        <f t="shared" si="67"/>
        <v>4.9999999999999996E-2</v>
      </c>
      <c r="O616">
        <v>191</v>
      </c>
      <c r="P616" s="4">
        <f t="shared" si="68"/>
        <v>9.9479166666666674E-2</v>
      </c>
      <c r="Q616" s="6" t="str">
        <f t="shared" si="63"/>
        <v>later</v>
      </c>
      <c r="R616" s="6">
        <f t="shared" si="69"/>
        <v>666</v>
      </c>
      <c r="S616">
        <v>77</v>
      </c>
      <c r="T616">
        <v>-19</v>
      </c>
      <c r="U616">
        <v>-7</v>
      </c>
      <c r="V616">
        <v>5</v>
      </c>
      <c r="W616">
        <v>1</v>
      </c>
      <c r="X616">
        <v>-28</v>
      </c>
      <c r="Y616" s="2" t="s">
        <v>902</v>
      </c>
      <c r="Z616">
        <v>45.033625767784002</v>
      </c>
      <c r="AA616">
        <v>11.7774479355824</v>
      </c>
      <c r="AB616" t="s">
        <v>78</v>
      </c>
      <c r="AC616" t="s">
        <v>81</v>
      </c>
      <c r="AD616" t="s">
        <v>82</v>
      </c>
      <c r="AE616">
        <v>15439</v>
      </c>
      <c r="AF616">
        <v>0</v>
      </c>
      <c r="AG616">
        <v>0</v>
      </c>
      <c r="AH616">
        <v>8055</v>
      </c>
      <c r="AI616">
        <v>0</v>
      </c>
      <c r="AJ616">
        <v>7384</v>
      </c>
      <c r="AK616">
        <v>0</v>
      </c>
      <c r="AL616">
        <v>546</v>
      </c>
      <c r="AM616">
        <v>3668</v>
      </c>
      <c r="AN616">
        <v>37187</v>
      </c>
      <c r="AO616">
        <v>76687</v>
      </c>
      <c r="AP616">
        <v>1</v>
      </c>
      <c r="AQ616">
        <v>0</v>
      </c>
      <c r="AR616">
        <v>12</v>
      </c>
      <c r="AS616">
        <v>13</v>
      </c>
      <c r="AT616">
        <v>0</v>
      </c>
      <c r="AU616">
        <v>25</v>
      </c>
      <c r="AV616">
        <v>2</v>
      </c>
      <c r="AW616">
        <v>0</v>
      </c>
      <c r="AX616">
        <v>0</v>
      </c>
      <c r="AY616">
        <v>0</v>
      </c>
      <c r="AZ616">
        <v>0</v>
      </c>
      <c r="BA616">
        <v>4</v>
      </c>
      <c r="BB616">
        <v>7</v>
      </c>
      <c r="BC616">
        <v>4</v>
      </c>
      <c r="BD616">
        <v>2</v>
      </c>
      <c r="BE616">
        <v>0</v>
      </c>
      <c r="BF616">
        <v>2</v>
      </c>
      <c r="BG616">
        <v>0</v>
      </c>
      <c r="BH616">
        <v>2</v>
      </c>
      <c r="BI616">
        <v>0</v>
      </c>
      <c r="BJ616">
        <v>45.033762600000003</v>
      </c>
      <c r="BK616">
        <v>11.7775178</v>
      </c>
      <c r="BL616">
        <v>100</v>
      </c>
      <c r="BM616" t="s">
        <v>83</v>
      </c>
      <c r="BN616" t="s">
        <v>84</v>
      </c>
      <c r="BO616" t="s">
        <v>85</v>
      </c>
      <c r="BP616" t="s">
        <v>160</v>
      </c>
      <c r="BQ616" t="s">
        <v>161</v>
      </c>
      <c r="BR616" t="s">
        <v>900</v>
      </c>
      <c r="BS616">
        <v>292820</v>
      </c>
      <c r="BT616">
        <v>0</v>
      </c>
      <c r="BU616">
        <v>0</v>
      </c>
      <c r="BV616">
        <v>161105</v>
      </c>
      <c r="BW616">
        <v>0</v>
      </c>
      <c r="BX616">
        <v>131715</v>
      </c>
      <c r="BY616">
        <v>0</v>
      </c>
      <c r="BZ616">
        <v>1</v>
      </c>
      <c r="CA616" t="s">
        <v>903</v>
      </c>
      <c r="CB616" t="s">
        <v>904</v>
      </c>
      <c r="CC616" s="3">
        <v>46092.557106481479</v>
      </c>
      <c r="CD616" t="s">
        <v>91</v>
      </c>
    </row>
    <row r="617" spans="1:82" ht="16" x14ac:dyDescent="0.2">
      <c r="A617" t="s">
        <v>1269</v>
      </c>
      <c r="B617" t="s">
        <v>682</v>
      </c>
      <c r="C617" t="s">
        <v>683</v>
      </c>
      <c r="D617" t="s">
        <v>78</v>
      </c>
      <c r="E617" t="s">
        <v>684</v>
      </c>
      <c r="F617">
        <v>2</v>
      </c>
      <c r="G617">
        <v>50</v>
      </c>
      <c r="H617" t="str">
        <f t="shared" si="64"/>
        <v>2x50</v>
      </c>
      <c r="I617">
        <v>42</v>
      </c>
      <c r="J617" s="4">
        <f t="shared" si="65"/>
        <v>2.1875000000000002E-2</v>
      </c>
      <c r="K617">
        <v>63</v>
      </c>
      <c r="L617" s="4">
        <f t="shared" si="66"/>
        <v>3.2812500000000001E-2</v>
      </c>
      <c r="M617">
        <v>95</v>
      </c>
      <c r="N617" s="4">
        <f t="shared" si="67"/>
        <v>4.9479166666666664E-2</v>
      </c>
      <c r="O617">
        <v>190</v>
      </c>
      <c r="P617" s="4">
        <f t="shared" si="68"/>
        <v>9.8958333333333329E-2</v>
      </c>
      <c r="Q617" s="6" t="str">
        <f t="shared" si="63"/>
        <v>later</v>
      </c>
      <c r="R617" s="6">
        <f t="shared" si="69"/>
        <v>666</v>
      </c>
      <c r="S617">
        <v>77</v>
      </c>
      <c r="T617">
        <v>19</v>
      </c>
      <c r="U617">
        <v>-16</v>
      </c>
      <c r="V617">
        <v>-11</v>
      </c>
      <c r="W617">
        <v>-5</v>
      </c>
      <c r="X617">
        <v>-40</v>
      </c>
      <c r="Y617" s="2" t="s">
        <v>685</v>
      </c>
      <c r="Z617">
        <v>45.506599999999999</v>
      </c>
      <c r="AA617">
        <v>12.63334</v>
      </c>
      <c r="AB617" t="s">
        <v>78</v>
      </c>
      <c r="AC617" t="s">
        <v>81</v>
      </c>
      <c r="AD617" t="s">
        <v>82</v>
      </c>
      <c r="AE617">
        <v>54684</v>
      </c>
      <c r="AF617">
        <v>0</v>
      </c>
      <c r="AG617">
        <v>0</v>
      </c>
      <c r="AH617">
        <v>0</v>
      </c>
      <c r="AI617">
        <v>22591</v>
      </c>
      <c r="AJ617">
        <v>10663</v>
      </c>
      <c r="AK617">
        <v>21430</v>
      </c>
      <c r="AL617">
        <v>2652</v>
      </c>
      <c r="AM617">
        <v>6011</v>
      </c>
      <c r="AN617">
        <v>21319</v>
      </c>
      <c r="AO617">
        <v>36316</v>
      </c>
      <c r="AP617">
        <v>5</v>
      </c>
      <c r="AQ617">
        <v>5</v>
      </c>
      <c r="AR617">
        <v>4</v>
      </c>
      <c r="AS617">
        <v>9</v>
      </c>
      <c r="AT617">
        <v>0</v>
      </c>
      <c r="AU617">
        <v>28</v>
      </c>
      <c r="AV617">
        <v>0</v>
      </c>
      <c r="AW617">
        <v>2</v>
      </c>
      <c r="AX617">
        <v>1</v>
      </c>
      <c r="AY617">
        <v>0</v>
      </c>
      <c r="AZ617">
        <v>2</v>
      </c>
      <c r="BA617">
        <v>17</v>
      </c>
      <c r="BB617">
        <v>28</v>
      </c>
      <c r="BC617">
        <v>14</v>
      </c>
      <c r="BD617">
        <v>0</v>
      </c>
      <c r="BE617">
        <v>0</v>
      </c>
      <c r="BF617">
        <v>0</v>
      </c>
      <c r="BG617">
        <v>2</v>
      </c>
      <c r="BH617">
        <v>0</v>
      </c>
      <c r="BI617">
        <v>2</v>
      </c>
      <c r="BJ617">
        <v>45.506634599999998</v>
      </c>
      <c r="BK617">
        <v>12.6333669</v>
      </c>
      <c r="BL617">
        <v>100</v>
      </c>
      <c r="BM617" t="s">
        <v>83</v>
      </c>
      <c r="BN617" t="s">
        <v>84</v>
      </c>
      <c r="BO617" t="s">
        <v>85</v>
      </c>
      <c r="BP617" t="s">
        <v>160</v>
      </c>
      <c r="BQ617" t="s">
        <v>161</v>
      </c>
      <c r="BR617" t="s">
        <v>343</v>
      </c>
      <c r="BS617">
        <v>1035423</v>
      </c>
      <c r="BT617">
        <v>0</v>
      </c>
      <c r="BU617">
        <v>0</v>
      </c>
      <c r="BV617">
        <v>0</v>
      </c>
      <c r="BW617">
        <v>451844</v>
      </c>
      <c r="BX617">
        <v>213278</v>
      </c>
      <c r="BY617">
        <v>370301</v>
      </c>
      <c r="BZ617">
        <v>1</v>
      </c>
      <c r="CA617" t="s">
        <v>686</v>
      </c>
      <c r="CB617" t="s">
        <v>687</v>
      </c>
      <c r="CC617" s="3">
        <v>46092.557106481479</v>
      </c>
      <c r="CD617" t="s">
        <v>91</v>
      </c>
    </row>
    <row r="618" spans="1:82" ht="16" x14ac:dyDescent="0.2">
      <c r="A618" t="s">
        <v>1270</v>
      </c>
      <c r="B618" t="s">
        <v>830</v>
      </c>
      <c r="C618" t="s">
        <v>831</v>
      </c>
      <c r="D618" t="s">
        <v>78</v>
      </c>
      <c r="E618" t="s">
        <v>832</v>
      </c>
      <c r="F618">
        <v>2</v>
      </c>
      <c r="G618">
        <v>50</v>
      </c>
      <c r="H618" t="str">
        <f t="shared" si="64"/>
        <v>2x50</v>
      </c>
      <c r="I618">
        <v>41</v>
      </c>
      <c r="J618" s="4">
        <f t="shared" si="65"/>
        <v>2.1354166666666664E-2</v>
      </c>
      <c r="K618">
        <v>62</v>
      </c>
      <c r="L618" s="4">
        <f t="shared" si="66"/>
        <v>3.229166666666667E-2</v>
      </c>
      <c r="M618">
        <v>93</v>
      </c>
      <c r="N618" s="4">
        <f t="shared" si="67"/>
        <v>4.8437500000000001E-2</v>
      </c>
      <c r="O618">
        <v>186</v>
      </c>
      <c r="P618" s="4">
        <f t="shared" si="68"/>
        <v>9.6875000000000003E-2</v>
      </c>
      <c r="Q618" s="6" t="str">
        <f t="shared" si="63"/>
        <v>later</v>
      </c>
      <c r="R618" s="6">
        <f t="shared" si="69"/>
        <v>666</v>
      </c>
      <c r="S618">
        <v>77</v>
      </c>
      <c r="T618">
        <v>-4</v>
      </c>
      <c r="U618">
        <v>-9</v>
      </c>
      <c r="V618">
        <v>-4</v>
      </c>
      <c r="W618">
        <v>-3</v>
      </c>
      <c r="X618">
        <v>-28</v>
      </c>
      <c r="Y618" s="2" t="s">
        <v>833</v>
      </c>
      <c r="Z618">
        <v>45.872947749679298</v>
      </c>
      <c r="AA618">
        <v>11.021234777912101</v>
      </c>
      <c r="AB618" t="s">
        <v>78</v>
      </c>
      <c r="AC618" t="s">
        <v>81</v>
      </c>
      <c r="AD618" t="s">
        <v>82</v>
      </c>
      <c r="AE618">
        <v>34913</v>
      </c>
      <c r="AF618">
        <v>0</v>
      </c>
      <c r="AG618">
        <v>0</v>
      </c>
      <c r="AH618">
        <v>20436</v>
      </c>
      <c r="AI618">
        <v>1858</v>
      </c>
      <c r="AJ618">
        <v>11468</v>
      </c>
      <c r="AK618">
        <v>1151</v>
      </c>
      <c r="AL618">
        <v>3395</v>
      </c>
      <c r="AM618">
        <v>17249</v>
      </c>
      <c r="AN618">
        <v>54861</v>
      </c>
      <c r="AO618">
        <v>79745</v>
      </c>
      <c r="AP618">
        <v>0</v>
      </c>
      <c r="AQ618">
        <v>1</v>
      </c>
      <c r="AR618">
        <v>2</v>
      </c>
      <c r="AS618">
        <v>2</v>
      </c>
      <c r="AT618">
        <v>1</v>
      </c>
      <c r="AU618">
        <v>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</v>
      </c>
      <c r="BB618">
        <v>8</v>
      </c>
      <c r="BC618">
        <v>2</v>
      </c>
      <c r="BD618">
        <v>2</v>
      </c>
      <c r="BE618">
        <v>0</v>
      </c>
      <c r="BF618">
        <v>2</v>
      </c>
      <c r="BG618">
        <v>0</v>
      </c>
      <c r="BH618">
        <v>6</v>
      </c>
      <c r="BI618">
        <v>0</v>
      </c>
      <c r="BJ618">
        <v>45.8731133</v>
      </c>
      <c r="BK618">
        <v>11.020969900000001</v>
      </c>
      <c r="BL618">
        <v>100</v>
      </c>
      <c r="BM618" t="s">
        <v>83</v>
      </c>
      <c r="BN618" t="s">
        <v>84</v>
      </c>
      <c r="BO618" t="s">
        <v>85</v>
      </c>
      <c r="BP618" t="s">
        <v>160</v>
      </c>
      <c r="BQ618" t="s">
        <v>794</v>
      </c>
      <c r="BR618" t="s">
        <v>791</v>
      </c>
      <c r="BS618">
        <v>698353</v>
      </c>
      <c r="BT618">
        <v>0</v>
      </c>
      <c r="BU618">
        <v>0</v>
      </c>
      <c r="BV618">
        <v>408767</v>
      </c>
      <c r="BW618">
        <v>37161</v>
      </c>
      <c r="BX618">
        <v>229386</v>
      </c>
      <c r="BY618">
        <v>23039</v>
      </c>
      <c r="BZ618">
        <v>1</v>
      </c>
      <c r="CA618" t="s">
        <v>834</v>
      </c>
      <c r="CB618" t="s">
        <v>835</v>
      </c>
      <c r="CC618" s="3">
        <v>46092.557106481479</v>
      </c>
      <c r="CD618" t="s">
        <v>91</v>
      </c>
    </row>
    <row r="619" spans="1:82" ht="16" x14ac:dyDescent="0.2">
      <c r="A619" t="s">
        <v>1271</v>
      </c>
      <c r="B619" t="s">
        <v>906</v>
      </c>
      <c r="C619" t="s">
        <v>907</v>
      </c>
      <c r="D619" t="s">
        <v>78</v>
      </c>
      <c r="E619" t="s">
        <v>908</v>
      </c>
      <c r="F619">
        <v>2</v>
      </c>
      <c r="G619">
        <v>50</v>
      </c>
      <c r="H619" t="str">
        <f t="shared" si="64"/>
        <v>2x50</v>
      </c>
      <c r="I619">
        <v>40</v>
      </c>
      <c r="J619" s="4">
        <f t="shared" si="65"/>
        <v>2.0833333333333332E-2</v>
      </c>
      <c r="K619">
        <v>60</v>
      </c>
      <c r="L619" s="4">
        <f t="shared" si="66"/>
        <v>3.125E-2</v>
      </c>
      <c r="M619">
        <v>91</v>
      </c>
      <c r="N619" s="4">
        <f t="shared" si="67"/>
        <v>4.7395833333333331E-2</v>
      </c>
      <c r="O619">
        <v>181</v>
      </c>
      <c r="P619" s="4">
        <f t="shared" si="68"/>
        <v>9.4270833333333345E-2</v>
      </c>
      <c r="Q619" s="6" t="str">
        <f t="shared" si="63"/>
        <v>later</v>
      </c>
      <c r="R619" s="6">
        <f t="shared" si="69"/>
        <v>666</v>
      </c>
      <c r="S619">
        <v>77</v>
      </c>
      <c r="T619">
        <v>-18</v>
      </c>
      <c r="U619">
        <v>-7</v>
      </c>
      <c r="V619">
        <v>4</v>
      </c>
      <c r="W619">
        <v>0</v>
      </c>
      <c r="X619">
        <v>-26</v>
      </c>
      <c r="Y619" s="2" t="s">
        <v>909</v>
      </c>
      <c r="Z619">
        <v>42.348129999999998</v>
      </c>
      <c r="AA619">
        <v>13.351430000000001</v>
      </c>
      <c r="AB619" t="s">
        <v>78</v>
      </c>
      <c r="AC619" t="s">
        <v>81</v>
      </c>
      <c r="AD619" t="s">
        <v>82</v>
      </c>
      <c r="AE619">
        <v>1928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1928</v>
      </c>
      <c r="AL619">
        <v>254</v>
      </c>
      <c r="AM619">
        <v>2747</v>
      </c>
      <c r="AN619">
        <v>35329</v>
      </c>
      <c r="AO619">
        <v>75093</v>
      </c>
      <c r="AP619">
        <v>1</v>
      </c>
      <c r="AQ619">
        <v>0</v>
      </c>
      <c r="AR619">
        <v>4</v>
      </c>
      <c r="AS619">
        <v>14</v>
      </c>
      <c r="AT619">
        <v>1</v>
      </c>
      <c r="AU619">
        <v>15</v>
      </c>
      <c r="AV619">
        <v>1</v>
      </c>
      <c r="AW619">
        <v>0</v>
      </c>
      <c r="AX619">
        <v>0</v>
      </c>
      <c r="AY619">
        <v>1</v>
      </c>
      <c r="AZ619">
        <v>3</v>
      </c>
      <c r="BA619">
        <v>6</v>
      </c>
      <c r="BB619">
        <v>10</v>
      </c>
      <c r="BC619">
        <v>2</v>
      </c>
      <c r="BD619">
        <v>4</v>
      </c>
      <c r="BE619">
        <v>0</v>
      </c>
      <c r="BF619">
        <v>4</v>
      </c>
      <c r="BG619">
        <v>0</v>
      </c>
      <c r="BH619">
        <v>4</v>
      </c>
      <c r="BI619">
        <v>0</v>
      </c>
      <c r="BJ619">
        <v>42.348097500000002</v>
      </c>
      <c r="BK619">
        <v>13.351402800000001</v>
      </c>
      <c r="BL619">
        <v>100</v>
      </c>
      <c r="BM619" t="s">
        <v>83</v>
      </c>
      <c r="BN619" t="s">
        <v>84</v>
      </c>
      <c r="BO619" t="s">
        <v>85</v>
      </c>
      <c r="BP619" t="s">
        <v>97</v>
      </c>
      <c r="BQ619" t="s">
        <v>870</v>
      </c>
      <c r="BR619" t="s">
        <v>910</v>
      </c>
      <c r="BS619">
        <v>38573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38573</v>
      </c>
      <c r="BZ619">
        <v>1</v>
      </c>
      <c r="CA619" t="s">
        <v>911</v>
      </c>
      <c r="CB619" t="s">
        <v>912</v>
      </c>
      <c r="CC619" s="3">
        <v>46092.557106481479</v>
      </c>
      <c r="CD619" t="s">
        <v>91</v>
      </c>
    </row>
    <row r="620" spans="1:82" ht="16" x14ac:dyDescent="0.2">
      <c r="A620" t="s">
        <v>1272</v>
      </c>
      <c r="B620" t="s">
        <v>710</v>
      </c>
      <c r="C620" t="s">
        <v>711</v>
      </c>
      <c r="D620" t="s">
        <v>78</v>
      </c>
      <c r="E620" t="s">
        <v>712</v>
      </c>
      <c r="F620">
        <v>2</v>
      </c>
      <c r="G620">
        <v>50</v>
      </c>
      <c r="H620" t="str">
        <f t="shared" si="64"/>
        <v>2x50</v>
      </c>
      <c r="I620">
        <v>38</v>
      </c>
      <c r="J620" s="4">
        <f t="shared" si="65"/>
        <v>1.9791666666666666E-2</v>
      </c>
      <c r="K620">
        <v>58</v>
      </c>
      <c r="L620" s="4">
        <f t="shared" si="66"/>
        <v>3.0208333333333334E-2</v>
      </c>
      <c r="M620">
        <v>88</v>
      </c>
      <c r="N620" s="4">
        <f t="shared" si="67"/>
        <v>4.5833333333333337E-2</v>
      </c>
      <c r="O620">
        <v>176</v>
      </c>
      <c r="P620" s="4">
        <f t="shared" si="68"/>
        <v>9.1666666666666674E-2</v>
      </c>
      <c r="Q620" s="6" t="str">
        <f t="shared" si="63"/>
        <v>later</v>
      </c>
      <c r="R620" s="6">
        <f t="shared" si="69"/>
        <v>666</v>
      </c>
      <c r="S620">
        <v>77</v>
      </c>
      <c r="T620">
        <v>15</v>
      </c>
      <c r="U620">
        <v>-13</v>
      </c>
      <c r="V620">
        <v>-9</v>
      </c>
      <c r="W620">
        <v>-9</v>
      </c>
      <c r="X620">
        <v>-40</v>
      </c>
      <c r="Y620" s="2" t="s">
        <v>713</v>
      </c>
      <c r="Z620">
        <v>44.8507800324629</v>
      </c>
      <c r="AA620">
        <v>11.5884411336803</v>
      </c>
      <c r="AB620" t="s">
        <v>78</v>
      </c>
      <c r="AC620" t="s">
        <v>81</v>
      </c>
      <c r="AD620" t="s">
        <v>82</v>
      </c>
      <c r="AE620">
        <v>60912</v>
      </c>
      <c r="AF620">
        <v>0</v>
      </c>
      <c r="AG620">
        <v>0</v>
      </c>
      <c r="AH620">
        <v>36566</v>
      </c>
      <c r="AI620">
        <v>17769</v>
      </c>
      <c r="AJ620">
        <v>6049</v>
      </c>
      <c r="AK620">
        <v>528</v>
      </c>
      <c r="AL620">
        <v>3028</v>
      </c>
      <c r="AM620">
        <v>14887</v>
      </c>
      <c r="AN620">
        <v>91778</v>
      </c>
      <c r="AO620">
        <v>137478</v>
      </c>
      <c r="AP620">
        <v>1</v>
      </c>
      <c r="AQ620">
        <v>0</v>
      </c>
      <c r="AR620">
        <v>3</v>
      </c>
      <c r="AS620">
        <v>9</v>
      </c>
      <c r="AT620">
        <v>2</v>
      </c>
      <c r="AU620">
        <v>30</v>
      </c>
      <c r="AV620">
        <v>1</v>
      </c>
      <c r="AW620">
        <v>0</v>
      </c>
      <c r="AX620">
        <v>0</v>
      </c>
      <c r="AY620">
        <v>0</v>
      </c>
      <c r="AZ620">
        <v>1</v>
      </c>
      <c r="BA620">
        <v>9</v>
      </c>
      <c r="BB620">
        <v>35</v>
      </c>
      <c r="BC620">
        <v>5</v>
      </c>
      <c r="BD620">
        <v>0</v>
      </c>
      <c r="BE620">
        <v>2</v>
      </c>
      <c r="BF620">
        <v>2</v>
      </c>
      <c r="BG620">
        <v>2</v>
      </c>
      <c r="BH620">
        <v>16</v>
      </c>
      <c r="BI620">
        <v>2</v>
      </c>
      <c r="BJ620">
        <v>44.850640200000001</v>
      </c>
      <c r="BK620">
        <v>11.5881738</v>
      </c>
      <c r="BL620">
        <v>100</v>
      </c>
      <c r="BM620" t="s">
        <v>83</v>
      </c>
      <c r="BN620" t="s">
        <v>84</v>
      </c>
      <c r="BO620" t="s">
        <v>85</v>
      </c>
      <c r="BP620" t="s">
        <v>160</v>
      </c>
      <c r="BQ620" t="s">
        <v>170</v>
      </c>
      <c r="BR620" t="s">
        <v>615</v>
      </c>
      <c r="BS620">
        <v>1165015</v>
      </c>
      <c r="BT620">
        <v>0</v>
      </c>
      <c r="BU620">
        <v>0</v>
      </c>
      <c r="BV620">
        <v>678017</v>
      </c>
      <c r="BW620">
        <v>355418</v>
      </c>
      <c r="BX620">
        <v>121013</v>
      </c>
      <c r="BY620">
        <v>10567</v>
      </c>
      <c r="BZ620">
        <v>1</v>
      </c>
      <c r="CA620" t="s">
        <v>714</v>
      </c>
      <c r="CB620" t="s">
        <v>715</v>
      </c>
      <c r="CC620" s="3">
        <v>46092.557106481479</v>
      </c>
      <c r="CD620" t="s">
        <v>91</v>
      </c>
    </row>
    <row r="621" spans="1:82" ht="16" x14ac:dyDescent="0.2">
      <c r="A621" t="s">
        <v>1273</v>
      </c>
      <c r="B621" t="s">
        <v>845</v>
      </c>
      <c r="C621" t="s">
        <v>846</v>
      </c>
      <c r="D621" t="s">
        <v>78</v>
      </c>
      <c r="E621" t="s">
        <v>847</v>
      </c>
      <c r="F621">
        <v>2</v>
      </c>
      <c r="G621">
        <v>50</v>
      </c>
      <c r="H621" t="str">
        <f t="shared" si="64"/>
        <v>2x50</v>
      </c>
      <c r="I621">
        <v>38</v>
      </c>
      <c r="J621" s="4">
        <f t="shared" si="65"/>
        <v>1.9791666666666666E-2</v>
      </c>
      <c r="K621">
        <v>57</v>
      </c>
      <c r="L621" s="4">
        <f t="shared" si="66"/>
        <v>2.9687500000000002E-2</v>
      </c>
      <c r="M621">
        <v>87</v>
      </c>
      <c r="N621" s="4">
        <f t="shared" si="67"/>
        <v>4.5312499999999999E-2</v>
      </c>
      <c r="O621">
        <v>173</v>
      </c>
      <c r="P621" s="4">
        <f t="shared" si="68"/>
        <v>9.0104166666666666E-2</v>
      </c>
      <c r="Q621" s="6" t="str">
        <f t="shared" si="63"/>
        <v>later</v>
      </c>
      <c r="R621" s="6">
        <f t="shared" si="69"/>
        <v>666</v>
      </c>
      <c r="S621">
        <v>77</v>
      </c>
      <c r="T621">
        <v>-19</v>
      </c>
      <c r="U621">
        <v>3</v>
      </c>
      <c r="V621">
        <v>0</v>
      </c>
      <c r="W621">
        <v>-5</v>
      </c>
      <c r="X621">
        <v>-32</v>
      </c>
      <c r="Y621" s="2" t="s">
        <v>848</v>
      </c>
      <c r="Z621">
        <v>45.692720000000001</v>
      </c>
      <c r="AA621">
        <v>8.8024799999999992</v>
      </c>
      <c r="AB621" t="s">
        <v>78</v>
      </c>
      <c r="AC621" t="s">
        <v>81</v>
      </c>
      <c r="AD621" t="s">
        <v>82</v>
      </c>
      <c r="AE621">
        <v>22226</v>
      </c>
      <c r="AF621">
        <v>0</v>
      </c>
      <c r="AG621">
        <v>0</v>
      </c>
      <c r="AH621">
        <v>0</v>
      </c>
      <c r="AI621">
        <v>9345</v>
      </c>
      <c r="AJ621">
        <v>11534</v>
      </c>
      <c r="AK621">
        <v>1347</v>
      </c>
      <c r="AL621">
        <v>7049</v>
      </c>
      <c r="AM621">
        <v>19870</v>
      </c>
      <c r="AN621">
        <v>120504</v>
      </c>
      <c r="AO621">
        <v>362629</v>
      </c>
      <c r="AP621">
        <v>0</v>
      </c>
      <c r="AQ621">
        <v>0</v>
      </c>
      <c r="AR621">
        <v>2</v>
      </c>
      <c r="AS621">
        <v>6</v>
      </c>
      <c r="AT621">
        <v>0</v>
      </c>
      <c r="AU621">
        <v>15</v>
      </c>
      <c r="AV621">
        <v>3</v>
      </c>
      <c r="AW621">
        <v>0</v>
      </c>
      <c r="AX621">
        <v>0</v>
      </c>
      <c r="AY621">
        <v>3</v>
      </c>
      <c r="AZ621">
        <v>0</v>
      </c>
      <c r="BA621">
        <v>9</v>
      </c>
      <c r="BB621">
        <v>18</v>
      </c>
      <c r="BC621">
        <v>5</v>
      </c>
      <c r="BD621">
        <v>3</v>
      </c>
      <c r="BE621">
        <v>0</v>
      </c>
      <c r="BF621">
        <v>3</v>
      </c>
      <c r="BG621">
        <v>0</v>
      </c>
      <c r="BH621">
        <v>6</v>
      </c>
      <c r="BI621">
        <v>3</v>
      </c>
      <c r="BJ621">
        <v>45.692724900000002</v>
      </c>
      <c r="BK621">
        <v>8.8024316000000002</v>
      </c>
      <c r="BL621">
        <v>100</v>
      </c>
      <c r="BM621" t="s">
        <v>83</v>
      </c>
      <c r="BN621" t="s">
        <v>84</v>
      </c>
      <c r="BO621" t="s">
        <v>85</v>
      </c>
      <c r="BP621" t="s">
        <v>107</v>
      </c>
      <c r="BQ621" t="s">
        <v>108</v>
      </c>
      <c r="BR621" t="s">
        <v>305</v>
      </c>
      <c r="BS621">
        <v>444622</v>
      </c>
      <c r="BT621">
        <v>0</v>
      </c>
      <c r="BU621">
        <v>0</v>
      </c>
      <c r="BV621">
        <v>0</v>
      </c>
      <c r="BW621">
        <v>186930</v>
      </c>
      <c r="BX621">
        <v>230716</v>
      </c>
      <c r="BY621">
        <v>26976</v>
      </c>
      <c r="BZ621">
        <v>1</v>
      </c>
      <c r="CA621" t="s">
        <v>849</v>
      </c>
      <c r="CB621" t="s">
        <v>850</v>
      </c>
      <c r="CC621" s="3">
        <v>46092.557106481479</v>
      </c>
      <c r="CD621" t="s">
        <v>91</v>
      </c>
    </row>
    <row r="622" spans="1:82" ht="16" x14ac:dyDescent="0.2">
      <c r="A622" t="s">
        <v>1274</v>
      </c>
      <c r="B622" t="s">
        <v>875</v>
      </c>
      <c r="C622" t="s">
        <v>876</v>
      </c>
      <c r="D622" t="s">
        <v>78</v>
      </c>
      <c r="E622" t="s">
        <v>877</v>
      </c>
      <c r="F622">
        <v>2</v>
      </c>
      <c r="G622">
        <v>50</v>
      </c>
      <c r="H622" t="str">
        <f t="shared" si="64"/>
        <v>2x50</v>
      </c>
      <c r="I622">
        <v>37</v>
      </c>
      <c r="J622" s="4">
        <f t="shared" si="65"/>
        <v>1.9270833333333334E-2</v>
      </c>
      <c r="K622">
        <v>57</v>
      </c>
      <c r="L622" s="4">
        <f t="shared" si="66"/>
        <v>2.9687500000000002E-2</v>
      </c>
      <c r="M622">
        <v>86</v>
      </c>
      <c r="N622" s="4">
        <f t="shared" si="67"/>
        <v>4.4791666666666667E-2</v>
      </c>
      <c r="O622">
        <v>171</v>
      </c>
      <c r="P622" s="4">
        <f t="shared" si="68"/>
        <v>8.9062500000000003E-2</v>
      </c>
      <c r="Q622" s="6" t="str">
        <f t="shared" si="63"/>
        <v>later</v>
      </c>
      <c r="R622" s="6">
        <f t="shared" si="69"/>
        <v>666</v>
      </c>
      <c r="S622">
        <v>77</v>
      </c>
      <c r="T622">
        <v>-18</v>
      </c>
      <c r="U622">
        <v>1</v>
      </c>
      <c r="V622">
        <v>-2</v>
      </c>
      <c r="W622">
        <v>-3</v>
      </c>
      <c r="X622">
        <v>-30</v>
      </c>
      <c r="Y622" s="2" t="s">
        <v>878</v>
      </c>
      <c r="Z622">
        <v>45.430994195353897</v>
      </c>
      <c r="AA622">
        <v>10.518557261578501</v>
      </c>
      <c r="AB622" t="s">
        <v>78</v>
      </c>
      <c r="AC622" t="s">
        <v>81</v>
      </c>
      <c r="AD622" t="s">
        <v>82</v>
      </c>
      <c r="AE622">
        <v>9124</v>
      </c>
      <c r="AF622">
        <v>0</v>
      </c>
      <c r="AG622">
        <v>0</v>
      </c>
      <c r="AH622">
        <v>0</v>
      </c>
      <c r="AI622">
        <v>0</v>
      </c>
      <c r="AJ622">
        <v>9124</v>
      </c>
      <c r="AK622">
        <v>0</v>
      </c>
      <c r="AL622">
        <v>194</v>
      </c>
      <c r="AM622">
        <v>1647</v>
      </c>
      <c r="AN622">
        <v>38176</v>
      </c>
      <c r="AO622">
        <v>117109</v>
      </c>
      <c r="AP622">
        <v>0</v>
      </c>
      <c r="AQ622">
        <v>0</v>
      </c>
      <c r="AR622">
        <v>3</v>
      </c>
      <c r="AS622">
        <v>7</v>
      </c>
      <c r="AT622">
        <v>0</v>
      </c>
      <c r="AU622">
        <v>6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12</v>
      </c>
      <c r="BB622">
        <v>16</v>
      </c>
      <c r="BC622">
        <v>10</v>
      </c>
      <c r="BD622">
        <v>0</v>
      </c>
      <c r="BE622">
        <v>5</v>
      </c>
      <c r="BF622">
        <v>0</v>
      </c>
      <c r="BG622">
        <v>5</v>
      </c>
      <c r="BH622">
        <v>0</v>
      </c>
      <c r="BI622">
        <v>5</v>
      </c>
      <c r="BJ622">
        <v>45.430881800000002</v>
      </c>
      <c r="BK622">
        <v>10.5185814</v>
      </c>
      <c r="BL622">
        <v>100</v>
      </c>
      <c r="BM622" t="s">
        <v>83</v>
      </c>
      <c r="BN622" t="s">
        <v>84</v>
      </c>
      <c r="BO622" t="s">
        <v>85</v>
      </c>
      <c r="BP622" t="s">
        <v>107</v>
      </c>
      <c r="BQ622" t="s">
        <v>108</v>
      </c>
      <c r="BR622" t="s">
        <v>179</v>
      </c>
      <c r="BS622">
        <v>182504</v>
      </c>
      <c r="BT622">
        <v>0</v>
      </c>
      <c r="BU622">
        <v>0</v>
      </c>
      <c r="BV622">
        <v>0</v>
      </c>
      <c r="BW622">
        <v>0</v>
      </c>
      <c r="BX622">
        <v>182504</v>
      </c>
      <c r="BY622">
        <v>0</v>
      </c>
      <c r="BZ622">
        <v>1</v>
      </c>
      <c r="CA622" t="s">
        <v>879</v>
      </c>
      <c r="CB622" t="s">
        <v>880</v>
      </c>
      <c r="CC622" s="3">
        <v>46092.557106481479</v>
      </c>
      <c r="CD622" t="s">
        <v>91</v>
      </c>
    </row>
    <row r="623" spans="1:82" ht="16" x14ac:dyDescent="0.2">
      <c r="A623" t="s">
        <v>1275</v>
      </c>
      <c r="B623" t="s">
        <v>914</v>
      </c>
      <c r="C623" t="s">
        <v>915</v>
      </c>
      <c r="D623" t="s">
        <v>78</v>
      </c>
      <c r="E623" t="s">
        <v>916</v>
      </c>
      <c r="F623">
        <v>2</v>
      </c>
      <c r="G623">
        <v>50</v>
      </c>
      <c r="H623" t="str">
        <f t="shared" si="64"/>
        <v>2x50</v>
      </c>
      <c r="I623">
        <v>37</v>
      </c>
      <c r="J623" s="4">
        <f t="shared" si="65"/>
        <v>1.9270833333333334E-2</v>
      </c>
      <c r="K623">
        <v>56</v>
      </c>
      <c r="L623" s="4">
        <f t="shared" si="66"/>
        <v>2.9166666666666664E-2</v>
      </c>
      <c r="M623">
        <v>85</v>
      </c>
      <c r="N623" s="4">
        <f t="shared" si="67"/>
        <v>4.4270833333333336E-2</v>
      </c>
      <c r="O623">
        <v>170</v>
      </c>
      <c r="P623" s="4">
        <f t="shared" si="68"/>
        <v>8.8541666666666671E-2</v>
      </c>
      <c r="Q623" s="6" t="str">
        <f t="shared" si="63"/>
        <v>later</v>
      </c>
      <c r="R623" s="6">
        <f t="shared" si="69"/>
        <v>666</v>
      </c>
      <c r="S623">
        <v>77</v>
      </c>
      <c r="T623">
        <v>-11</v>
      </c>
      <c r="U623">
        <v>-9</v>
      </c>
      <c r="V623">
        <v>3</v>
      </c>
      <c r="W623">
        <v>-5</v>
      </c>
      <c r="X623">
        <v>-29</v>
      </c>
      <c r="Y623" s="2" t="s">
        <v>917</v>
      </c>
      <c r="Z623">
        <v>40.953808000000002</v>
      </c>
      <c r="AA623">
        <v>9.4968459999999997</v>
      </c>
      <c r="AB623" t="s">
        <v>78</v>
      </c>
      <c r="AC623" t="s">
        <v>81</v>
      </c>
      <c r="AD623" t="s">
        <v>82</v>
      </c>
      <c r="AE623">
        <v>20002</v>
      </c>
      <c r="AF623">
        <v>0</v>
      </c>
      <c r="AG623">
        <v>18988</v>
      </c>
      <c r="AH623">
        <v>0</v>
      </c>
      <c r="AI623">
        <v>0</v>
      </c>
      <c r="AJ623">
        <v>1014</v>
      </c>
      <c r="AK623">
        <v>0</v>
      </c>
      <c r="AL623">
        <v>2107</v>
      </c>
      <c r="AM623">
        <v>7799</v>
      </c>
      <c r="AN623">
        <v>43421</v>
      </c>
      <c r="AO623">
        <v>51734</v>
      </c>
      <c r="AP623">
        <v>1</v>
      </c>
      <c r="AQ623">
        <v>2</v>
      </c>
      <c r="AR623">
        <v>4</v>
      </c>
      <c r="AS623">
        <v>3</v>
      </c>
      <c r="AT623">
        <v>2</v>
      </c>
      <c r="AU623">
        <v>20</v>
      </c>
      <c r="AV623">
        <v>4</v>
      </c>
      <c r="AW623">
        <v>0</v>
      </c>
      <c r="AX623">
        <v>2</v>
      </c>
      <c r="AY623">
        <v>0</v>
      </c>
      <c r="AZ623">
        <v>4</v>
      </c>
      <c r="BA623">
        <v>10</v>
      </c>
      <c r="BB623">
        <v>28</v>
      </c>
      <c r="BC623">
        <v>8</v>
      </c>
      <c r="BD623">
        <v>0</v>
      </c>
      <c r="BE623">
        <v>0</v>
      </c>
      <c r="BF623">
        <v>8</v>
      </c>
      <c r="BG623">
        <v>0</v>
      </c>
      <c r="BH623">
        <v>12</v>
      </c>
      <c r="BI623">
        <v>0</v>
      </c>
      <c r="BJ623">
        <v>40.953898199999998</v>
      </c>
      <c r="BK623">
        <v>9.4970441000000001</v>
      </c>
      <c r="BL623">
        <v>100</v>
      </c>
      <c r="BM623" t="s">
        <v>83</v>
      </c>
      <c r="BN623" t="s">
        <v>84</v>
      </c>
      <c r="BO623" t="s">
        <v>85</v>
      </c>
      <c r="BP623" t="s">
        <v>242</v>
      </c>
      <c r="BQ623" t="s">
        <v>335</v>
      </c>
      <c r="BR623" t="s">
        <v>918</v>
      </c>
      <c r="BS623">
        <v>385997</v>
      </c>
      <c r="BT623">
        <v>0</v>
      </c>
      <c r="BU623">
        <v>365704</v>
      </c>
      <c r="BV623">
        <v>0</v>
      </c>
      <c r="BW623">
        <v>0</v>
      </c>
      <c r="BX623">
        <v>20293</v>
      </c>
      <c r="BY623">
        <v>0</v>
      </c>
      <c r="BZ623">
        <v>1</v>
      </c>
      <c r="CA623" t="s">
        <v>919</v>
      </c>
      <c r="CB623" t="s">
        <v>920</v>
      </c>
      <c r="CC623" s="3">
        <v>46092.557106481479</v>
      </c>
      <c r="CD623" t="s">
        <v>91</v>
      </c>
    </row>
    <row r="624" spans="1:82" ht="16" x14ac:dyDescent="0.2">
      <c r="A624" t="s">
        <v>1276</v>
      </c>
      <c r="B624" t="s">
        <v>754</v>
      </c>
      <c r="C624" t="s">
        <v>755</v>
      </c>
      <c r="D624" t="s">
        <v>78</v>
      </c>
      <c r="E624" t="s">
        <v>756</v>
      </c>
      <c r="F624">
        <v>2</v>
      </c>
      <c r="G624">
        <v>50</v>
      </c>
      <c r="H624" t="str">
        <f t="shared" si="64"/>
        <v>2x50</v>
      </c>
      <c r="I624">
        <v>37</v>
      </c>
      <c r="J624" s="4">
        <f t="shared" si="65"/>
        <v>1.9270833333333334E-2</v>
      </c>
      <c r="K624">
        <v>56</v>
      </c>
      <c r="L624" s="4">
        <f t="shared" si="66"/>
        <v>2.9166666666666664E-2</v>
      </c>
      <c r="M624">
        <v>85</v>
      </c>
      <c r="N624" s="4">
        <f t="shared" si="67"/>
        <v>4.4270833333333336E-2</v>
      </c>
      <c r="O624">
        <v>169</v>
      </c>
      <c r="P624" s="4">
        <f t="shared" si="68"/>
        <v>8.8020833333333326E-2</v>
      </c>
      <c r="Q624" s="6" t="str">
        <f t="shared" si="63"/>
        <v>later</v>
      </c>
      <c r="R624" s="6">
        <f t="shared" si="69"/>
        <v>666</v>
      </c>
      <c r="S624">
        <v>77</v>
      </c>
      <c r="T624">
        <v>16</v>
      </c>
      <c r="U624">
        <v>-14</v>
      </c>
      <c r="V624">
        <v>-12</v>
      </c>
      <c r="W624">
        <v>-10</v>
      </c>
      <c r="X624">
        <v>-37</v>
      </c>
      <c r="Y624" s="2" t="s">
        <v>757</v>
      </c>
      <c r="Z624">
        <v>45.74409</v>
      </c>
      <c r="AA624">
        <v>11.739050000000001</v>
      </c>
      <c r="AB624" t="s">
        <v>78</v>
      </c>
      <c r="AC624" t="s">
        <v>81</v>
      </c>
      <c r="AD624" t="s">
        <v>82</v>
      </c>
      <c r="AE624">
        <v>58574</v>
      </c>
      <c r="AF624">
        <v>0</v>
      </c>
      <c r="AG624">
        <v>4853</v>
      </c>
      <c r="AH624">
        <v>8344</v>
      </c>
      <c r="AI624">
        <v>12891</v>
      </c>
      <c r="AJ624">
        <v>27327</v>
      </c>
      <c r="AK624">
        <v>5159</v>
      </c>
      <c r="AL624">
        <v>2592</v>
      </c>
      <c r="AM624">
        <v>16521</v>
      </c>
      <c r="AN624">
        <v>81672</v>
      </c>
      <c r="AO624">
        <v>178557</v>
      </c>
      <c r="AP624">
        <v>3</v>
      </c>
      <c r="AQ624">
        <v>1</v>
      </c>
      <c r="AR624">
        <v>2</v>
      </c>
      <c r="AS624">
        <v>2</v>
      </c>
      <c r="AT624">
        <v>1</v>
      </c>
      <c r="AU624">
        <v>26</v>
      </c>
      <c r="AV624">
        <v>3</v>
      </c>
      <c r="AW624">
        <v>0</v>
      </c>
      <c r="AX624">
        <v>1</v>
      </c>
      <c r="AY624">
        <v>1</v>
      </c>
      <c r="AZ624">
        <v>1</v>
      </c>
      <c r="BA624">
        <v>10</v>
      </c>
      <c r="BB624">
        <v>23</v>
      </c>
      <c r="BC624">
        <v>3</v>
      </c>
      <c r="BD624">
        <v>2</v>
      </c>
      <c r="BE624">
        <v>0</v>
      </c>
      <c r="BF624">
        <v>10</v>
      </c>
      <c r="BG624">
        <v>8</v>
      </c>
      <c r="BH624">
        <v>10</v>
      </c>
      <c r="BI624">
        <v>8</v>
      </c>
      <c r="BJ624">
        <v>45.744082200000001</v>
      </c>
      <c r="BK624">
        <v>11.7389785</v>
      </c>
      <c r="BL624">
        <v>100</v>
      </c>
      <c r="BM624" t="s">
        <v>83</v>
      </c>
      <c r="BN624" t="s">
        <v>84</v>
      </c>
      <c r="BO624" t="s">
        <v>85</v>
      </c>
      <c r="BP624" t="s">
        <v>160</v>
      </c>
      <c r="BQ624" t="s">
        <v>161</v>
      </c>
      <c r="BR624" t="s">
        <v>527</v>
      </c>
      <c r="BS624">
        <v>1059099</v>
      </c>
      <c r="BT624">
        <v>0</v>
      </c>
      <c r="BU624">
        <v>97075</v>
      </c>
      <c r="BV624">
        <v>166890</v>
      </c>
      <c r="BW624">
        <v>257837</v>
      </c>
      <c r="BX624">
        <v>434080</v>
      </c>
      <c r="BY624">
        <v>103217</v>
      </c>
      <c r="BZ624">
        <v>1</v>
      </c>
      <c r="CA624" t="s">
        <v>758</v>
      </c>
      <c r="CB624" t="s">
        <v>759</v>
      </c>
      <c r="CC624" s="3">
        <v>46092.557106481479</v>
      </c>
      <c r="CD624" t="s">
        <v>91</v>
      </c>
    </row>
    <row r="625" spans="1:82" ht="16" x14ac:dyDescent="0.2">
      <c r="A625" t="s">
        <v>1277</v>
      </c>
      <c r="B625" t="s">
        <v>866</v>
      </c>
      <c r="C625" t="s">
        <v>867</v>
      </c>
      <c r="D625" t="s">
        <v>78</v>
      </c>
      <c r="E625" t="s">
        <v>868</v>
      </c>
      <c r="F625">
        <v>2</v>
      </c>
      <c r="G625">
        <v>50</v>
      </c>
      <c r="H625" t="str">
        <f t="shared" si="64"/>
        <v>2x50</v>
      </c>
      <c r="I625">
        <v>36</v>
      </c>
      <c r="J625" s="4">
        <f t="shared" si="65"/>
        <v>1.8749999999999999E-2</v>
      </c>
      <c r="K625">
        <v>55</v>
      </c>
      <c r="L625" s="4">
        <f t="shared" si="66"/>
        <v>2.8645833333333332E-2</v>
      </c>
      <c r="M625">
        <v>83</v>
      </c>
      <c r="N625" s="4">
        <f t="shared" si="67"/>
        <v>4.3229166666666673E-2</v>
      </c>
      <c r="O625">
        <v>166</v>
      </c>
      <c r="P625" s="4">
        <f t="shared" si="68"/>
        <v>8.6458333333333345E-2</v>
      </c>
      <c r="Q625" s="6" t="str">
        <f t="shared" si="63"/>
        <v>later</v>
      </c>
      <c r="R625" s="6">
        <f t="shared" si="69"/>
        <v>666</v>
      </c>
      <c r="S625">
        <v>77</v>
      </c>
      <c r="T625">
        <v>-19</v>
      </c>
      <c r="U625">
        <v>-9</v>
      </c>
      <c r="V625">
        <v>2</v>
      </c>
      <c r="W625">
        <v>3</v>
      </c>
      <c r="X625">
        <v>-30</v>
      </c>
      <c r="Y625" s="2" t="s">
        <v>869</v>
      </c>
      <c r="Z625">
        <v>42.767969999999998</v>
      </c>
      <c r="AA625">
        <v>13.955730000000001</v>
      </c>
      <c r="AB625" t="s">
        <v>78</v>
      </c>
      <c r="AC625" t="s">
        <v>81</v>
      </c>
      <c r="AD625" t="s">
        <v>82</v>
      </c>
      <c r="AE625">
        <v>13691</v>
      </c>
      <c r="AF625">
        <v>0</v>
      </c>
      <c r="AG625">
        <v>0</v>
      </c>
      <c r="AH625">
        <v>7149</v>
      </c>
      <c r="AI625">
        <v>0</v>
      </c>
      <c r="AJ625">
        <v>4142</v>
      </c>
      <c r="AK625">
        <v>2400</v>
      </c>
      <c r="AL625">
        <v>2299</v>
      </c>
      <c r="AM625">
        <v>9706</v>
      </c>
      <c r="AN625">
        <v>34208</v>
      </c>
      <c r="AO625">
        <v>71756</v>
      </c>
      <c r="AP625">
        <v>1</v>
      </c>
      <c r="AQ625">
        <v>0</v>
      </c>
      <c r="AR625">
        <v>3</v>
      </c>
      <c r="AS625">
        <v>4</v>
      </c>
      <c r="AT625">
        <v>0</v>
      </c>
      <c r="AU625">
        <v>17</v>
      </c>
      <c r="AV625">
        <v>5</v>
      </c>
      <c r="AW625">
        <v>0</v>
      </c>
      <c r="AX625">
        <v>1</v>
      </c>
      <c r="AY625">
        <v>0</v>
      </c>
      <c r="AZ625">
        <v>0</v>
      </c>
      <c r="BA625">
        <v>2</v>
      </c>
      <c r="BB625">
        <v>6</v>
      </c>
      <c r="BC625">
        <v>1</v>
      </c>
      <c r="BD625">
        <v>2</v>
      </c>
      <c r="BE625">
        <v>0</v>
      </c>
      <c r="BF625">
        <v>2</v>
      </c>
      <c r="BG625">
        <v>0</v>
      </c>
      <c r="BH625">
        <v>2</v>
      </c>
      <c r="BI625">
        <v>0</v>
      </c>
      <c r="BJ625">
        <v>42.767929899999999</v>
      </c>
      <c r="BK625">
        <v>13.95553</v>
      </c>
      <c r="BL625">
        <v>100</v>
      </c>
      <c r="BM625" t="s">
        <v>83</v>
      </c>
      <c r="BN625" t="s">
        <v>84</v>
      </c>
      <c r="BO625" t="s">
        <v>85</v>
      </c>
      <c r="BP625" t="s">
        <v>97</v>
      </c>
      <c r="BQ625" t="s">
        <v>870</v>
      </c>
      <c r="BR625" t="s">
        <v>871</v>
      </c>
      <c r="BS625">
        <v>273879</v>
      </c>
      <c r="BT625">
        <v>0</v>
      </c>
      <c r="BU625">
        <v>0</v>
      </c>
      <c r="BV625">
        <v>142994</v>
      </c>
      <c r="BW625">
        <v>0</v>
      </c>
      <c r="BX625">
        <v>82878</v>
      </c>
      <c r="BY625">
        <v>48007</v>
      </c>
      <c r="BZ625">
        <v>1</v>
      </c>
      <c r="CA625" t="s">
        <v>872</v>
      </c>
      <c r="CB625" t="s">
        <v>873</v>
      </c>
      <c r="CC625" s="3">
        <v>46092.557106481479</v>
      </c>
      <c r="CD625" t="s">
        <v>91</v>
      </c>
    </row>
    <row r="626" spans="1:82" ht="16" x14ac:dyDescent="0.2">
      <c r="A626" t="s">
        <v>1278</v>
      </c>
      <c r="B626" t="s">
        <v>808</v>
      </c>
      <c r="C626" t="s">
        <v>809</v>
      </c>
      <c r="D626" t="s">
        <v>78</v>
      </c>
      <c r="E626" t="s">
        <v>810</v>
      </c>
      <c r="F626">
        <v>2</v>
      </c>
      <c r="G626">
        <v>50</v>
      </c>
      <c r="H626" t="str">
        <f t="shared" si="64"/>
        <v>2x50</v>
      </c>
      <c r="I626">
        <v>36</v>
      </c>
      <c r="J626" s="4">
        <f t="shared" si="65"/>
        <v>1.8749999999999999E-2</v>
      </c>
      <c r="K626">
        <v>54</v>
      </c>
      <c r="L626" s="4">
        <f t="shared" si="66"/>
        <v>2.8125000000000001E-2</v>
      </c>
      <c r="M626">
        <v>82</v>
      </c>
      <c r="N626" s="4">
        <f t="shared" si="67"/>
        <v>4.2708333333333327E-2</v>
      </c>
      <c r="O626">
        <v>164</v>
      </c>
      <c r="P626" s="4">
        <f t="shared" si="68"/>
        <v>8.5416666666666655E-2</v>
      </c>
      <c r="Q626" s="6" t="str">
        <f t="shared" si="63"/>
        <v>later</v>
      </c>
      <c r="R626" s="6">
        <f t="shared" si="69"/>
        <v>666</v>
      </c>
      <c r="S626">
        <v>77</v>
      </c>
      <c r="T626">
        <v>-19</v>
      </c>
      <c r="U626">
        <v>-8</v>
      </c>
      <c r="V626">
        <v>1</v>
      </c>
      <c r="W626">
        <v>3</v>
      </c>
      <c r="X626">
        <v>-31</v>
      </c>
      <c r="Y626" s="2" t="s">
        <v>811</v>
      </c>
      <c r="Z626">
        <v>45.515509999999999</v>
      </c>
      <c r="AA626">
        <v>10.137890000000001</v>
      </c>
      <c r="AB626" t="s">
        <v>78</v>
      </c>
      <c r="AC626" t="s">
        <v>81</v>
      </c>
      <c r="AD626" t="s">
        <v>82</v>
      </c>
      <c r="AE626">
        <v>24425</v>
      </c>
      <c r="AF626">
        <v>0</v>
      </c>
      <c r="AG626">
        <v>0</v>
      </c>
      <c r="AH626">
        <v>0</v>
      </c>
      <c r="AI626">
        <v>14930</v>
      </c>
      <c r="AJ626">
        <v>9495</v>
      </c>
      <c r="AK626">
        <v>0</v>
      </c>
      <c r="AL626">
        <v>3465</v>
      </c>
      <c r="AM626">
        <v>15840</v>
      </c>
      <c r="AN626">
        <v>74333</v>
      </c>
      <c r="AO626">
        <v>337026</v>
      </c>
      <c r="AP626">
        <v>0</v>
      </c>
      <c r="AQ626">
        <v>0</v>
      </c>
      <c r="AR626">
        <v>4</v>
      </c>
      <c r="AS626">
        <v>10</v>
      </c>
      <c r="AT626">
        <v>0</v>
      </c>
      <c r="AU626">
        <v>12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2</v>
      </c>
      <c r="BB626">
        <v>10</v>
      </c>
      <c r="BC626">
        <v>2</v>
      </c>
      <c r="BD626">
        <v>2</v>
      </c>
      <c r="BE626">
        <v>0</v>
      </c>
      <c r="BF626">
        <v>2</v>
      </c>
      <c r="BG626">
        <v>0</v>
      </c>
      <c r="BH626">
        <v>2</v>
      </c>
      <c r="BI626">
        <v>0</v>
      </c>
      <c r="BJ626">
        <v>45.515450000000001</v>
      </c>
      <c r="BK626">
        <v>10.1379</v>
      </c>
      <c r="BL626">
        <v>100</v>
      </c>
      <c r="BM626" t="s">
        <v>83</v>
      </c>
      <c r="BN626" t="s">
        <v>84</v>
      </c>
      <c r="BO626" t="s">
        <v>85</v>
      </c>
      <c r="BP626" t="s">
        <v>107</v>
      </c>
      <c r="BQ626" t="s">
        <v>108</v>
      </c>
      <c r="BR626" t="s">
        <v>179</v>
      </c>
      <c r="BS626">
        <v>354055</v>
      </c>
      <c r="BT626">
        <v>0</v>
      </c>
      <c r="BU626">
        <v>0</v>
      </c>
      <c r="BV626">
        <v>0</v>
      </c>
      <c r="BW626">
        <v>164127</v>
      </c>
      <c r="BX626">
        <v>189928</v>
      </c>
      <c r="BY626">
        <v>0</v>
      </c>
      <c r="BZ626">
        <v>1</v>
      </c>
      <c r="CA626" t="s">
        <v>812</v>
      </c>
      <c r="CB626" t="s">
        <v>813</v>
      </c>
      <c r="CC626" s="3">
        <v>46092.557106481479</v>
      </c>
      <c r="CD626" t="s">
        <v>91</v>
      </c>
    </row>
    <row r="627" spans="1:82" ht="16" x14ac:dyDescent="0.2">
      <c r="A627" t="s">
        <v>1279</v>
      </c>
      <c r="B627" t="s">
        <v>852</v>
      </c>
      <c r="C627" t="s">
        <v>853</v>
      </c>
      <c r="D627" t="s">
        <v>78</v>
      </c>
      <c r="E627" t="s">
        <v>854</v>
      </c>
      <c r="F627">
        <v>2</v>
      </c>
      <c r="G627">
        <v>50</v>
      </c>
      <c r="H627" t="str">
        <f t="shared" si="64"/>
        <v>2x50</v>
      </c>
      <c r="I627">
        <v>35</v>
      </c>
      <c r="J627" s="4">
        <f t="shared" si="65"/>
        <v>1.8229166666666668E-2</v>
      </c>
      <c r="K627">
        <v>53</v>
      </c>
      <c r="L627" s="4">
        <f t="shared" si="66"/>
        <v>2.7604166666666666E-2</v>
      </c>
      <c r="M627">
        <v>80</v>
      </c>
      <c r="N627" s="4">
        <f t="shared" si="67"/>
        <v>4.1666666666666664E-2</v>
      </c>
      <c r="O627">
        <v>160</v>
      </c>
      <c r="P627" s="4">
        <f t="shared" si="68"/>
        <v>8.3333333333333329E-2</v>
      </c>
      <c r="Q627" s="6" t="str">
        <f t="shared" si="63"/>
        <v>later</v>
      </c>
      <c r="R627" s="6">
        <f t="shared" si="69"/>
        <v>666</v>
      </c>
      <c r="S627">
        <v>77</v>
      </c>
      <c r="T627">
        <v>-20</v>
      </c>
      <c r="U627">
        <v>-6</v>
      </c>
      <c r="V627">
        <v>-1</v>
      </c>
      <c r="W627">
        <v>3</v>
      </c>
      <c r="X627">
        <v>-30</v>
      </c>
      <c r="Y627" s="2" t="s">
        <v>855</v>
      </c>
      <c r="Z627">
        <v>45.908024980413202</v>
      </c>
      <c r="AA627">
        <v>12.3388209779121</v>
      </c>
      <c r="AB627" t="s">
        <v>78</v>
      </c>
      <c r="AC627" t="s">
        <v>81</v>
      </c>
      <c r="AD627" t="s">
        <v>82</v>
      </c>
      <c r="AE627">
        <v>23018</v>
      </c>
      <c r="AF627">
        <v>0</v>
      </c>
      <c r="AG627">
        <v>0</v>
      </c>
      <c r="AH627">
        <v>19978</v>
      </c>
      <c r="AI627">
        <v>0</v>
      </c>
      <c r="AJ627">
        <v>3040</v>
      </c>
      <c r="AK627">
        <v>0</v>
      </c>
      <c r="AL627">
        <v>1809</v>
      </c>
      <c r="AM627">
        <v>6714</v>
      </c>
      <c r="AN627">
        <v>49608</v>
      </c>
      <c r="AO627">
        <v>143404</v>
      </c>
      <c r="AP627">
        <v>1</v>
      </c>
      <c r="AQ627">
        <v>0</v>
      </c>
      <c r="AR627">
        <v>3</v>
      </c>
      <c r="AS627">
        <v>7</v>
      </c>
      <c r="AT627">
        <v>2</v>
      </c>
      <c r="AU627">
        <v>10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23</v>
      </c>
      <c r="BB627">
        <v>25</v>
      </c>
      <c r="BC627">
        <v>9</v>
      </c>
      <c r="BD627">
        <v>2</v>
      </c>
      <c r="BE627">
        <v>0</v>
      </c>
      <c r="BF627">
        <v>2</v>
      </c>
      <c r="BG627">
        <v>0</v>
      </c>
      <c r="BH627">
        <v>2</v>
      </c>
      <c r="BI627">
        <v>0</v>
      </c>
      <c r="BJ627">
        <v>45.907999199999999</v>
      </c>
      <c r="BK627">
        <v>12.3388671</v>
      </c>
      <c r="BL627">
        <v>100</v>
      </c>
      <c r="BM627" t="s">
        <v>83</v>
      </c>
      <c r="BN627" t="s">
        <v>84</v>
      </c>
      <c r="BO627" t="s">
        <v>85</v>
      </c>
      <c r="BP627" t="s">
        <v>160</v>
      </c>
      <c r="BQ627" t="s">
        <v>161</v>
      </c>
      <c r="BR627" t="s">
        <v>428</v>
      </c>
      <c r="BS627">
        <v>460409</v>
      </c>
      <c r="BT627">
        <v>0</v>
      </c>
      <c r="BU627">
        <v>0</v>
      </c>
      <c r="BV627">
        <v>399588</v>
      </c>
      <c r="BW627">
        <v>0</v>
      </c>
      <c r="BX627">
        <v>60821</v>
      </c>
      <c r="BY627">
        <v>0</v>
      </c>
      <c r="BZ627">
        <v>1</v>
      </c>
      <c r="CA627" t="s">
        <v>856</v>
      </c>
      <c r="CB627" t="s">
        <v>857</v>
      </c>
      <c r="CC627" s="3">
        <v>46092.557106481479</v>
      </c>
      <c r="CD627" t="s">
        <v>91</v>
      </c>
    </row>
    <row r="628" spans="1:82" ht="16" x14ac:dyDescent="0.2">
      <c r="A628" t="s">
        <v>1280</v>
      </c>
      <c r="B628" t="s">
        <v>995</v>
      </c>
      <c r="C628" t="s">
        <v>996</v>
      </c>
      <c r="D628" t="s">
        <v>78</v>
      </c>
      <c r="E628" t="s">
        <v>997</v>
      </c>
      <c r="F628">
        <v>2</v>
      </c>
      <c r="G628">
        <v>50</v>
      </c>
      <c r="H628" t="str">
        <f t="shared" si="64"/>
        <v>2x50</v>
      </c>
      <c r="I628">
        <v>35</v>
      </c>
      <c r="J628" s="4">
        <f t="shared" si="65"/>
        <v>1.8229166666666668E-2</v>
      </c>
      <c r="K628">
        <v>52</v>
      </c>
      <c r="L628" s="4">
        <f t="shared" si="66"/>
        <v>2.7083333333333334E-2</v>
      </c>
      <c r="M628">
        <v>80</v>
      </c>
      <c r="N628" s="4">
        <f t="shared" si="67"/>
        <v>4.1666666666666664E-2</v>
      </c>
      <c r="O628">
        <v>159</v>
      </c>
      <c r="P628" s="4">
        <f t="shared" si="68"/>
        <v>8.2812499999999997E-2</v>
      </c>
      <c r="Q628" s="6" t="str">
        <f t="shared" si="63"/>
        <v>later</v>
      </c>
      <c r="R628" s="6">
        <f t="shared" si="69"/>
        <v>666</v>
      </c>
      <c r="S628">
        <v>77</v>
      </c>
      <c r="T628">
        <v>-19</v>
      </c>
      <c r="U628">
        <v>-8</v>
      </c>
      <c r="V628">
        <v>2</v>
      </c>
      <c r="W628">
        <v>-2</v>
      </c>
      <c r="X628">
        <v>-28</v>
      </c>
      <c r="Y628" s="2" t="s">
        <v>998</v>
      </c>
      <c r="Z628">
        <v>41.5821194067058</v>
      </c>
      <c r="AA628">
        <v>12.8267747932526</v>
      </c>
      <c r="AB628" t="s">
        <v>78</v>
      </c>
      <c r="AC628" t="s">
        <v>81</v>
      </c>
      <c r="AD628" t="s">
        <v>82</v>
      </c>
      <c r="AE628">
        <v>20459</v>
      </c>
      <c r="AF628">
        <v>0</v>
      </c>
      <c r="AG628">
        <v>0</v>
      </c>
      <c r="AH628">
        <v>7036</v>
      </c>
      <c r="AI628">
        <v>0</v>
      </c>
      <c r="AJ628">
        <v>10966</v>
      </c>
      <c r="AK628">
        <v>2457</v>
      </c>
      <c r="AL628">
        <v>6659</v>
      </c>
      <c r="AM628">
        <v>16552</v>
      </c>
      <c r="AN628">
        <v>32105</v>
      </c>
      <c r="AO628">
        <v>62987</v>
      </c>
      <c r="AP628">
        <v>0</v>
      </c>
      <c r="AQ628">
        <v>0</v>
      </c>
      <c r="AR628">
        <v>4</v>
      </c>
      <c r="AS628">
        <v>8</v>
      </c>
      <c r="AT628">
        <v>4</v>
      </c>
      <c r="AU628">
        <v>14</v>
      </c>
      <c r="AV628">
        <v>0</v>
      </c>
      <c r="AW628">
        <v>1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4</v>
      </c>
      <c r="BI628">
        <v>0</v>
      </c>
      <c r="BJ628">
        <v>41.58229</v>
      </c>
      <c r="BK628">
        <v>12.8262099</v>
      </c>
      <c r="BL628">
        <v>100</v>
      </c>
      <c r="BM628" t="s">
        <v>83</v>
      </c>
      <c r="BN628" t="s">
        <v>84</v>
      </c>
      <c r="BO628" t="s">
        <v>85</v>
      </c>
      <c r="BP628" t="s">
        <v>86</v>
      </c>
      <c r="BQ628" t="s">
        <v>87</v>
      </c>
      <c r="BR628" t="s">
        <v>772</v>
      </c>
      <c r="BS628">
        <v>398692</v>
      </c>
      <c r="BT628">
        <v>0</v>
      </c>
      <c r="BU628">
        <v>0</v>
      </c>
      <c r="BV628">
        <v>140752</v>
      </c>
      <c r="BW628">
        <v>0</v>
      </c>
      <c r="BX628">
        <v>208757</v>
      </c>
      <c r="BY628">
        <v>49183</v>
      </c>
      <c r="BZ628">
        <v>1</v>
      </c>
      <c r="CA628" t="s">
        <v>999</v>
      </c>
      <c r="CB628" t="s">
        <v>1000</v>
      </c>
      <c r="CC628" s="3">
        <v>46092.557106481479</v>
      </c>
      <c r="CD628" t="s">
        <v>91</v>
      </c>
    </row>
    <row r="629" spans="1:82" ht="16" x14ac:dyDescent="0.2">
      <c r="A629" t="s">
        <v>1281</v>
      </c>
      <c r="B629" t="s">
        <v>922</v>
      </c>
      <c r="C629" t="s">
        <v>923</v>
      </c>
      <c r="D629" t="s">
        <v>78</v>
      </c>
      <c r="E629" t="s">
        <v>924</v>
      </c>
      <c r="F629">
        <v>2</v>
      </c>
      <c r="G629">
        <v>50</v>
      </c>
      <c r="H629" t="str">
        <f t="shared" si="64"/>
        <v>2x50</v>
      </c>
      <c r="I629">
        <v>34</v>
      </c>
      <c r="J629" s="4">
        <f t="shared" si="65"/>
        <v>1.7708333333333333E-2</v>
      </c>
      <c r="K629">
        <v>52</v>
      </c>
      <c r="L629" s="4">
        <f t="shared" si="66"/>
        <v>2.7083333333333334E-2</v>
      </c>
      <c r="M629">
        <v>78</v>
      </c>
      <c r="N629" s="4">
        <f t="shared" si="67"/>
        <v>4.0625000000000001E-2</v>
      </c>
      <c r="O629">
        <v>156</v>
      </c>
      <c r="P629" s="4">
        <f t="shared" si="68"/>
        <v>8.1250000000000003E-2</v>
      </c>
      <c r="Q629" s="6" t="str">
        <f t="shared" si="63"/>
        <v>later</v>
      </c>
      <c r="R629" s="6">
        <f t="shared" si="69"/>
        <v>666</v>
      </c>
      <c r="S629">
        <v>77</v>
      </c>
      <c r="T629">
        <v>-17</v>
      </c>
      <c r="U629">
        <v>-8</v>
      </c>
      <c r="V629">
        <v>-1</v>
      </c>
      <c r="W629">
        <v>0</v>
      </c>
      <c r="X629">
        <v>-30</v>
      </c>
      <c r="Y629" s="2" t="s">
        <v>925</v>
      </c>
      <c r="Z629">
        <v>43.7368691033315</v>
      </c>
      <c r="AA629">
        <v>10.803782449077</v>
      </c>
      <c r="AB629" t="s">
        <v>78</v>
      </c>
      <c r="AC629" t="s">
        <v>81</v>
      </c>
      <c r="AD629" t="s">
        <v>82</v>
      </c>
      <c r="AE629">
        <v>25230</v>
      </c>
      <c r="AF629">
        <v>0</v>
      </c>
      <c r="AG629">
        <v>0</v>
      </c>
      <c r="AH629">
        <v>0</v>
      </c>
      <c r="AI629">
        <v>10953</v>
      </c>
      <c r="AJ629">
        <v>11891</v>
      </c>
      <c r="AK629">
        <v>2386</v>
      </c>
      <c r="AL629">
        <v>6009</v>
      </c>
      <c r="AM629">
        <v>14149</v>
      </c>
      <c r="AN629">
        <v>39112</v>
      </c>
      <c r="AO629">
        <v>113675</v>
      </c>
      <c r="AP629">
        <v>7</v>
      </c>
      <c r="AQ629">
        <v>0</v>
      </c>
      <c r="AR629">
        <v>3</v>
      </c>
      <c r="AS629">
        <v>2</v>
      </c>
      <c r="AT629">
        <v>0</v>
      </c>
      <c r="AU629">
        <v>15</v>
      </c>
      <c r="AV629">
        <v>3</v>
      </c>
      <c r="AW629">
        <v>0</v>
      </c>
      <c r="AX629">
        <v>0</v>
      </c>
      <c r="AY629">
        <v>0</v>
      </c>
      <c r="AZ629">
        <v>4</v>
      </c>
      <c r="BA629">
        <v>0</v>
      </c>
      <c r="BB629">
        <v>4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43.736789899999998</v>
      </c>
      <c r="BK629">
        <v>10.8037999</v>
      </c>
      <c r="BL629">
        <v>100</v>
      </c>
      <c r="BM629" t="s">
        <v>83</v>
      </c>
      <c r="BN629" t="s">
        <v>84</v>
      </c>
      <c r="BO629" t="s">
        <v>85</v>
      </c>
      <c r="BP629" t="s">
        <v>86</v>
      </c>
      <c r="BQ629" t="s">
        <v>212</v>
      </c>
      <c r="BR629" t="s">
        <v>213</v>
      </c>
      <c r="BS629">
        <v>504692</v>
      </c>
      <c r="BT629">
        <v>0</v>
      </c>
      <c r="BU629">
        <v>0</v>
      </c>
      <c r="BV629">
        <v>0</v>
      </c>
      <c r="BW629">
        <v>219083</v>
      </c>
      <c r="BX629">
        <v>237844</v>
      </c>
      <c r="BY629">
        <v>47765</v>
      </c>
      <c r="BZ629">
        <v>1</v>
      </c>
      <c r="CA629" t="s">
        <v>926</v>
      </c>
      <c r="CB629" t="s">
        <v>927</v>
      </c>
      <c r="CC629" s="3">
        <v>46092.557106481479</v>
      </c>
      <c r="CD629" t="s">
        <v>91</v>
      </c>
    </row>
    <row r="630" spans="1:82" ht="16" x14ac:dyDescent="0.2">
      <c r="A630" t="s">
        <v>1282</v>
      </c>
      <c r="B630" t="s">
        <v>1027</v>
      </c>
      <c r="C630" t="s">
        <v>1028</v>
      </c>
      <c r="D630" t="s">
        <v>78</v>
      </c>
      <c r="E630" t="s">
        <v>1029</v>
      </c>
      <c r="F630">
        <v>2</v>
      </c>
      <c r="G630">
        <v>50</v>
      </c>
      <c r="H630" t="str">
        <f t="shared" si="64"/>
        <v>2x50</v>
      </c>
      <c r="I630">
        <v>34</v>
      </c>
      <c r="J630" s="4">
        <f t="shared" si="65"/>
        <v>1.7708333333333333E-2</v>
      </c>
      <c r="K630">
        <v>51</v>
      </c>
      <c r="L630" s="4">
        <f t="shared" si="66"/>
        <v>2.6562499999999999E-2</v>
      </c>
      <c r="M630">
        <v>77</v>
      </c>
      <c r="N630" s="4">
        <f t="shared" si="67"/>
        <v>4.010416666666667E-2</v>
      </c>
      <c r="O630">
        <v>153</v>
      </c>
      <c r="P630" s="4">
        <f t="shared" si="68"/>
        <v>7.9687500000000008E-2</v>
      </c>
      <c r="Q630" s="6" t="str">
        <f t="shared" si="63"/>
        <v>later</v>
      </c>
      <c r="R630" s="6">
        <f t="shared" si="69"/>
        <v>666</v>
      </c>
      <c r="S630">
        <v>77</v>
      </c>
      <c r="T630">
        <v>-21</v>
      </c>
      <c r="U630">
        <v>-8</v>
      </c>
      <c r="V630">
        <v>3</v>
      </c>
      <c r="W630">
        <v>-1</v>
      </c>
      <c r="X630">
        <v>-27</v>
      </c>
      <c r="Y630" s="2" t="s">
        <v>1030</v>
      </c>
      <c r="Z630">
        <v>41.704256100000002</v>
      </c>
      <c r="AA630">
        <v>12.6867518</v>
      </c>
      <c r="AB630" t="s">
        <v>78</v>
      </c>
      <c r="AC630" t="s">
        <v>81</v>
      </c>
      <c r="AD630" t="s">
        <v>82</v>
      </c>
      <c r="AE630">
        <v>17976</v>
      </c>
      <c r="AF630">
        <v>0</v>
      </c>
      <c r="AG630">
        <v>0</v>
      </c>
      <c r="AH630">
        <v>5938</v>
      </c>
      <c r="AI630">
        <v>0</v>
      </c>
      <c r="AJ630">
        <v>12038</v>
      </c>
      <c r="AK630">
        <v>0</v>
      </c>
      <c r="AL630">
        <v>14659</v>
      </c>
      <c r="AM630">
        <v>24850</v>
      </c>
      <c r="AN630">
        <v>80592</v>
      </c>
      <c r="AO630">
        <v>226185</v>
      </c>
      <c r="AP630">
        <v>2</v>
      </c>
      <c r="AQ630">
        <v>0</v>
      </c>
      <c r="AR630">
        <v>6</v>
      </c>
      <c r="AS630">
        <v>15</v>
      </c>
      <c r="AT630">
        <v>1</v>
      </c>
      <c r="AU630">
        <v>29</v>
      </c>
      <c r="AV630">
        <v>3</v>
      </c>
      <c r="AW630">
        <v>1</v>
      </c>
      <c r="AX630">
        <v>1</v>
      </c>
      <c r="AY630">
        <v>1</v>
      </c>
      <c r="AZ630">
        <v>1</v>
      </c>
      <c r="BA630">
        <v>5</v>
      </c>
      <c r="BB630">
        <v>13</v>
      </c>
      <c r="BC630">
        <v>1</v>
      </c>
      <c r="BD630">
        <v>2</v>
      </c>
      <c r="BE630">
        <v>0</v>
      </c>
      <c r="BF630">
        <v>4</v>
      </c>
      <c r="BG630">
        <v>0</v>
      </c>
      <c r="BH630">
        <v>4</v>
      </c>
      <c r="BI630">
        <v>0</v>
      </c>
      <c r="BJ630">
        <v>41.704278199999997</v>
      </c>
      <c r="BK630">
        <v>12.686697499999999</v>
      </c>
      <c r="BL630">
        <v>100</v>
      </c>
      <c r="BM630" t="s">
        <v>83</v>
      </c>
      <c r="BN630" t="s">
        <v>84</v>
      </c>
      <c r="BO630" t="s">
        <v>85</v>
      </c>
      <c r="BP630" t="s">
        <v>86</v>
      </c>
      <c r="BQ630" t="s">
        <v>87</v>
      </c>
      <c r="BR630" t="s">
        <v>88</v>
      </c>
      <c r="BS630">
        <v>359557</v>
      </c>
      <c r="BT630">
        <v>0</v>
      </c>
      <c r="BU630">
        <v>0</v>
      </c>
      <c r="BV630">
        <v>118766</v>
      </c>
      <c r="BW630">
        <v>0</v>
      </c>
      <c r="BX630">
        <v>240791</v>
      </c>
      <c r="BY630">
        <v>0</v>
      </c>
      <c r="BZ630">
        <v>1</v>
      </c>
      <c r="CA630" t="s">
        <v>1031</v>
      </c>
      <c r="CB630" t="s">
        <v>1032</v>
      </c>
      <c r="CC630" s="3">
        <v>46092.557106481479</v>
      </c>
      <c r="CD630" t="s">
        <v>91</v>
      </c>
    </row>
    <row r="631" spans="1:82" ht="16" x14ac:dyDescent="0.2">
      <c r="A631" t="s">
        <v>1283</v>
      </c>
      <c r="B631" t="s">
        <v>929</v>
      </c>
      <c r="C631" t="s">
        <v>930</v>
      </c>
      <c r="D631" t="s">
        <v>78</v>
      </c>
      <c r="E631" t="s">
        <v>931</v>
      </c>
      <c r="F631">
        <v>2</v>
      </c>
      <c r="G631">
        <v>50</v>
      </c>
      <c r="H631" t="str">
        <f t="shared" si="64"/>
        <v>2x50</v>
      </c>
      <c r="I631">
        <v>33</v>
      </c>
      <c r="J631" s="4">
        <f t="shared" si="65"/>
        <v>1.7187499999999998E-2</v>
      </c>
      <c r="K631">
        <v>50</v>
      </c>
      <c r="L631" s="4">
        <f t="shared" si="66"/>
        <v>2.6041666666666668E-2</v>
      </c>
      <c r="M631">
        <v>76</v>
      </c>
      <c r="N631" s="4">
        <f t="shared" si="67"/>
        <v>3.9583333333333331E-2</v>
      </c>
      <c r="O631">
        <v>152</v>
      </c>
      <c r="P631" s="4">
        <f t="shared" si="68"/>
        <v>7.9166666666666663E-2</v>
      </c>
      <c r="Q631" s="6" t="str">
        <f t="shared" si="63"/>
        <v>later</v>
      </c>
      <c r="R631" s="6">
        <f t="shared" si="69"/>
        <v>666</v>
      </c>
      <c r="S631">
        <v>77</v>
      </c>
      <c r="T631">
        <v>-21</v>
      </c>
      <c r="U631">
        <v>-9</v>
      </c>
      <c r="V631">
        <v>3</v>
      </c>
      <c r="W631">
        <v>1</v>
      </c>
      <c r="X631">
        <v>-30</v>
      </c>
      <c r="Y631" s="2" t="s">
        <v>932</v>
      </c>
      <c r="Z631">
        <v>43.879240000000003</v>
      </c>
      <c r="AA631">
        <v>8.0056799999999999</v>
      </c>
      <c r="AB631" t="s">
        <v>78</v>
      </c>
      <c r="AC631" t="s">
        <v>81</v>
      </c>
      <c r="AD631" t="s">
        <v>82</v>
      </c>
      <c r="AE631">
        <v>20088</v>
      </c>
      <c r="AF631">
        <v>0</v>
      </c>
      <c r="AG631">
        <v>0</v>
      </c>
      <c r="AH631">
        <v>18821</v>
      </c>
      <c r="AI631">
        <v>0</v>
      </c>
      <c r="AJ631">
        <v>1138</v>
      </c>
      <c r="AK631">
        <v>129</v>
      </c>
      <c r="AL631">
        <v>7487</v>
      </c>
      <c r="AM631">
        <v>16661</v>
      </c>
      <c r="AN631">
        <v>44436</v>
      </c>
      <c r="AO631">
        <v>66441</v>
      </c>
      <c r="AP631">
        <v>3</v>
      </c>
      <c r="AQ631">
        <v>0</v>
      </c>
      <c r="AR631">
        <v>2</v>
      </c>
      <c r="AS631">
        <v>10</v>
      </c>
      <c r="AT631">
        <v>0</v>
      </c>
      <c r="AU631">
        <v>18</v>
      </c>
      <c r="AV631">
        <v>0</v>
      </c>
      <c r="AW631">
        <v>0</v>
      </c>
      <c r="AX631">
        <v>3</v>
      </c>
      <c r="AY631">
        <v>0</v>
      </c>
      <c r="AZ631">
        <v>1</v>
      </c>
      <c r="BA631">
        <v>6</v>
      </c>
      <c r="BB631">
        <v>11</v>
      </c>
      <c r="BC631">
        <v>1</v>
      </c>
      <c r="BD631">
        <v>2</v>
      </c>
      <c r="BE631">
        <v>0</v>
      </c>
      <c r="BF631">
        <v>4</v>
      </c>
      <c r="BG631">
        <v>0</v>
      </c>
      <c r="BH631">
        <v>4</v>
      </c>
      <c r="BI631">
        <v>0</v>
      </c>
      <c r="BJ631">
        <v>43.879238399999998</v>
      </c>
      <c r="BK631">
        <v>8.0056733999999992</v>
      </c>
      <c r="BL631">
        <v>100</v>
      </c>
      <c r="BM631" t="s">
        <v>83</v>
      </c>
      <c r="BN631" t="s">
        <v>84</v>
      </c>
      <c r="BO631" t="s">
        <v>85</v>
      </c>
      <c r="BP631" t="s">
        <v>107</v>
      </c>
      <c r="BQ631" t="s">
        <v>569</v>
      </c>
      <c r="BR631" t="s">
        <v>930</v>
      </c>
      <c r="BS631">
        <v>401795</v>
      </c>
      <c r="BT631">
        <v>0</v>
      </c>
      <c r="BU631">
        <v>0</v>
      </c>
      <c r="BV631">
        <v>376434</v>
      </c>
      <c r="BW631">
        <v>0</v>
      </c>
      <c r="BX631">
        <v>22769</v>
      </c>
      <c r="BY631">
        <v>2592</v>
      </c>
      <c r="BZ631">
        <v>1</v>
      </c>
      <c r="CA631" t="s">
        <v>933</v>
      </c>
      <c r="CB631" t="s">
        <v>934</v>
      </c>
      <c r="CC631" s="3">
        <v>46092.557106481479</v>
      </c>
      <c r="CD631" t="s">
        <v>91</v>
      </c>
    </row>
    <row r="632" spans="1:82" ht="16" x14ac:dyDescent="0.2">
      <c r="A632" t="s">
        <v>1284</v>
      </c>
      <c r="B632" t="s">
        <v>936</v>
      </c>
      <c r="C632" t="s">
        <v>937</v>
      </c>
      <c r="D632" t="s">
        <v>78</v>
      </c>
      <c r="E632" t="s">
        <v>938</v>
      </c>
      <c r="F632">
        <v>2</v>
      </c>
      <c r="G632">
        <v>50</v>
      </c>
      <c r="H632" t="str">
        <f t="shared" si="64"/>
        <v>2x50</v>
      </c>
      <c r="I632">
        <v>33</v>
      </c>
      <c r="J632" s="4">
        <f t="shared" si="65"/>
        <v>1.7187499999999998E-2</v>
      </c>
      <c r="K632">
        <v>49</v>
      </c>
      <c r="L632" s="4">
        <f t="shared" si="66"/>
        <v>2.5520833333333336E-2</v>
      </c>
      <c r="M632">
        <v>75</v>
      </c>
      <c r="N632" s="4">
        <f t="shared" si="67"/>
        <v>3.90625E-2</v>
      </c>
      <c r="O632">
        <v>150</v>
      </c>
      <c r="P632" s="4">
        <f t="shared" si="68"/>
        <v>7.8125E-2</v>
      </c>
      <c r="Q632" s="6" t="str">
        <f t="shared" si="63"/>
        <v>later</v>
      </c>
      <c r="R632" s="6">
        <f t="shared" si="69"/>
        <v>666</v>
      </c>
      <c r="S632">
        <v>77</v>
      </c>
      <c r="T632">
        <v>-17</v>
      </c>
      <c r="U632">
        <v>-8</v>
      </c>
      <c r="V632">
        <v>-4</v>
      </c>
      <c r="W632">
        <v>1</v>
      </c>
      <c r="X632">
        <v>-30</v>
      </c>
      <c r="Y632" s="2" t="s">
        <v>939</v>
      </c>
      <c r="Z632">
        <v>45.1772572587208</v>
      </c>
      <c r="AA632">
        <v>9.6325682644175608</v>
      </c>
      <c r="AB632" t="s">
        <v>78</v>
      </c>
      <c r="AC632" t="s">
        <v>81</v>
      </c>
      <c r="AD632" t="s">
        <v>82</v>
      </c>
      <c r="AE632">
        <v>16167</v>
      </c>
      <c r="AF632">
        <v>0</v>
      </c>
      <c r="AG632">
        <v>0</v>
      </c>
      <c r="AH632">
        <v>0</v>
      </c>
      <c r="AI632">
        <v>10960</v>
      </c>
      <c r="AJ632">
        <v>3781</v>
      </c>
      <c r="AK632">
        <v>1426</v>
      </c>
      <c r="AL632">
        <v>3443</v>
      </c>
      <c r="AM632">
        <v>12794</v>
      </c>
      <c r="AN632">
        <v>25198</v>
      </c>
      <c r="AO632">
        <v>69509</v>
      </c>
      <c r="AP632">
        <v>1</v>
      </c>
      <c r="AQ632">
        <v>0</v>
      </c>
      <c r="AR632">
        <v>1</v>
      </c>
      <c r="AS632">
        <v>7</v>
      </c>
      <c r="AT632">
        <v>0</v>
      </c>
      <c r="AU632">
        <v>15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3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45.1774171</v>
      </c>
      <c r="BK632">
        <v>9.6324953999999998</v>
      </c>
      <c r="BL632">
        <v>100</v>
      </c>
      <c r="BM632" t="s">
        <v>83</v>
      </c>
      <c r="BN632" t="s">
        <v>84</v>
      </c>
      <c r="BO632" t="s">
        <v>85</v>
      </c>
      <c r="BP632" t="s">
        <v>107</v>
      </c>
      <c r="BQ632" t="s">
        <v>108</v>
      </c>
      <c r="BR632" t="s">
        <v>539</v>
      </c>
      <c r="BS632">
        <v>323461</v>
      </c>
      <c r="BT632">
        <v>0</v>
      </c>
      <c r="BU632">
        <v>0</v>
      </c>
      <c r="BV632">
        <v>0</v>
      </c>
      <c r="BW632">
        <v>219222</v>
      </c>
      <c r="BX632">
        <v>75698</v>
      </c>
      <c r="BY632">
        <v>28541</v>
      </c>
      <c r="BZ632">
        <v>1</v>
      </c>
      <c r="CA632" t="s">
        <v>940</v>
      </c>
      <c r="CB632" t="s">
        <v>941</v>
      </c>
      <c r="CC632" s="3">
        <v>46092.557106481479</v>
      </c>
      <c r="CD632" t="s">
        <v>91</v>
      </c>
    </row>
    <row r="633" spans="1:82" ht="16" x14ac:dyDescent="0.2">
      <c r="A633" t="s">
        <v>1285</v>
      </c>
      <c r="B633" t="s">
        <v>950</v>
      </c>
      <c r="C633" t="s">
        <v>951</v>
      </c>
      <c r="D633" t="s">
        <v>78</v>
      </c>
      <c r="E633" t="s">
        <v>952</v>
      </c>
      <c r="F633">
        <v>2</v>
      </c>
      <c r="G633">
        <v>50</v>
      </c>
      <c r="H633" t="str">
        <f t="shared" si="64"/>
        <v>2x50</v>
      </c>
      <c r="I633">
        <v>31</v>
      </c>
      <c r="J633" s="4">
        <f t="shared" si="65"/>
        <v>1.6145833333333335E-2</v>
      </c>
      <c r="K633">
        <v>47</v>
      </c>
      <c r="L633" s="4">
        <f t="shared" si="66"/>
        <v>2.4479166666666666E-2</v>
      </c>
      <c r="M633">
        <v>72</v>
      </c>
      <c r="N633" s="4">
        <f t="shared" si="67"/>
        <v>3.7499999999999999E-2</v>
      </c>
      <c r="O633">
        <v>143</v>
      </c>
      <c r="P633" s="4">
        <f t="shared" si="68"/>
        <v>7.4479166666666666E-2</v>
      </c>
      <c r="Q633" s="6" t="str">
        <f t="shared" si="63"/>
        <v>later</v>
      </c>
      <c r="R633" s="6">
        <f t="shared" si="69"/>
        <v>666</v>
      </c>
      <c r="S633">
        <v>77</v>
      </c>
      <c r="T633">
        <v>-17</v>
      </c>
      <c r="U633">
        <v>-8</v>
      </c>
      <c r="V633">
        <v>-6</v>
      </c>
      <c r="W633">
        <v>2</v>
      </c>
      <c r="X633">
        <v>-29</v>
      </c>
      <c r="Y633" s="2" t="s">
        <v>953</v>
      </c>
      <c r="Z633">
        <v>38.838334926692298</v>
      </c>
      <c r="AA633">
        <v>16.640370562761401</v>
      </c>
      <c r="AB633" t="s">
        <v>78</v>
      </c>
      <c r="AC633" t="s">
        <v>81</v>
      </c>
      <c r="AD633" t="s">
        <v>82</v>
      </c>
      <c r="AE633">
        <v>10796</v>
      </c>
      <c r="AF633">
        <v>0</v>
      </c>
      <c r="AG633">
        <v>0</v>
      </c>
      <c r="AH633">
        <v>0</v>
      </c>
      <c r="AI633">
        <v>9733</v>
      </c>
      <c r="AJ633">
        <v>0</v>
      </c>
      <c r="AK633">
        <v>1063</v>
      </c>
      <c r="AL633">
        <v>2282</v>
      </c>
      <c r="AM633">
        <v>8685</v>
      </c>
      <c r="AN633">
        <v>32808</v>
      </c>
      <c r="AO633">
        <v>75805</v>
      </c>
      <c r="AP633">
        <v>0</v>
      </c>
      <c r="AQ633">
        <v>0</v>
      </c>
      <c r="AR633">
        <v>1</v>
      </c>
      <c r="AS633">
        <v>2</v>
      </c>
      <c r="AT633">
        <v>1</v>
      </c>
      <c r="AU633">
        <v>8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10</v>
      </c>
      <c r="BB633">
        <v>17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38.838475000000003</v>
      </c>
      <c r="BK633">
        <v>16.640216299999999</v>
      </c>
      <c r="BL633">
        <v>100</v>
      </c>
      <c r="BM633" t="s">
        <v>83</v>
      </c>
      <c r="BN633" t="s">
        <v>84</v>
      </c>
      <c r="BO633" t="s">
        <v>85</v>
      </c>
      <c r="BP633" t="s">
        <v>97</v>
      </c>
      <c r="BQ633" t="s">
        <v>954</v>
      </c>
      <c r="BR633" t="s">
        <v>955</v>
      </c>
      <c r="BS633">
        <v>215955</v>
      </c>
      <c r="BT633">
        <v>0</v>
      </c>
      <c r="BU633">
        <v>0</v>
      </c>
      <c r="BV633">
        <v>0</v>
      </c>
      <c r="BW633">
        <v>194684</v>
      </c>
      <c r="BX633">
        <v>0</v>
      </c>
      <c r="BY633">
        <v>21271</v>
      </c>
      <c r="BZ633">
        <v>1</v>
      </c>
      <c r="CA633" t="s">
        <v>956</v>
      </c>
      <c r="CB633" t="s">
        <v>957</v>
      </c>
      <c r="CC633" s="3">
        <v>46092.557106481479</v>
      </c>
      <c r="CD633" t="s">
        <v>91</v>
      </c>
    </row>
    <row r="634" spans="1:82" ht="16" x14ac:dyDescent="0.2">
      <c r="A634" t="s">
        <v>1286</v>
      </c>
      <c r="B634" t="s">
        <v>1011</v>
      </c>
      <c r="C634" t="s">
        <v>1012</v>
      </c>
      <c r="D634" t="s">
        <v>78</v>
      </c>
      <c r="E634" t="s">
        <v>1013</v>
      </c>
      <c r="F634">
        <v>2</v>
      </c>
      <c r="G634">
        <v>50</v>
      </c>
      <c r="H634" t="str">
        <f t="shared" si="64"/>
        <v>2x50</v>
      </c>
      <c r="I634">
        <v>31</v>
      </c>
      <c r="J634" s="4">
        <f t="shared" si="65"/>
        <v>1.6145833333333335E-2</v>
      </c>
      <c r="K634">
        <v>46</v>
      </c>
      <c r="L634" s="4">
        <f t="shared" si="66"/>
        <v>2.3958333333333331E-2</v>
      </c>
      <c r="M634">
        <v>70</v>
      </c>
      <c r="N634" s="4">
        <f t="shared" si="67"/>
        <v>3.6458333333333336E-2</v>
      </c>
      <c r="O634">
        <v>140</v>
      </c>
      <c r="P634" s="4">
        <f t="shared" si="68"/>
        <v>7.2916666666666671E-2</v>
      </c>
      <c r="Q634" s="6" t="str">
        <f t="shared" si="63"/>
        <v>later</v>
      </c>
      <c r="R634" s="6">
        <f t="shared" si="69"/>
        <v>666</v>
      </c>
      <c r="S634">
        <v>77</v>
      </c>
      <c r="T634">
        <v>-20</v>
      </c>
      <c r="U634">
        <v>-8</v>
      </c>
      <c r="V634">
        <v>-2</v>
      </c>
      <c r="W634">
        <v>-1</v>
      </c>
      <c r="X634">
        <v>-27</v>
      </c>
      <c r="Y634" s="2" t="s">
        <v>1014</v>
      </c>
      <c r="Z634">
        <v>41.692535960932503</v>
      </c>
      <c r="AA634">
        <v>12.780724235582399</v>
      </c>
      <c r="AB634" t="s">
        <v>78</v>
      </c>
      <c r="AC634" t="s">
        <v>81</v>
      </c>
      <c r="AD634" t="s">
        <v>82</v>
      </c>
      <c r="AE634">
        <v>19578</v>
      </c>
      <c r="AF634">
        <v>0</v>
      </c>
      <c r="AG634">
        <v>0</v>
      </c>
      <c r="AH634">
        <v>6742</v>
      </c>
      <c r="AI634">
        <v>6930</v>
      </c>
      <c r="AJ634">
        <v>2986</v>
      </c>
      <c r="AK634">
        <v>2920</v>
      </c>
      <c r="AL634">
        <v>12135</v>
      </c>
      <c r="AM634">
        <v>24916</v>
      </c>
      <c r="AN634">
        <v>48689</v>
      </c>
      <c r="AO634">
        <v>133378</v>
      </c>
      <c r="AP634">
        <v>3</v>
      </c>
      <c r="AQ634">
        <v>1</v>
      </c>
      <c r="AR634">
        <v>1</v>
      </c>
      <c r="AS634">
        <v>12</v>
      </c>
      <c r="AT634">
        <v>0</v>
      </c>
      <c r="AU634">
        <v>17</v>
      </c>
      <c r="AV634">
        <v>21</v>
      </c>
      <c r="AW634">
        <v>0</v>
      </c>
      <c r="AX634">
        <v>0</v>
      </c>
      <c r="AY634">
        <v>0</v>
      </c>
      <c r="AZ634">
        <v>5</v>
      </c>
      <c r="BA634">
        <v>9</v>
      </c>
      <c r="BB634">
        <v>19</v>
      </c>
      <c r="BC634">
        <v>5</v>
      </c>
      <c r="BD634">
        <v>0</v>
      </c>
      <c r="BE634">
        <v>0</v>
      </c>
      <c r="BF634">
        <v>5</v>
      </c>
      <c r="BG634">
        <v>0</v>
      </c>
      <c r="BH634">
        <v>5</v>
      </c>
      <c r="BI634">
        <v>0</v>
      </c>
      <c r="BJ634">
        <v>41.692558900000002</v>
      </c>
      <c r="BK634">
        <v>12.780775</v>
      </c>
      <c r="BL634">
        <v>100</v>
      </c>
      <c r="BM634" t="s">
        <v>83</v>
      </c>
      <c r="BN634" t="s">
        <v>84</v>
      </c>
      <c r="BO634" t="s">
        <v>85</v>
      </c>
      <c r="BP634" t="s">
        <v>86</v>
      </c>
      <c r="BQ634" t="s">
        <v>87</v>
      </c>
      <c r="BR634" t="s">
        <v>88</v>
      </c>
      <c r="BS634">
        <v>391651</v>
      </c>
      <c r="BT634">
        <v>0</v>
      </c>
      <c r="BU634">
        <v>0</v>
      </c>
      <c r="BV634">
        <v>134850</v>
      </c>
      <c r="BW634">
        <v>138622</v>
      </c>
      <c r="BX634">
        <v>59751</v>
      </c>
      <c r="BY634">
        <v>58428</v>
      </c>
      <c r="BZ634">
        <v>1</v>
      </c>
      <c r="CA634" t="s">
        <v>1015</v>
      </c>
      <c r="CB634" t="s">
        <v>1016</v>
      </c>
      <c r="CC634" s="3">
        <v>46092.557106481479</v>
      </c>
      <c r="CD634" t="s">
        <v>91</v>
      </c>
    </row>
    <row r="635" spans="1:82" ht="16" x14ac:dyDescent="0.2">
      <c r="A635" t="s">
        <v>1287</v>
      </c>
      <c r="B635" t="s">
        <v>972</v>
      </c>
      <c r="C635" t="s">
        <v>973</v>
      </c>
      <c r="D635" t="s">
        <v>78</v>
      </c>
      <c r="E635" t="s">
        <v>974</v>
      </c>
      <c r="F635">
        <v>2</v>
      </c>
      <c r="G635">
        <v>50</v>
      </c>
      <c r="H635" t="str">
        <f t="shared" si="64"/>
        <v>2x50</v>
      </c>
      <c r="I635">
        <v>30</v>
      </c>
      <c r="J635" s="4">
        <f t="shared" si="65"/>
        <v>1.5625E-2</v>
      </c>
      <c r="K635">
        <v>46</v>
      </c>
      <c r="L635" s="4">
        <f t="shared" si="66"/>
        <v>2.3958333333333331E-2</v>
      </c>
      <c r="M635">
        <v>70</v>
      </c>
      <c r="N635" s="4">
        <f t="shared" si="67"/>
        <v>3.6458333333333336E-2</v>
      </c>
      <c r="O635">
        <v>139</v>
      </c>
      <c r="P635" s="4">
        <f t="shared" si="68"/>
        <v>7.239583333333334E-2</v>
      </c>
      <c r="Q635" s="6" t="str">
        <f t="shared" si="63"/>
        <v>later</v>
      </c>
      <c r="R635" s="6">
        <f t="shared" si="69"/>
        <v>666</v>
      </c>
      <c r="S635">
        <v>77</v>
      </c>
      <c r="T635">
        <v>-19</v>
      </c>
      <c r="U635">
        <v>-8</v>
      </c>
      <c r="V635">
        <v>-3</v>
      </c>
      <c r="W635">
        <v>-1</v>
      </c>
      <c r="X635">
        <v>-28</v>
      </c>
      <c r="Y635" s="2" t="s">
        <v>975</v>
      </c>
      <c r="Z635">
        <v>45.122408</v>
      </c>
      <c r="AA635">
        <v>8.4636069999999997</v>
      </c>
      <c r="AB635" t="s">
        <v>78</v>
      </c>
      <c r="AC635" t="s">
        <v>81</v>
      </c>
      <c r="AD635" t="s">
        <v>82</v>
      </c>
      <c r="AE635">
        <v>11013</v>
      </c>
      <c r="AF635">
        <v>0</v>
      </c>
      <c r="AG635">
        <v>0</v>
      </c>
      <c r="AH635">
        <v>3704</v>
      </c>
      <c r="AI635">
        <v>0</v>
      </c>
      <c r="AJ635">
        <v>0</v>
      </c>
      <c r="AK635">
        <v>7309</v>
      </c>
      <c r="AL635">
        <v>2690</v>
      </c>
      <c r="AM635">
        <v>18322</v>
      </c>
      <c r="AN635">
        <v>33303</v>
      </c>
      <c r="AO635">
        <v>52942</v>
      </c>
      <c r="AP635">
        <v>0</v>
      </c>
      <c r="AQ635">
        <v>0</v>
      </c>
      <c r="AR635">
        <v>2</v>
      </c>
      <c r="AS635">
        <v>2</v>
      </c>
      <c r="AT635">
        <v>0</v>
      </c>
      <c r="AU635">
        <v>16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11</v>
      </c>
      <c r="BB635">
        <v>27</v>
      </c>
      <c r="BC635">
        <v>9</v>
      </c>
      <c r="BD635">
        <v>2</v>
      </c>
      <c r="BE635">
        <v>0</v>
      </c>
      <c r="BF635">
        <v>2</v>
      </c>
      <c r="BG635">
        <v>0</v>
      </c>
      <c r="BH635">
        <v>5</v>
      </c>
      <c r="BI635">
        <v>0</v>
      </c>
      <c r="BJ635">
        <v>45.122407699999997</v>
      </c>
      <c r="BK635">
        <v>8.4638810000000007</v>
      </c>
      <c r="BL635">
        <v>100</v>
      </c>
      <c r="BM635" t="s">
        <v>83</v>
      </c>
      <c r="BN635" t="s">
        <v>84</v>
      </c>
      <c r="BO635" t="s">
        <v>85</v>
      </c>
      <c r="BP635" t="s">
        <v>107</v>
      </c>
      <c r="BQ635" t="s">
        <v>203</v>
      </c>
      <c r="BR635" t="s">
        <v>671</v>
      </c>
      <c r="BS635">
        <v>220292</v>
      </c>
      <c r="BT635">
        <v>0</v>
      </c>
      <c r="BU635">
        <v>0</v>
      </c>
      <c r="BV635">
        <v>74094</v>
      </c>
      <c r="BW635">
        <v>0</v>
      </c>
      <c r="BX635">
        <v>0</v>
      </c>
      <c r="BY635">
        <v>146198</v>
      </c>
      <c r="BZ635">
        <v>1</v>
      </c>
      <c r="CA635" t="s">
        <v>976</v>
      </c>
      <c r="CB635" t="s">
        <v>977</v>
      </c>
      <c r="CC635" s="3">
        <v>46092.557106481479</v>
      </c>
      <c r="CD635" t="s">
        <v>91</v>
      </c>
    </row>
    <row r="636" spans="1:82" ht="16" x14ac:dyDescent="0.2">
      <c r="A636" t="s">
        <v>1288</v>
      </c>
      <c r="B636" t="s">
        <v>962</v>
      </c>
      <c r="C636" t="s">
        <v>963</v>
      </c>
      <c r="D636" t="s">
        <v>78</v>
      </c>
      <c r="E636" t="s">
        <v>964</v>
      </c>
      <c r="F636">
        <v>2</v>
      </c>
      <c r="G636">
        <v>50</v>
      </c>
      <c r="H636" t="str">
        <f t="shared" si="64"/>
        <v>2x50</v>
      </c>
      <c r="I636">
        <v>30</v>
      </c>
      <c r="J636" s="4">
        <f t="shared" si="65"/>
        <v>1.5625E-2</v>
      </c>
      <c r="K636">
        <v>45</v>
      </c>
      <c r="L636" s="4">
        <f t="shared" si="66"/>
        <v>2.34375E-2</v>
      </c>
      <c r="M636">
        <v>69</v>
      </c>
      <c r="N636" s="4">
        <f t="shared" si="67"/>
        <v>3.5937500000000004E-2</v>
      </c>
      <c r="O636">
        <v>138</v>
      </c>
      <c r="P636" s="4">
        <f t="shared" si="68"/>
        <v>7.1875000000000008E-2</v>
      </c>
      <c r="Q636" s="6" t="str">
        <f t="shared" si="63"/>
        <v>later</v>
      </c>
      <c r="R636" s="6">
        <f t="shared" si="69"/>
        <v>666</v>
      </c>
      <c r="S636">
        <v>77</v>
      </c>
      <c r="T636">
        <v>-18</v>
      </c>
      <c r="U636">
        <v>-6</v>
      </c>
      <c r="V636">
        <v>-4</v>
      </c>
      <c r="W636">
        <v>-1</v>
      </c>
      <c r="X636">
        <v>-29</v>
      </c>
      <c r="Y636" s="2" t="s">
        <v>965</v>
      </c>
      <c r="Z636">
        <v>44.083342999999999</v>
      </c>
      <c r="AA636">
        <v>8.2232869999999991</v>
      </c>
      <c r="AB636" t="s">
        <v>78</v>
      </c>
      <c r="AC636" t="s">
        <v>81</v>
      </c>
      <c r="AD636" t="s">
        <v>82</v>
      </c>
      <c r="AE636">
        <v>11277</v>
      </c>
      <c r="AF636">
        <v>0</v>
      </c>
      <c r="AG636">
        <v>0</v>
      </c>
      <c r="AH636">
        <v>8255</v>
      </c>
      <c r="AI636">
        <v>0</v>
      </c>
      <c r="AJ636">
        <v>970</v>
      </c>
      <c r="AK636">
        <v>2052</v>
      </c>
      <c r="AL636">
        <v>2303</v>
      </c>
      <c r="AM636">
        <v>6108</v>
      </c>
      <c r="AN636">
        <v>36530</v>
      </c>
      <c r="AO636">
        <v>72328</v>
      </c>
      <c r="AP636">
        <v>0</v>
      </c>
      <c r="AQ636">
        <v>0</v>
      </c>
      <c r="AR636">
        <v>2</v>
      </c>
      <c r="AS636">
        <v>8</v>
      </c>
      <c r="AT636">
        <v>0</v>
      </c>
      <c r="AU636">
        <v>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4</v>
      </c>
      <c r="BB636">
        <v>7</v>
      </c>
      <c r="BC636">
        <v>4</v>
      </c>
      <c r="BD636">
        <v>1</v>
      </c>
      <c r="BE636">
        <v>0</v>
      </c>
      <c r="BF636">
        <v>1</v>
      </c>
      <c r="BG636">
        <v>0</v>
      </c>
      <c r="BH636">
        <v>3</v>
      </c>
      <c r="BI636">
        <v>6</v>
      </c>
      <c r="BJ636">
        <v>44.0833491</v>
      </c>
      <c r="BK636">
        <v>8.2232892999999994</v>
      </c>
      <c r="BL636">
        <v>100</v>
      </c>
      <c r="BM636" t="s">
        <v>83</v>
      </c>
      <c r="BN636" t="s">
        <v>84</v>
      </c>
      <c r="BO636" t="s">
        <v>85</v>
      </c>
      <c r="BP636" t="s">
        <v>107</v>
      </c>
      <c r="BQ636" t="s">
        <v>569</v>
      </c>
      <c r="BR636" t="s">
        <v>966</v>
      </c>
      <c r="BS636">
        <v>225590</v>
      </c>
      <c r="BT636">
        <v>0</v>
      </c>
      <c r="BU636">
        <v>0</v>
      </c>
      <c r="BV636">
        <v>165105</v>
      </c>
      <c r="BW636">
        <v>0</v>
      </c>
      <c r="BX636">
        <v>19418</v>
      </c>
      <c r="BY636">
        <v>41067</v>
      </c>
      <c r="BZ636">
        <v>1</v>
      </c>
      <c r="CA636" t="s">
        <v>967</v>
      </c>
      <c r="CB636" t="s">
        <v>968</v>
      </c>
      <c r="CC636" s="3">
        <v>46092.557106481479</v>
      </c>
      <c r="CD636" t="s">
        <v>91</v>
      </c>
    </row>
    <row r="637" spans="1:82" ht="16" x14ac:dyDescent="0.2">
      <c r="A637" t="s">
        <v>1289</v>
      </c>
      <c r="B637" t="s">
        <v>980</v>
      </c>
      <c r="C637" t="s">
        <v>981</v>
      </c>
      <c r="D637" t="s">
        <v>78</v>
      </c>
      <c r="E637" t="s">
        <v>982</v>
      </c>
      <c r="F637">
        <v>2</v>
      </c>
      <c r="G637">
        <v>50</v>
      </c>
      <c r="H637" t="str">
        <f t="shared" si="64"/>
        <v>2x50</v>
      </c>
      <c r="I637">
        <v>30</v>
      </c>
      <c r="J637" s="4">
        <f t="shared" si="65"/>
        <v>1.5625E-2</v>
      </c>
      <c r="K637">
        <v>45</v>
      </c>
      <c r="L637" s="4">
        <f t="shared" si="66"/>
        <v>2.34375E-2</v>
      </c>
      <c r="M637">
        <v>68</v>
      </c>
      <c r="N637" s="4">
        <f t="shared" si="67"/>
        <v>3.5416666666666666E-2</v>
      </c>
      <c r="O637">
        <v>136</v>
      </c>
      <c r="P637" s="4">
        <f t="shared" si="68"/>
        <v>7.0833333333333331E-2</v>
      </c>
      <c r="Q637" s="6" t="str">
        <f t="shared" si="63"/>
        <v>later</v>
      </c>
      <c r="R637" s="6">
        <f t="shared" si="69"/>
        <v>666</v>
      </c>
      <c r="S637">
        <v>77</v>
      </c>
      <c r="T637">
        <v>-19</v>
      </c>
      <c r="U637">
        <v>-8</v>
      </c>
      <c r="V637">
        <v>-4</v>
      </c>
      <c r="W637">
        <v>0</v>
      </c>
      <c r="X637">
        <v>-29</v>
      </c>
      <c r="Y637" s="2" t="s">
        <v>983</v>
      </c>
      <c r="Z637">
        <v>45.434049365696602</v>
      </c>
      <c r="AA637">
        <v>8.7128907441756294</v>
      </c>
      <c r="AB637" t="s">
        <v>78</v>
      </c>
      <c r="AC637" t="s">
        <v>81</v>
      </c>
      <c r="AD637" t="s">
        <v>82</v>
      </c>
      <c r="AE637">
        <v>28886</v>
      </c>
      <c r="AF637">
        <v>0</v>
      </c>
      <c r="AG637">
        <v>0</v>
      </c>
      <c r="AH637">
        <v>23116</v>
      </c>
      <c r="AI637">
        <v>513</v>
      </c>
      <c r="AJ637">
        <v>2611</v>
      </c>
      <c r="AK637">
        <v>2646</v>
      </c>
      <c r="AL637">
        <v>1830</v>
      </c>
      <c r="AM637">
        <v>9226</v>
      </c>
      <c r="AN637">
        <v>40525</v>
      </c>
      <c r="AO637">
        <v>171366</v>
      </c>
      <c r="AP637">
        <v>0</v>
      </c>
      <c r="AQ637">
        <v>0</v>
      </c>
      <c r="AR637">
        <v>1</v>
      </c>
      <c r="AS637">
        <v>2</v>
      </c>
      <c r="AT637">
        <v>0</v>
      </c>
      <c r="AU637">
        <v>9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45.434079199999999</v>
      </c>
      <c r="BK637">
        <v>8.7128285999999999</v>
      </c>
      <c r="BL637">
        <v>100</v>
      </c>
      <c r="BM637" t="s">
        <v>83</v>
      </c>
      <c r="BN637" t="s">
        <v>84</v>
      </c>
      <c r="BO637" t="s">
        <v>85</v>
      </c>
      <c r="BP637" t="s">
        <v>107</v>
      </c>
      <c r="BQ637" t="s">
        <v>203</v>
      </c>
      <c r="BR637" t="s">
        <v>310</v>
      </c>
      <c r="BS637">
        <v>567551</v>
      </c>
      <c r="BT637">
        <v>0</v>
      </c>
      <c r="BU637">
        <v>0</v>
      </c>
      <c r="BV637">
        <v>462340</v>
      </c>
      <c r="BW637">
        <v>0</v>
      </c>
      <c r="BX637">
        <v>52286</v>
      </c>
      <c r="BY637">
        <v>52925</v>
      </c>
      <c r="BZ637">
        <v>1</v>
      </c>
      <c r="CA637" t="s">
        <v>984</v>
      </c>
      <c r="CB637" t="s">
        <v>985</v>
      </c>
      <c r="CC637" s="3">
        <v>46092.557106481479</v>
      </c>
      <c r="CD637" t="s">
        <v>91</v>
      </c>
    </row>
    <row r="638" spans="1:82" ht="16" x14ac:dyDescent="0.2">
      <c r="A638" t="s">
        <v>1290</v>
      </c>
      <c r="B638" t="s">
        <v>1003</v>
      </c>
      <c r="C638" t="s">
        <v>1004</v>
      </c>
      <c r="D638" t="s">
        <v>78</v>
      </c>
      <c r="E638" t="s">
        <v>1005</v>
      </c>
      <c r="F638">
        <v>2</v>
      </c>
      <c r="G638">
        <v>50</v>
      </c>
      <c r="H638" t="str">
        <f t="shared" si="64"/>
        <v>2x50</v>
      </c>
      <c r="I638">
        <v>28</v>
      </c>
      <c r="J638" s="4">
        <f t="shared" si="65"/>
        <v>1.4583333333333332E-2</v>
      </c>
      <c r="K638">
        <v>42</v>
      </c>
      <c r="L638" s="4">
        <f t="shared" si="66"/>
        <v>2.1875000000000002E-2</v>
      </c>
      <c r="M638">
        <v>63</v>
      </c>
      <c r="N638" s="4">
        <f t="shared" si="67"/>
        <v>3.2812500000000001E-2</v>
      </c>
      <c r="O638">
        <v>126</v>
      </c>
      <c r="P638" s="4">
        <f t="shared" si="68"/>
        <v>6.5625000000000003E-2</v>
      </c>
      <c r="Q638" s="6" t="str">
        <f t="shared" si="63"/>
        <v>later</v>
      </c>
      <c r="R638" s="6">
        <f t="shared" si="69"/>
        <v>666</v>
      </c>
      <c r="S638">
        <v>77</v>
      </c>
      <c r="T638">
        <v>-22</v>
      </c>
      <c r="U638">
        <v>-9</v>
      </c>
      <c r="V638">
        <v>0</v>
      </c>
      <c r="W638">
        <v>-3</v>
      </c>
      <c r="X638">
        <v>-29</v>
      </c>
      <c r="Y638" s="2" t="s">
        <v>1006</v>
      </c>
      <c r="Z638">
        <v>41.702924506997299</v>
      </c>
      <c r="AA638">
        <v>13.5895092887061</v>
      </c>
      <c r="AB638" t="s">
        <v>78</v>
      </c>
      <c r="AC638" t="s">
        <v>81</v>
      </c>
      <c r="AD638" t="s">
        <v>82</v>
      </c>
      <c r="AE638">
        <v>16504</v>
      </c>
      <c r="AF638">
        <v>0</v>
      </c>
      <c r="AG638">
        <v>0</v>
      </c>
      <c r="AH638">
        <v>10952</v>
      </c>
      <c r="AI638">
        <v>0</v>
      </c>
      <c r="AJ638">
        <v>5552</v>
      </c>
      <c r="AK638">
        <v>0</v>
      </c>
      <c r="AL638">
        <v>1748</v>
      </c>
      <c r="AM638">
        <v>9711</v>
      </c>
      <c r="AN638">
        <v>41850</v>
      </c>
      <c r="AO638">
        <v>69738</v>
      </c>
      <c r="AP638">
        <v>1</v>
      </c>
      <c r="AQ638">
        <v>0</v>
      </c>
      <c r="AR638">
        <v>4</v>
      </c>
      <c r="AS638">
        <v>6</v>
      </c>
      <c r="AT638">
        <v>0</v>
      </c>
      <c r="AU638">
        <v>19</v>
      </c>
      <c r="AV638">
        <v>8</v>
      </c>
      <c r="AW638">
        <v>2</v>
      </c>
      <c r="AX638">
        <v>0</v>
      </c>
      <c r="AY638">
        <v>1</v>
      </c>
      <c r="AZ638">
        <v>2</v>
      </c>
      <c r="BA638">
        <v>4</v>
      </c>
      <c r="BB638">
        <v>6</v>
      </c>
      <c r="BC638">
        <v>3</v>
      </c>
      <c r="BD638">
        <v>2</v>
      </c>
      <c r="BE638">
        <v>0</v>
      </c>
      <c r="BF638">
        <v>2</v>
      </c>
      <c r="BG638">
        <v>0</v>
      </c>
      <c r="BH638">
        <v>6</v>
      </c>
      <c r="BI638">
        <v>0</v>
      </c>
      <c r="BJ638">
        <v>41.702889999999996</v>
      </c>
      <c r="BK638">
        <v>13.589699899999999</v>
      </c>
      <c r="BL638">
        <v>100</v>
      </c>
      <c r="BM638" t="s">
        <v>83</v>
      </c>
      <c r="BN638" t="s">
        <v>84</v>
      </c>
      <c r="BO638" t="s">
        <v>85</v>
      </c>
      <c r="BP638" t="s">
        <v>86</v>
      </c>
      <c r="BQ638" t="s">
        <v>87</v>
      </c>
      <c r="BR638" t="s">
        <v>1007</v>
      </c>
      <c r="BS638">
        <v>313478</v>
      </c>
      <c r="BT638">
        <v>0</v>
      </c>
      <c r="BU638">
        <v>0</v>
      </c>
      <c r="BV638">
        <v>202382</v>
      </c>
      <c r="BW638">
        <v>0</v>
      </c>
      <c r="BX638">
        <v>111096</v>
      </c>
      <c r="BY638">
        <v>0</v>
      </c>
      <c r="BZ638">
        <v>1</v>
      </c>
      <c r="CA638" t="s">
        <v>1008</v>
      </c>
      <c r="CB638" t="s">
        <v>1009</v>
      </c>
      <c r="CC638" s="3">
        <v>46092.557106481479</v>
      </c>
      <c r="CD638" t="s">
        <v>91</v>
      </c>
    </row>
    <row r="639" spans="1:82" ht="16" x14ac:dyDescent="0.2">
      <c r="A639" t="s">
        <v>1291</v>
      </c>
      <c r="B639" t="s">
        <v>987</v>
      </c>
      <c r="C639" t="s">
        <v>988</v>
      </c>
      <c r="D639" t="s">
        <v>78</v>
      </c>
      <c r="E639" t="s">
        <v>989</v>
      </c>
      <c r="F639">
        <v>2</v>
      </c>
      <c r="G639">
        <v>50</v>
      </c>
      <c r="H639" t="str">
        <f t="shared" si="64"/>
        <v>2x50</v>
      </c>
      <c r="I639">
        <v>27</v>
      </c>
      <c r="J639" s="4">
        <f t="shared" si="65"/>
        <v>1.40625E-2</v>
      </c>
      <c r="K639">
        <v>41</v>
      </c>
      <c r="L639" s="4">
        <f t="shared" si="66"/>
        <v>2.1354166666666664E-2</v>
      </c>
      <c r="M639">
        <v>63</v>
      </c>
      <c r="N639" s="4">
        <f t="shared" si="67"/>
        <v>3.2812500000000001E-2</v>
      </c>
      <c r="O639">
        <v>125</v>
      </c>
      <c r="P639" s="4">
        <f t="shared" si="68"/>
        <v>6.5104166666666671E-2</v>
      </c>
      <c r="Q639" s="6" t="str">
        <f t="shared" si="63"/>
        <v>later</v>
      </c>
      <c r="R639" s="6">
        <f t="shared" si="69"/>
        <v>666</v>
      </c>
      <c r="S639">
        <v>77</v>
      </c>
      <c r="T639">
        <v>-19</v>
      </c>
      <c r="U639">
        <v>-8</v>
      </c>
      <c r="V639">
        <v>0</v>
      </c>
      <c r="W639">
        <v>-5</v>
      </c>
      <c r="X639">
        <v>-30</v>
      </c>
      <c r="Y639" s="2" t="s">
        <v>990</v>
      </c>
      <c r="Z639">
        <v>39.891739999999999</v>
      </c>
      <c r="AA639">
        <v>8.5995299999999997</v>
      </c>
      <c r="AB639" t="s">
        <v>78</v>
      </c>
      <c r="AC639" t="s">
        <v>81</v>
      </c>
      <c r="AD639" t="s">
        <v>82</v>
      </c>
      <c r="AE639">
        <v>6129</v>
      </c>
      <c r="AF639">
        <v>0</v>
      </c>
      <c r="AG639">
        <v>0</v>
      </c>
      <c r="AH639">
        <v>0</v>
      </c>
      <c r="AI639">
        <v>4092</v>
      </c>
      <c r="AJ639">
        <v>1677</v>
      </c>
      <c r="AK639">
        <v>360</v>
      </c>
      <c r="AL639">
        <v>7419</v>
      </c>
      <c r="AM639">
        <v>21773</v>
      </c>
      <c r="AN639">
        <v>34716</v>
      </c>
      <c r="AO639">
        <v>52848</v>
      </c>
      <c r="AP639">
        <v>1</v>
      </c>
      <c r="AQ639">
        <v>0</v>
      </c>
      <c r="AR639">
        <v>4</v>
      </c>
      <c r="AS639">
        <v>6</v>
      </c>
      <c r="AT639">
        <v>1</v>
      </c>
      <c r="AU639">
        <v>12</v>
      </c>
      <c r="AV639">
        <v>4</v>
      </c>
      <c r="AW639">
        <v>1</v>
      </c>
      <c r="AX639">
        <v>0</v>
      </c>
      <c r="AY639">
        <v>0</v>
      </c>
      <c r="AZ639">
        <v>1</v>
      </c>
      <c r="BA639">
        <v>22</v>
      </c>
      <c r="BB639">
        <v>46</v>
      </c>
      <c r="BC639">
        <v>5</v>
      </c>
      <c r="BD639">
        <v>4</v>
      </c>
      <c r="BE639">
        <v>0</v>
      </c>
      <c r="BF639">
        <v>6</v>
      </c>
      <c r="BG639">
        <v>0</v>
      </c>
      <c r="BH639">
        <v>6</v>
      </c>
      <c r="BI639">
        <v>0</v>
      </c>
      <c r="BJ639">
        <v>39.891651199999998</v>
      </c>
      <c r="BK639">
        <v>8.5993732999999999</v>
      </c>
      <c r="BL639">
        <v>100</v>
      </c>
      <c r="BM639" t="s">
        <v>83</v>
      </c>
      <c r="BN639" t="s">
        <v>84</v>
      </c>
      <c r="BO639" t="s">
        <v>85</v>
      </c>
      <c r="BP639" t="s">
        <v>242</v>
      </c>
      <c r="BQ639" t="s">
        <v>335</v>
      </c>
      <c r="BR639" t="s">
        <v>988</v>
      </c>
      <c r="BS639">
        <v>122639</v>
      </c>
      <c r="BT639">
        <v>0</v>
      </c>
      <c r="BU639">
        <v>0</v>
      </c>
      <c r="BV639">
        <v>0</v>
      </c>
      <c r="BW639">
        <v>81868</v>
      </c>
      <c r="BX639">
        <v>33552</v>
      </c>
      <c r="BY639">
        <v>7219</v>
      </c>
      <c r="BZ639">
        <v>1</v>
      </c>
      <c r="CA639" t="s">
        <v>991</v>
      </c>
      <c r="CB639" t="s">
        <v>992</v>
      </c>
      <c r="CC639" s="3">
        <v>46092.557106481479</v>
      </c>
      <c r="CD639" t="s">
        <v>91</v>
      </c>
    </row>
    <row r="640" spans="1:82" ht="16" x14ac:dyDescent="0.2">
      <c r="A640" t="s">
        <v>1292</v>
      </c>
      <c r="B640" t="s">
        <v>890</v>
      </c>
      <c r="C640" t="s">
        <v>891</v>
      </c>
      <c r="D640" t="s">
        <v>78</v>
      </c>
      <c r="E640" t="s">
        <v>892</v>
      </c>
      <c r="F640">
        <v>2</v>
      </c>
      <c r="G640">
        <v>50</v>
      </c>
      <c r="H640" t="str">
        <f t="shared" si="64"/>
        <v>2x50</v>
      </c>
      <c r="I640">
        <v>26</v>
      </c>
      <c r="J640" s="4">
        <f t="shared" si="65"/>
        <v>1.3541666666666667E-2</v>
      </c>
      <c r="K640">
        <v>40</v>
      </c>
      <c r="L640" s="4">
        <f t="shared" si="66"/>
        <v>2.0833333333333332E-2</v>
      </c>
      <c r="M640">
        <v>60</v>
      </c>
      <c r="N640" s="4">
        <f t="shared" si="67"/>
        <v>3.125E-2</v>
      </c>
      <c r="O640">
        <v>120</v>
      </c>
      <c r="P640" s="4">
        <f t="shared" si="68"/>
        <v>6.25E-2</v>
      </c>
      <c r="Q640" s="6" t="str">
        <f t="shared" si="63"/>
        <v>later</v>
      </c>
      <c r="R640" s="6">
        <f t="shared" si="69"/>
        <v>666</v>
      </c>
      <c r="S640">
        <v>77</v>
      </c>
      <c r="T640">
        <v>-11</v>
      </c>
      <c r="U640">
        <v>-11</v>
      </c>
      <c r="V640">
        <v>-5</v>
      </c>
      <c r="W640">
        <v>-4</v>
      </c>
      <c r="X640">
        <v>-36</v>
      </c>
      <c r="Y640" s="2" t="s">
        <v>893</v>
      </c>
      <c r="Z640">
        <v>43.720547000000003</v>
      </c>
      <c r="AA640">
        <v>10.979559200000001</v>
      </c>
      <c r="AB640" t="s">
        <v>78</v>
      </c>
      <c r="AC640" t="s">
        <v>81</v>
      </c>
      <c r="AD640" t="s">
        <v>82</v>
      </c>
      <c r="AE640">
        <v>75237</v>
      </c>
      <c r="AF640">
        <v>0</v>
      </c>
      <c r="AG640">
        <v>0</v>
      </c>
      <c r="AH640">
        <v>51717</v>
      </c>
      <c r="AI640">
        <v>9416</v>
      </c>
      <c r="AJ640">
        <v>13711</v>
      </c>
      <c r="AK640">
        <v>393</v>
      </c>
      <c r="AL640">
        <v>1146</v>
      </c>
      <c r="AM640">
        <v>13848</v>
      </c>
      <c r="AN640">
        <v>69024</v>
      </c>
      <c r="AO640">
        <v>108694</v>
      </c>
      <c r="AP640">
        <v>0</v>
      </c>
      <c r="AQ640">
        <v>0</v>
      </c>
      <c r="AR640">
        <v>1</v>
      </c>
      <c r="AS640">
        <v>8</v>
      </c>
      <c r="AT640">
        <v>0</v>
      </c>
      <c r="AU640">
        <v>12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10</v>
      </c>
      <c r="BB640">
        <v>12</v>
      </c>
      <c r="BC640">
        <v>6</v>
      </c>
      <c r="BD640">
        <v>0</v>
      </c>
      <c r="BE640">
        <v>2</v>
      </c>
      <c r="BF640">
        <v>0</v>
      </c>
      <c r="BG640">
        <v>2</v>
      </c>
      <c r="BH640">
        <v>0</v>
      </c>
      <c r="BI640">
        <v>2</v>
      </c>
      <c r="BJ640">
        <v>43.720489999999998</v>
      </c>
      <c r="BK640">
        <v>10.979579899999999</v>
      </c>
      <c r="BL640">
        <v>100</v>
      </c>
      <c r="BM640" t="s">
        <v>83</v>
      </c>
      <c r="BN640" t="s">
        <v>84</v>
      </c>
      <c r="BO640" t="s">
        <v>85</v>
      </c>
      <c r="BP640" t="s">
        <v>86</v>
      </c>
      <c r="BQ640" t="s">
        <v>212</v>
      </c>
      <c r="BR640" t="s">
        <v>213</v>
      </c>
      <c r="BS640">
        <v>1793196</v>
      </c>
      <c r="BT640">
        <v>0</v>
      </c>
      <c r="BU640">
        <v>0</v>
      </c>
      <c r="BV640">
        <v>1344686</v>
      </c>
      <c r="BW640">
        <v>188336</v>
      </c>
      <c r="BX640">
        <v>252291</v>
      </c>
      <c r="BY640">
        <v>7883</v>
      </c>
      <c r="BZ640">
        <v>1</v>
      </c>
      <c r="CA640" t="s">
        <v>894</v>
      </c>
      <c r="CB640" t="s">
        <v>895</v>
      </c>
      <c r="CC640" s="3">
        <v>46092.557106481479</v>
      </c>
      <c r="CD640" t="s">
        <v>91</v>
      </c>
    </row>
    <row r="641" spans="1:82" ht="16" x14ac:dyDescent="0.2">
      <c r="A641" t="s">
        <v>1293</v>
      </c>
      <c r="B641" t="s">
        <v>1050</v>
      </c>
      <c r="C641" t="s">
        <v>1051</v>
      </c>
      <c r="D641" t="s">
        <v>78</v>
      </c>
      <c r="E641" t="s">
        <v>1052</v>
      </c>
      <c r="F641">
        <v>2</v>
      </c>
      <c r="G641">
        <v>50</v>
      </c>
      <c r="H641" t="str">
        <f t="shared" si="64"/>
        <v>2x50</v>
      </c>
      <c r="I641">
        <v>24</v>
      </c>
      <c r="J641" s="4">
        <f t="shared" si="65"/>
        <v>1.2499999999999999E-2</v>
      </c>
      <c r="K641">
        <v>37</v>
      </c>
      <c r="L641" s="4">
        <f t="shared" si="66"/>
        <v>1.9270833333333334E-2</v>
      </c>
      <c r="M641">
        <v>56</v>
      </c>
      <c r="N641" s="4">
        <f t="shared" si="67"/>
        <v>2.9166666666666664E-2</v>
      </c>
      <c r="O641">
        <v>112</v>
      </c>
      <c r="P641" s="4">
        <f t="shared" si="68"/>
        <v>5.8333333333333327E-2</v>
      </c>
      <c r="Q641" s="6" t="str">
        <f t="shared" si="63"/>
        <v>later</v>
      </c>
      <c r="R641" s="6">
        <f t="shared" si="69"/>
        <v>666</v>
      </c>
      <c r="S641">
        <v>77</v>
      </c>
      <c r="T641">
        <v>-21</v>
      </c>
      <c r="U641">
        <v>-9</v>
      </c>
      <c r="V641">
        <v>2</v>
      </c>
      <c r="W641">
        <v>-8</v>
      </c>
      <c r="X641">
        <v>-28</v>
      </c>
      <c r="Y641" s="2" t="s">
        <v>1053</v>
      </c>
      <c r="Z641">
        <v>45.516686086832998</v>
      </c>
      <c r="AA641">
        <v>11.466294001845799</v>
      </c>
      <c r="AB641" t="s">
        <v>78</v>
      </c>
      <c r="AC641" t="s">
        <v>81</v>
      </c>
      <c r="AD641" t="s">
        <v>82</v>
      </c>
      <c r="AE641">
        <v>16077</v>
      </c>
      <c r="AF641">
        <v>0</v>
      </c>
      <c r="AG641">
        <v>0</v>
      </c>
      <c r="AH641">
        <v>9006</v>
      </c>
      <c r="AI641">
        <v>0</v>
      </c>
      <c r="AJ641">
        <v>7071</v>
      </c>
      <c r="AK641">
        <v>0</v>
      </c>
      <c r="AL641">
        <v>5101</v>
      </c>
      <c r="AM641">
        <v>17058</v>
      </c>
      <c r="AN641">
        <v>61244</v>
      </c>
      <c r="AO641">
        <v>217734</v>
      </c>
      <c r="AP641">
        <v>0</v>
      </c>
      <c r="AQ641">
        <v>1</v>
      </c>
      <c r="AR641">
        <v>3</v>
      </c>
      <c r="AS641">
        <v>3</v>
      </c>
      <c r="AT641">
        <v>0</v>
      </c>
      <c r="AU641">
        <v>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4</v>
      </c>
      <c r="BB641">
        <v>20</v>
      </c>
      <c r="BC641">
        <v>2</v>
      </c>
      <c r="BD641">
        <v>0</v>
      </c>
      <c r="BE641">
        <v>0</v>
      </c>
      <c r="BF641">
        <v>2</v>
      </c>
      <c r="BG641">
        <v>2</v>
      </c>
      <c r="BH641">
        <v>8</v>
      </c>
      <c r="BI641">
        <v>2</v>
      </c>
      <c r="BJ641">
        <v>45.516649600000001</v>
      </c>
      <c r="BK641">
        <v>11.466331800000001</v>
      </c>
      <c r="BL641">
        <v>100</v>
      </c>
      <c r="BM641" t="s">
        <v>83</v>
      </c>
      <c r="BN641" t="s">
        <v>84</v>
      </c>
      <c r="BO641" t="s">
        <v>85</v>
      </c>
      <c r="BP641" t="s">
        <v>160</v>
      </c>
      <c r="BQ641" t="s">
        <v>161</v>
      </c>
      <c r="BR641" t="s">
        <v>527</v>
      </c>
      <c r="BS641">
        <v>321581</v>
      </c>
      <c r="BT641">
        <v>0</v>
      </c>
      <c r="BU641">
        <v>0</v>
      </c>
      <c r="BV641">
        <v>180132</v>
      </c>
      <c r="BW641">
        <v>0</v>
      </c>
      <c r="BX641">
        <v>141449</v>
      </c>
      <c r="BY641">
        <v>0</v>
      </c>
      <c r="BZ641">
        <v>1</v>
      </c>
      <c r="CA641" t="s">
        <v>1054</v>
      </c>
      <c r="CB641" t="s">
        <v>1055</v>
      </c>
      <c r="CC641" s="3">
        <v>46092.557106481479</v>
      </c>
      <c r="CD641" t="s">
        <v>91</v>
      </c>
    </row>
    <row r="642" spans="1:82" ht="16" x14ac:dyDescent="0.2">
      <c r="A642" t="s">
        <v>1294</v>
      </c>
      <c r="B642" t="s">
        <v>1019</v>
      </c>
      <c r="C642" t="s">
        <v>1020</v>
      </c>
      <c r="D642" t="s">
        <v>78</v>
      </c>
      <c r="E642" t="s">
        <v>1021</v>
      </c>
      <c r="F642">
        <v>2</v>
      </c>
      <c r="G642">
        <v>50</v>
      </c>
      <c r="H642" t="str">
        <f t="shared" si="64"/>
        <v>2x50</v>
      </c>
      <c r="I642">
        <v>23</v>
      </c>
      <c r="J642" s="4">
        <f t="shared" si="65"/>
        <v>1.1979166666666666E-2</v>
      </c>
      <c r="K642">
        <v>34</v>
      </c>
      <c r="L642" s="4">
        <f t="shared" si="66"/>
        <v>1.7708333333333333E-2</v>
      </c>
      <c r="M642">
        <v>52</v>
      </c>
      <c r="N642" s="4">
        <f t="shared" si="67"/>
        <v>2.7083333333333334E-2</v>
      </c>
      <c r="O642">
        <v>104</v>
      </c>
      <c r="P642" s="4">
        <f t="shared" si="68"/>
        <v>5.4166666666666669E-2</v>
      </c>
      <c r="Q642" s="6" t="str">
        <f t="shared" ref="Q642:Q646" si="70">IF(J642&gt;=0.13,2026,IF(L642&gt;=0.14,2027,IF(N642&gt;=0.14,2030,IF(P642&gt;=0.14,2035,"later"))))</f>
        <v>later</v>
      </c>
      <c r="R642" s="6">
        <f t="shared" si="69"/>
        <v>666</v>
      </c>
      <c r="S642">
        <v>77</v>
      </c>
      <c r="T642">
        <v>-21</v>
      </c>
      <c r="U642">
        <v>-9</v>
      </c>
      <c r="V642">
        <v>-7</v>
      </c>
      <c r="W642">
        <v>-1</v>
      </c>
      <c r="X642">
        <v>-29</v>
      </c>
      <c r="Y642" s="2" t="s">
        <v>1022</v>
      </c>
      <c r="Z642">
        <v>44.6031885819827</v>
      </c>
      <c r="AA642">
        <v>11.031489808600201</v>
      </c>
      <c r="AB642" t="s">
        <v>78</v>
      </c>
      <c r="AC642" t="s">
        <v>81</v>
      </c>
      <c r="AD642" t="s">
        <v>82</v>
      </c>
      <c r="AE642">
        <v>18288</v>
      </c>
      <c r="AF642">
        <v>0</v>
      </c>
      <c r="AG642">
        <v>0</v>
      </c>
      <c r="AH642">
        <v>12977</v>
      </c>
      <c r="AI642">
        <v>2414</v>
      </c>
      <c r="AJ642">
        <v>2897</v>
      </c>
      <c r="AK642">
        <v>0</v>
      </c>
      <c r="AL642">
        <v>1109</v>
      </c>
      <c r="AM642">
        <v>10590</v>
      </c>
      <c r="AN642">
        <v>31241</v>
      </c>
      <c r="AO642">
        <v>190686</v>
      </c>
      <c r="AP642">
        <v>0</v>
      </c>
      <c r="AQ642">
        <v>0</v>
      </c>
      <c r="AR642">
        <v>1</v>
      </c>
      <c r="AS642">
        <v>5</v>
      </c>
      <c r="AT642">
        <v>4</v>
      </c>
      <c r="AU642">
        <v>18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12</v>
      </c>
      <c r="BC642">
        <v>0</v>
      </c>
      <c r="BD642">
        <v>4</v>
      </c>
      <c r="BE642">
        <v>0</v>
      </c>
      <c r="BF642">
        <v>4</v>
      </c>
      <c r="BG642">
        <v>0</v>
      </c>
      <c r="BH642">
        <v>4</v>
      </c>
      <c r="BI642">
        <v>0</v>
      </c>
      <c r="BJ642">
        <v>44.603355899999997</v>
      </c>
      <c r="BK642">
        <v>11.0315335</v>
      </c>
      <c r="BL642">
        <v>100</v>
      </c>
      <c r="BM642" t="s">
        <v>83</v>
      </c>
      <c r="BN642" t="s">
        <v>84</v>
      </c>
      <c r="BO642" t="s">
        <v>85</v>
      </c>
      <c r="BP642" t="s">
        <v>160</v>
      </c>
      <c r="BQ642" t="s">
        <v>170</v>
      </c>
      <c r="BR642" t="s">
        <v>462</v>
      </c>
      <c r="BS642">
        <v>365819</v>
      </c>
      <c r="BT642">
        <v>0</v>
      </c>
      <c r="BU642">
        <v>0</v>
      </c>
      <c r="BV642">
        <v>259562</v>
      </c>
      <c r="BW642">
        <v>48298</v>
      </c>
      <c r="BX642">
        <v>57959</v>
      </c>
      <c r="BY642">
        <v>0</v>
      </c>
      <c r="BZ642">
        <v>1</v>
      </c>
      <c r="CA642" t="s">
        <v>1023</v>
      </c>
      <c r="CB642" t="s">
        <v>1024</v>
      </c>
      <c r="CC642" s="3">
        <v>46092.557106481479</v>
      </c>
      <c r="CD642" t="s">
        <v>91</v>
      </c>
    </row>
    <row r="643" spans="1:82" ht="16" x14ac:dyDescent="0.2">
      <c r="A643" t="s">
        <v>1295</v>
      </c>
      <c r="B643" t="s">
        <v>1061</v>
      </c>
      <c r="C643" t="s">
        <v>1062</v>
      </c>
      <c r="D643" t="s">
        <v>78</v>
      </c>
      <c r="E643" t="s">
        <v>1063</v>
      </c>
      <c r="F643">
        <v>2</v>
      </c>
      <c r="G643">
        <v>50</v>
      </c>
      <c r="H643" t="str">
        <f t="shared" ref="H643:H646" si="71">F643&amp;"x"&amp;G643</f>
        <v>2x50</v>
      </c>
      <c r="I643">
        <v>20</v>
      </c>
      <c r="J643" s="4">
        <f t="shared" ref="J643:J706" si="72">IF($G643=300,I643/75/$F643/24,IF($G643=150,I643/65/$F643/24,I643/40/$F643/24))</f>
        <v>1.0416666666666666E-2</v>
      </c>
      <c r="K643">
        <v>31</v>
      </c>
      <c r="L643" s="4">
        <f t="shared" ref="L643:L706" si="73">IF($G643=300,K643/75/$F643/24,IF($G643=150,K643/65/$F643/24,K643/40/$F643/24))</f>
        <v>1.6145833333333335E-2</v>
      </c>
      <c r="M643">
        <v>47</v>
      </c>
      <c r="N643" s="4">
        <f t="shared" ref="N643:N706" si="74">IF($G643=300,M643/75/$F643/24,IF($G643=150,M643/65/$F643/24,M643/40/$F643/24))</f>
        <v>2.4479166666666666E-2</v>
      </c>
      <c r="O643">
        <v>93</v>
      </c>
      <c r="P643" s="4">
        <f t="shared" ref="P643:P706" si="75">IF($G643=300,O643/75/$F643/24,IF($G643=150,O643/65/$F643/24,O643/40/$F643/24))</f>
        <v>4.8437500000000001E-2</v>
      </c>
      <c r="Q643" s="6" t="str">
        <f t="shared" si="70"/>
        <v>later</v>
      </c>
      <c r="R643" s="6">
        <f t="shared" ref="R643:R646" si="76">IF(Q643=2026,1,IF(Q643=2027,2,IF(Q643=2030,3,IF(Q643=2035,4,666))))</f>
        <v>666</v>
      </c>
      <c r="S643">
        <v>77</v>
      </c>
      <c r="T643">
        <v>-22</v>
      </c>
      <c r="U643">
        <v>-9</v>
      </c>
      <c r="V643">
        <v>-9</v>
      </c>
      <c r="W643">
        <v>-1</v>
      </c>
      <c r="X643">
        <v>-27</v>
      </c>
      <c r="Y643" s="2" t="s">
        <v>1064</v>
      </c>
      <c r="Z643">
        <v>43.317480442110003</v>
      </c>
      <c r="AA643">
        <v>11.353866237428299</v>
      </c>
      <c r="AB643" t="s">
        <v>78</v>
      </c>
      <c r="AC643" t="s">
        <v>81</v>
      </c>
      <c r="AD643" t="s">
        <v>82</v>
      </c>
      <c r="AE643">
        <v>26204</v>
      </c>
      <c r="AF643">
        <v>0</v>
      </c>
      <c r="AG643">
        <v>0</v>
      </c>
      <c r="AH643">
        <v>15309</v>
      </c>
      <c r="AI643">
        <v>4801</v>
      </c>
      <c r="AJ643">
        <v>6094</v>
      </c>
      <c r="AK643">
        <v>0</v>
      </c>
      <c r="AL643">
        <v>2150</v>
      </c>
      <c r="AM643">
        <v>12986</v>
      </c>
      <c r="AN643">
        <v>47240</v>
      </c>
      <c r="AO643">
        <v>73482</v>
      </c>
      <c r="AP643">
        <v>1</v>
      </c>
      <c r="AQ643">
        <v>0</v>
      </c>
      <c r="AR643">
        <v>2</v>
      </c>
      <c r="AS643">
        <v>12</v>
      </c>
      <c r="AT643">
        <v>6</v>
      </c>
      <c r="AU643">
        <v>32</v>
      </c>
      <c r="AV643">
        <v>7</v>
      </c>
      <c r="AW643">
        <v>0</v>
      </c>
      <c r="AX643">
        <v>0</v>
      </c>
      <c r="AY643">
        <v>0</v>
      </c>
      <c r="AZ643">
        <v>0</v>
      </c>
      <c r="BA643">
        <v>15</v>
      </c>
      <c r="BB643">
        <v>30</v>
      </c>
      <c r="BC643">
        <v>11</v>
      </c>
      <c r="BD643">
        <v>2</v>
      </c>
      <c r="BE643">
        <v>0</v>
      </c>
      <c r="BF643">
        <v>5</v>
      </c>
      <c r="BG643">
        <v>0</v>
      </c>
      <c r="BH643">
        <v>5</v>
      </c>
      <c r="BI643">
        <v>0</v>
      </c>
      <c r="BJ643">
        <v>43.317489899999998</v>
      </c>
      <c r="BK643">
        <v>11.3538899</v>
      </c>
      <c r="BL643">
        <v>100</v>
      </c>
      <c r="BM643" t="s">
        <v>83</v>
      </c>
      <c r="BN643" t="s">
        <v>84</v>
      </c>
      <c r="BO643" t="s">
        <v>85</v>
      </c>
      <c r="BP643" t="s">
        <v>86</v>
      </c>
      <c r="BQ643" t="s">
        <v>212</v>
      </c>
      <c r="BR643" t="s">
        <v>1062</v>
      </c>
      <c r="BS643">
        <v>523345</v>
      </c>
      <c r="BT643">
        <v>0</v>
      </c>
      <c r="BU643">
        <v>0</v>
      </c>
      <c r="BV643">
        <v>306212</v>
      </c>
      <c r="BW643">
        <v>96050</v>
      </c>
      <c r="BX643">
        <v>121083</v>
      </c>
      <c r="BY643">
        <v>0</v>
      </c>
      <c r="BZ643">
        <v>1</v>
      </c>
      <c r="CA643" t="s">
        <v>1065</v>
      </c>
      <c r="CB643" t="s">
        <v>1066</v>
      </c>
      <c r="CC643" s="3">
        <v>46092.557106481479</v>
      </c>
      <c r="CD643" t="s">
        <v>91</v>
      </c>
    </row>
    <row r="644" spans="1:82" ht="16" x14ac:dyDescent="0.2">
      <c r="A644" t="s">
        <v>1296</v>
      </c>
      <c r="B644" t="s">
        <v>1084</v>
      </c>
      <c r="C644" t="s">
        <v>671</v>
      </c>
      <c r="D644" t="s">
        <v>78</v>
      </c>
      <c r="E644" t="s">
        <v>1085</v>
      </c>
      <c r="F644">
        <v>2</v>
      </c>
      <c r="G644">
        <v>50</v>
      </c>
      <c r="H644" t="str">
        <f t="shared" si="71"/>
        <v>2x50</v>
      </c>
      <c r="I644">
        <v>20</v>
      </c>
      <c r="J644" s="4">
        <f t="shared" si="72"/>
        <v>1.0416666666666666E-2</v>
      </c>
      <c r="K644">
        <v>30</v>
      </c>
      <c r="L644" s="4">
        <f t="shared" si="73"/>
        <v>1.5625E-2</v>
      </c>
      <c r="M644">
        <v>46</v>
      </c>
      <c r="N644" s="4">
        <f t="shared" si="74"/>
        <v>2.3958333333333331E-2</v>
      </c>
      <c r="O644">
        <v>91</v>
      </c>
      <c r="P644" s="4">
        <f t="shared" si="75"/>
        <v>4.7395833333333331E-2</v>
      </c>
      <c r="Q644" s="6" t="str">
        <f t="shared" si="70"/>
        <v>later</v>
      </c>
      <c r="R644" s="6">
        <f t="shared" si="76"/>
        <v>666</v>
      </c>
      <c r="S644">
        <v>77</v>
      </c>
      <c r="T644">
        <v>-10</v>
      </c>
      <c r="U644">
        <v>-10</v>
      </c>
      <c r="V644">
        <v>0</v>
      </c>
      <c r="W644">
        <v>-21</v>
      </c>
      <c r="X644">
        <v>-26</v>
      </c>
      <c r="Y644" s="2" t="s">
        <v>1086</v>
      </c>
      <c r="Z644">
        <v>44.916708100000001</v>
      </c>
      <c r="AA644">
        <v>8.5985422000000007</v>
      </c>
      <c r="AB644" t="s">
        <v>78</v>
      </c>
      <c r="AC644" t="s">
        <v>81</v>
      </c>
      <c r="AD644" t="s">
        <v>82</v>
      </c>
      <c r="AE644">
        <v>29585</v>
      </c>
      <c r="AF644">
        <v>0</v>
      </c>
      <c r="AG644">
        <v>0</v>
      </c>
      <c r="AH644">
        <v>12917</v>
      </c>
      <c r="AI644">
        <v>5961</v>
      </c>
      <c r="AJ644">
        <v>8620</v>
      </c>
      <c r="AK644">
        <v>2087</v>
      </c>
      <c r="AL644">
        <v>5533</v>
      </c>
      <c r="AM644">
        <v>32104</v>
      </c>
      <c r="AN644">
        <v>71270</v>
      </c>
      <c r="AO644">
        <v>104512</v>
      </c>
      <c r="AP644">
        <v>0</v>
      </c>
      <c r="AQ644">
        <v>2</v>
      </c>
      <c r="AR644">
        <v>2</v>
      </c>
      <c r="AS644">
        <v>12</v>
      </c>
      <c r="AT644">
        <v>2</v>
      </c>
      <c r="AU644">
        <v>17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6</v>
      </c>
      <c r="BB644">
        <v>41</v>
      </c>
      <c r="BC644">
        <v>5</v>
      </c>
      <c r="BD644">
        <v>6</v>
      </c>
      <c r="BE644">
        <v>12</v>
      </c>
      <c r="BF644">
        <v>6</v>
      </c>
      <c r="BG644">
        <v>12</v>
      </c>
      <c r="BH644">
        <v>6</v>
      </c>
      <c r="BI644">
        <v>12</v>
      </c>
      <c r="BJ644">
        <v>44.916879899999998</v>
      </c>
      <c r="BK644">
        <v>8.5988100000000003</v>
      </c>
      <c r="BL644">
        <v>100</v>
      </c>
      <c r="BM644" t="s">
        <v>83</v>
      </c>
      <c r="BN644" t="s">
        <v>84</v>
      </c>
      <c r="BO644" t="s">
        <v>85</v>
      </c>
      <c r="BP644" t="s">
        <v>107</v>
      </c>
      <c r="BQ644" t="s">
        <v>203</v>
      </c>
      <c r="BR644" t="s">
        <v>671</v>
      </c>
      <c r="BS644">
        <v>591805</v>
      </c>
      <c r="BT644">
        <v>0</v>
      </c>
      <c r="BU644">
        <v>0</v>
      </c>
      <c r="BV644">
        <v>258365</v>
      </c>
      <c r="BW644">
        <v>119238</v>
      </c>
      <c r="BX644">
        <v>172451</v>
      </c>
      <c r="BY644">
        <v>41751</v>
      </c>
      <c r="BZ644">
        <v>1</v>
      </c>
      <c r="CA644" t="s">
        <v>1087</v>
      </c>
      <c r="CB644" t="s">
        <v>1088</v>
      </c>
      <c r="CC644" s="3">
        <v>46092.557106481479</v>
      </c>
      <c r="CD644" t="s">
        <v>91</v>
      </c>
    </row>
    <row r="645" spans="1:82" ht="16" x14ac:dyDescent="0.2">
      <c r="A645" t="s">
        <v>1297</v>
      </c>
      <c r="B645" t="s">
        <v>1034</v>
      </c>
      <c r="C645" t="s">
        <v>1035</v>
      </c>
      <c r="D645" t="s">
        <v>78</v>
      </c>
      <c r="E645" t="s">
        <v>1036</v>
      </c>
      <c r="F645">
        <v>2</v>
      </c>
      <c r="G645">
        <v>50</v>
      </c>
      <c r="H645" t="str">
        <f t="shared" si="71"/>
        <v>2x50</v>
      </c>
      <c r="I645">
        <v>20</v>
      </c>
      <c r="J645" s="4">
        <f t="shared" si="72"/>
        <v>1.0416666666666666E-2</v>
      </c>
      <c r="K645">
        <v>30</v>
      </c>
      <c r="L645" s="4">
        <f t="shared" si="73"/>
        <v>1.5625E-2</v>
      </c>
      <c r="M645">
        <v>45</v>
      </c>
      <c r="N645" s="4">
        <f t="shared" si="74"/>
        <v>2.34375E-2</v>
      </c>
      <c r="O645">
        <v>90</v>
      </c>
      <c r="P645" s="4">
        <f t="shared" si="75"/>
        <v>4.6875E-2</v>
      </c>
      <c r="Q645" s="6" t="str">
        <f t="shared" si="70"/>
        <v>later</v>
      </c>
      <c r="R645" s="6">
        <f t="shared" si="76"/>
        <v>666</v>
      </c>
      <c r="S645">
        <v>77</v>
      </c>
      <c r="T645">
        <v>-21</v>
      </c>
      <c r="U645">
        <v>-7</v>
      </c>
      <c r="V645">
        <v>-12</v>
      </c>
      <c r="W645">
        <v>0</v>
      </c>
      <c r="X645">
        <v>-31</v>
      </c>
      <c r="Y645" s="2" t="s">
        <v>1037</v>
      </c>
      <c r="Z645">
        <v>43.073369999999997</v>
      </c>
      <c r="AA645">
        <v>10.53839</v>
      </c>
      <c r="AB645" t="s">
        <v>78</v>
      </c>
      <c r="AC645" t="s">
        <v>81</v>
      </c>
      <c r="AD645" t="s">
        <v>82</v>
      </c>
      <c r="AE645">
        <v>4879</v>
      </c>
      <c r="AF645">
        <v>0</v>
      </c>
      <c r="AG645">
        <v>0</v>
      </c>
      <c r="AH645">
        <v>0</v>
      </c>
      <c r="AI645">
        <v>4250</v>
      </c>
      <c r="AJ645">
        <v>0</v>
      </c>
      <c r="AK645">
        <v>629</v>
      </c>
      <c r="AL645">
        <v>127</v>
      </c>
      <c r="AM645">
        <v>1123</v>
      </c>
      <c r="AN645">
        <v>7166</v>
      </c>
      <c r="AO645">
        <v>20736</v>
      </c>
      <c r="AP645">
        <v>0</v>
      </c>
      <c r="AQ645">
        <v>0</v>
      </c>
      <c r="AR645">
        <v>1</v>
      </c>
      <c r="AS645">
        <v>1</v>
      </c>
      <c r="AT645">
        <v>2</v>
      </c>
      <c r="AU645">
        <v>3</v>
      </c>
      <c r="AV645">
        <v>2</v>
      </c>
      <c r="AW645">
        <v>0</v>
      </c>
      <c r="AX645">
        <v>1</v>
      </c>
      <c r="AY645">
        <v>0</v>
      </c>
      <c r="AZ645">
        <v>0</v>
      </c>
      <c r="BA645">
        <v>4</v>
      </c>
      <c r="BB645">
        <v>13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2</v>
      </c>
      <c r="BI645">
        <v>0</v>
      </c>
      <c r="BJ645">
        <v>43.073397900000003</v>
      </c>
      <c r="BK645">
        <v>10.5384075</v>
      </c>
      <c r="BL645">
        <v>100</v>
      </c>
      <c r="BM645" t="s">
        <v>83</v>
      </c>
      <c r="BN645" t="s">
        <v>84</v>
      </c>
      <c r="BO645" t="s">
        <v>85</v>
      </c>
      <c r="BP645" t="s">
        <v>86</v>
      </c>
      <c r="BQ645" t="s">
        <v>212</v>
      </c>
      <c r="BR645" t="s">
        <v>454</v>
      </c>
      <c r="BS645">
        <v>97610</v>
      </c>
      <c r="BT645">
        <v>0</v>
      </c>
      <c r="BU645">
        <v>0</v>
      </c>
      <c r="BV645">
        <v>0</v>
      </c>
      <c r="BW645">
        <v>85020</v>
      </c>
      <c r="BX645">
        <v>0</v>
      </c>
      <c r="BY645">
        <v>12590</v>
      </c>
      <c r="BZ645">
        <v>1</v>
      </c>
      <c r="CA645" t="s">
        <v>1038</v>
      </c>
      <c r="CB645" t="s">
        <v>1039</v>
      </c>
      <c r="CC645" s="3">
        <v>46092.557106481479</v>
      </c>
      <c r="CD645" t="s">
        <v>91</v>
      </c>
    </row>
    <row r="646" spans="1:82" ht="16" x14ac:dyDescent="0.2">
      <c r="A646" t="s">
        <v>1298</v>
      </c>
      <c r="B646" t="s">
        <v>1092</v>
      </c>
      <c r="C646" t="s">
        <v>1093</v>
      </c>
      <c r="D646" t="s">
        <v>78</v>
      </c>
      <c r="E646" t="s">
        <v>1094</v>
      </c>
      <c r="F646">
        <v>2</v>
      </c>
      <c r="G646">
        <v>50</v>
      </c>
      <c r="H646" t="str">
        <f t="shared" si="71"/>
        <v>2x50</v>
      </c>
      <c r="I646">
        <v>12</v>
      </c>
      <c r="J646" s="4">
        <f t="shared" si="72"/>
        <v>6.2499999999999995E-3</v>
      </c>
      <c r="K646">
        <v>18</v>
      </c>
      <c r="L646" s="4">
        <f t="shared" si="73"/>
        <v>9.3749999999999997E-3</v>
      </c>
      <c r="M646">
        <v>28</v>
      </c>
      <c r="N646" s="4">
        <f t="shared" si="74"/>
        <v>1.4583333333333332E-2</v>
      </c>
      <c r="O646">
        <v>55</v>
      </c>
      <c r="P646" s="4">
        <f t="shared" si="75"/>
        <v>2.8645833333333332E-2</v>
      </c>
      <c r="Q646" s="6" t="str">
        <f t="shared" si="70"/>
        <v>later</v>
      </c>
      <c r="R646" s="6">
        <f t="shared" si="76"/>
        <v>666</v>
      </c>
      <c r="S646">
        <v>77</v>
      </c>
      <c r="T646">
        <v>-22</v>
      </c>
      <c r="U646">
        <v>-9</v>
      </c>
      <c r="V646">
        <v>-13</v>
      </c>
      <c r="W646">
        <v>-5</v>
      </c>
      <c r="X646">
        <v>-29</v>
      </c>
      <c r="Y646" s="2" t="s">
        <v>1095</v>
      </c>
      <c r="Z646">
        <v>39.300159999999998</v>
      </c>
      <c r="AA646">
        <v>9.0641999999999996</v>
      </c>
      <c r="AB646" t="s">
        <v>78</v>
      </c>
      <c r="AC646" t="s">
        <v>81</v>
      </c>
      <c r="AD646" t="s">
        <v>82</v>
      </c>
      <c r="AE646">
        <v>22661</v>
      </c>
      <c r="AF646">
        <v>0</v>
      </c>
      <c r="AG646">
        <v>0</v>
      </c>
      <c r="AH646">
        <v>14495</v>
      </c>
      <c r="AI646">
        <v>5264</v>
      </c>
      <c r="AJ646">
        <v>2902</v>
      </c>
      <c r="AK646">
        <v>0</v>
      </c>
      <c r="AL646">
        <v>183</v>
      </c>
      <c r="AM646">
        <v>5497</v>
      </c>
      <c r="AN646">
        <v>39467</v>
      </c>
      <c r="AO646">
        <v>218862</v>
      </c>
      <c r="AP646">
        <v>2</v>
      </c>
      <c r="AQ646">
        <v>1</v>
      </c>
      <c r="AR646">
        <v>2</v>
      </c>
      <c r="AS646">
        <v>8</v>
      </c>
      <c r="AT646">
        <v>0</v>
      </c>
      <c r="AU646">
        <v>28</v>
      </c>
      <c r="AV646">
        <v>2</v>
      </c>
      <c r="AW646">
        <v>0</v>
      </c>
      <c r="AX646">
        <v>0</v>
      </c>
      <c r="AY646">
        <v>2</v>
      </c>
      <c r="AZ646">
        <v>0</v>
      </c>
      <c r="BA646">
        <v>12</v>
      </c>
      <c r="BB646">
        <v>14</v>
      </c>
      <c r="BC646">
        <v>11</v>
      </c>
      <c r="BD646">
        <v>4</v>
      </c>
      <c r="BE646">
        <v>0</v>
      </c>
      <c r="BF646">
        <v>6</v>
      </c>
      <c r="BG646">
        <v>0</v>
      </c>
      <c r="BH646">
        <v>10</v>
      </c>
      <c r="BI646">
        <v>0</v>
      </c>
      <c r="BJ646">
        <v>39.300051500000002</v>
      </c>
      <c r="BK646">
        <v>9.0642645000000002</v>
      </c>
      <c r="BL646">
        <v>100</v>
      </c>
      <c r="BM646" t="s">
        <v>83</v>
      </c>
      <c r="BN646" t="s">
        <v>84</v>
      </c>
      <c r="BO646" t="s">
        <v>85</v>
      </c>
      <c r="BP646" t="s">
        <v>242</v>
      </c>
      <c r="BQ646" t="s">
        <v>335</v>
      </c>
      <c r="BR646" t="s">
        <v>332</v>
      </c>
      <c r="BS646">
        <v>453235</v>
      </c>
      <c r="BT646">
        <v>0</v>
      </c>
      <c r="BU646">
        <v>0</v>
      </c>
      <c r="BV646">
        <v>289903</v>
      </c>
      <c r="BW646">
        <v>105284</v>
      </c>
      <c r="BX646">
        <v>58048</v>
      </c>
      <c r="BY646">
        <v>0</v>
      </c>
      <c r="BZ646">
        <v>1</v>
      </c>
      <c r="CA646" t="s">
        <v>1096</v>
      </c>
      <c r="CB646" t="s">
        <v>1097</v>
      </c>
      <c r="CC646" s="3">
        <v>46092.557106481479</v>
      </c>
      <c r="CD646" t="s">
        <v>91</v>
      </c>
    </row>
  </sheetData>
  <autoFilter ref="A1:CD646" xr:uid="{00000000-0009-0000-0000-000000000000}">
    <sortState xmlns:xlrd2="http://schemas.microsoft.com/office/spreadsheetml/2017/richdata2" ref="A131:CD646">
      <sortCondition ref="Q1:Q646"/>
    </sortState>
  </autoFilter>
  <conditionalFormatting sqref="I2:J646">
    <cfRule type="colorScale" priority="8">
      <colorScale>
        <cfvo type="min"/>
        <cfvo type="percentile" val="50"/>
        <cfvo type="max"/>
        <color rgb="FFE2F0CB"/>
        <color rgb="FF7BC86C"/>
        <color rgb="FF1E5631"/>
      </colorScale>
    </cfRule>
  </conditionalFormatting>
  <conditionalFormatting sqref="L2:L646">
    <cfRule type="colorScale" priority="6">
      <colorScale>
        <cfvo type="min"/>
        <cfvo type="percentile" val="50"/>
        <cfvo type="max"/>
        <color rgb="FFE2F0CB"/>
        <color rgb="FF7BC86C"/>
        <color rgb="FF1E5631"/>
      </colorScale>
    </cfRule>
  </conditionalFormatting>
  <conditionalFormatting sqref="N2:N646">
    <cfRule type="colorScale" priority="5">
      <colorScale>
        <cfvo type="min"/>
        <cfvo type="percentile" val="50"/>
        <cfvo type="max"/>
        <color rgb="FFE2F0CB"/>
        <color rgb="FF7BC86C"/>
        <color rgb="FF1E5631"/>
      </colorScale>
    </cfRule>
  </conditionalFormatting>
  <conditionalFormatting sqref="P2:R646">
    <cfRule type="colorScale" priority="4">
      <colorScale>
        <cfvo type="min"/>
        <cfvo type="percentile" val="50"/>
        <cfvo type="max"/>
        <color rgb="FFE2F0CB"/>
        <color rgb="FF7BC86C"/>
        <color rgb="FF1E5631"/>
      </colorScale>
    </cfRule>
  </conditionalFormatting>
  <conditionalFormatting sqref="Q2:R6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6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Y2" r:id="rId1" xr:uid="{00000000-0004-0000-0000-000000000000}"/>
    <hyperlink ref="Y3" r:id="rId2" xr:uid="{00000000-0004-0000-0000-000001000000}"/>
    <hyperlink ref="Y4" r:id="rId3" xr:uid="{00000000-0004-0000-0000-000002000000}"/>
    <hyperlink ref="Y5" r:id="rId4" xr:uid="{00000000-0004-0000-0000-000003000000}"/>
    <hyperlink ref="Y6" r:id="rId5" xr:uid="{00000000-0004-0000-0000-000004000000}"/>
    <hyperlink ref="Y7" r:id="rId6" xr:uid="{00000000-0004-0000-0000-000005000000}"/>
    <hyperlink ref="Y8" r:id="rId7" xr:uid="{00000000-0004-0000-0000-000006000000}"/>
    <hyperlink ref="Y9" r:id="rId8" xr:uid="{00000000-0004-0000-0000-000007000000}"/>
    <hyperlink ref="Y10" r:id="rId9" xr:uid="{00000000-0004-0000-0000-000008000000}"/>
    <hyperlink ref="Y135" r:id="rId10" xr:uid="{00000000-0004-0000-0000-000009000000}"/>
    <hyperlink ref="Y136" r:id="rId11" xr:uid="{00000000-0004-0000-0000-00000A000000}"/>
    <hyperlink ref="Y11" r:id="rId12" xr:uid="{00000000-0004-0000-0000-00000B000000}"/>
    <hyperlink ref="Y137" r:id="rId13" xr:uid="{00000000-0004-0000-0000-00000C000000}"/>
    <hyperlink ref="Y12" r:id="rId14" xr:uid="{00000000-0004-0000-0000-00000D000000}"/>
    <hyperlink ref="Y13" r:id="rId15" xr:uid="{00000000-0004-0000-0000-00000E000000}"/>
    <hyperlink ref="Y14" r:id="rId16" xr:uid="{00000000-0004-0000-0000-00000F000000}"/>
    <hyperlink ref="Y167" r:id="rId17" xr:uid="{00000000-0004-0000-0000-000010000000}"/>
    <hyperlink ref="Y15" r:id="rId18" xr:uid="{00000000-0004-0000-0000-000011000000}"/>
    <hyperlink ref="Y168" r:id="rId19" xr:uid="{00000000-0004-0000-0000-000012000000}"/>
    <hyperlink ref="Y169" r:id="rId20" xr:uid="{00000000-0004-0000-0000-000013000000}"/>
    <hyperlink ref="Y170" r:id="rId21" xr:uid="{00000000-0004-0000-0000-000014000000}"/>
    <hyperlink ref="Y171" r:id="rId22" xr:uid="{00000000-0004-0000-0000-000015000000}"/>
    <hyperlink ref="Y172" r:id="rId23" xr:uid="{00000000-0004-0000-0000-000016000000}"/>
    <hyperlink ref="Y16" r:id="rId24" xr:uid="{00000000-0004-0000-0000-000017000000}"/>
    <hyperlink ref="Y17" r:id="rId25" xr:uid="{00000000-0004-0000-0000-000018000000}"/>
    <hyperlink ref="Y173" r:id="rId26" xr:uid="{00000000-0004-0000-0000-000019000000}"/>
    <hyperlink ref="Y18" r:id="rId27" xr:uid="{00000000-0004-0000-0000-00001A000000}"/>
    <hyperlink ref="Y19" r:id="rId28" xr:uid="{00000000-0004-0000-0000-00001B000000}"/>
    <hyperlink ref="Y20" r:id="rId29" xr:uid="{00000000-0004-0000-0000-00001C000000}"/>
    <hyperlink ref="Y174" r:id="rId30" xr:uid="{00000000-0004-0000-0000-00001D000000}"/>
    <hyperlink ref="Y21" r:id="rId31" xr:uid="{00000000-0004-0000-0000-00001E000000}"/>
    <hyperlink ref="Y22" r:id="rId32" xr:uid="{00000000-0004-0000-0000-00001F000000}"/>
    <hyperlink ref="Y23" r:id="rId33" xr:uid="{00000000-0004-0000-0000-000020000000}"/>
    <hyperlink ref="Y175" r:id="rId34" xr:uid="{00000000-0004-0000-0000-000021000000}"/>
    <hyperlink ref="Y176" r:id="rId35" xr:uid="{00000000-0004-0000-0000-000022000000}"/>
    <hyperlink ref="Y24" r:id="rId36" xr:uid="{00000000-0004-0000-0000-000023000000}"/>
    <hyperlink ref="Y177" r:id="rId37" xr:uid="{00000000-0004-0000-0000-000024000000}"/>
    <hyperlink ref="Y25" r:id="rId38" xr:uid="{00000000-0004-0000-0000-000025000000}"/>
    <hyperlink ref="Y26" r:id="rId39" xr:uid="{00000000-0004-0000-0000-000026000000}"/>
    <hyperlink ref="Y178" r:id="rId40" xr:uid="{00000000-0004-0000-0000-000027000000}"/>
    <hyperlink ref="Y179" r:id="rId41" xr:uid="{00000000-0004-0000-0000-000028000000}"/>
    <hyperlink ref="Y131" r:id="rId42" xr:uid="{00000000-0004-0000-0000-000029000000}"/>
    <hyperlink ref="Y27" r:id="rId43" xr:uid="{00000000-0004-0000-0000-00002A000000}"/>
    <hyperlink ref="Y28" r:id="rId44" xr:uid="{00000000-0004-0000-0000-00002B000000}"/>
    <hyperlink ref="Y132" r:id="rId45" xr:uid="{00000000-0004-0000-0000-00002C000000}"/>
    <hyperlink ref="Y29" r:id="rId46" xr:uid="{00000000-0004-0000-0000-00002D000000}"/>
    <hyperlink ref="Y30" r:id="rId47" xr:uid="{00000000-0004-0000-0000-00002E000000}"/>
    <hyperlink ref="Y31" r:id="rId48" xr:uid="{00000000-0004-0000-0000-00002F000000}"/>
    <hyperlink ref="Y32" r:id="rId49" xr:uid="{00000000-0004-0000-0000-000030000000}"/>
    <hyperlink ref="Y33" r:id="rId50" xr:uid="{00000000-0004-0000-0000-000031000000}"/>
    <hyperlink ref="Y34" r:id="rId51" xr:uid="{00000000-0004-0000-0000-000032000000}"/>
    <hyperlink ref="Y35" r:id="rId52" xr:uid="{00000000-0004-0000-0000-000033000000}"/>
    <hyperlink ref="Y138" r:id="rId53" xr:uid="{00000000-0004-0000-0000-000034000000}"/>
    <hyperlink ref="Y180" r:id="rId54" xr:uid="{00000000-0004-0000-0000-000035000000}"/>
    <hyperlink ref="Y181" r:id="rId55" xr:uid="{00000000-0004-0000-0000-000036000000}"/>
    <hyperlink ref="Y36" r:id="rId56" xr:uid="{00000000-0004-0000-0000-000037000000}"/>
    <hyperlink ref="Y37" r:id="rId57" xr:uid="{00000000-0004-0000-0000-000038000000}"/>
    <hyperlink ref="Y182" r:id="rId58" xr:uid="{00000000-0004-0000-0000-000039000000}"/>
    <hyperlink ref="Y38" r:id="rId59" xr:uid="{00000000-0004-0000-0000-00003A000000}"/>
    <hyperlink ref="Y39" r:id="rId60" xr:uid="{00000000-0004-0000-0000-00003B000000}"/>
    <hyperlink ref="Y40" r:id="rId61" xr:uid="{00000000-0004-0000-0000-00003C000000}"/>
    <hyperlink ref="Y183" r:id="rId62" xr:uid="{00000000-0004-0000-0000-00003D000000}"/>
    <hyperlink ref="Y41" r:id="rId63" xr:uid="{00000000-0004-0000-0000-00003E000000}"/>
    <hyperlink ref="Y184" r:id="rId64" xr:uid="{00000000-0004-0000-0000-00003F000000}"/>
    <hyperlink ref="Y185" r:id="rId65" xr:uid="{00000000-0004-0000-0000-000040000000}"/>
    <hyperlink ref="Y42" r:id="rId66" xr:uid="{00000000-0004-0000-0000-000041000000}"/>
    <hyperlink ref="Y43" r:id="rId67" xr:uid="{00000000-0004-0000-0000-000042000000}"/>
    <hyperlink ref="Y44" r:id="rId68" xr:uid="{00000000-0004-0000-0000-000043000000}"/>
    <hyperlink ref="Y253" r:id="rId69" xr:uid="{00000000-0004-0000-0000-000044000000}"/>
    <hyperlink ref="Y45" r:id="rId70" xr:uid="{00000000-0004-0000-0000-000045000000}"/>
    <hyperlink ref="Y46" r:id="rId71" xr:uid="{00000000-0004-0000-0000-000046000000}"/>
    <hyperlink ref="Y47" r:id="rId72" xr:uid="{00000000-0004-0000-0000-000047000000}"/>
    <hyperlink ref="Y139" r:id="rId73" xr:uid="{00000000-0004-0000-0000-000048000000}"/>
    <hyperlink ref="Y48" r:id="rId74" xr:uid="{00000000-0004-0000-0000-000049000000}"/>
    <hyperlink ref="Y133" r:id="rId75" xr:uid="{00000000-0004-0000-0000-00004A000000}"/>
    <hyperlink ref="Y254" r:id="rId76" xr:uid="{00000000-0004-0000-0000-00004B000000}"/>
    <hyperlink ref="Y134" r:id="rId77" xr:uid="{00000000-0004-0000-0000-00004C000000}"/>
    <hyperlink ref="Y49" r:id="rId78" xr:uid="{00000000-0004-0000-0000-00004D000000}"/>
    <hyperlink ref="Y50" r:id="rId79" xr:uid="{00000000-0004-0000-0000-00004E000000}"/>
    <hyperlink ref="Y140" r:id="rId80" xr:uid="{00000000-0004-0000-0000-00004F000000}"/>
    <hyperlink ref="Y51" r:id="rId81" xr:uid="{00000000-0004-0000-0000-000050000000}"/>
    <hyperlink ref="Y141" r:id="rId82" xr:uid="{00000000-0004-0000-0000-000051000000}"/>
    <hyperlink ref="Y142" r:id="rId83" xr:uid="{00000000-0004-0000-0000-000052000000}"/>
    <hyperlink ref="Y143" r:id="rId84" xr:uid="{00000000-0004-0000-0000-000053000000}"/>
    <hyperlink ref="Y52" r:id="rId85" xr:uid="{00000000-0004-0000-0000-000054000000}"/>
    <hyperlink ref="Y144" r:id="rId86" xr:uid="{00000000-0004-0000-0000-000055000000}"/>
    <hyperlink ref="Y53" r:id="rId87" xr:uid="{00000000-0004-0000-0000-000056000000}"/>
    <hyperlink ref="Y255" r:id="rId88" xr:uid="{00000000-0004-0000-0000-000057000000}"/>
    <hyperlink ref="Y54" r:id="rId89" xr:uid="{00000000-0004-0000-0000-000058000000}"/>
    <hyperlink ref="Y55" r:id="rId90" xr:uid="{00000000-0004-0000-0000-000059000000}"/>
    <hyperlink ref="Y56" r:id="rId91" xr:uid="{00000000-0004-0000-0000-00005A000000}"/>
    <hyperlink ref="Y145" r:id="rId92" xr:uid="{00000000-0004-0000-0000-00005B000000}"/>
    <hyperlink ref="Y57" r:id="rId93" xr:uid="{00000000-0004-0000-0000-00005C000000}"/>
    <hyperlink ref="Y256" r:id="rId94" xr:uid="{00000000-0004-0000-0000-00005D000000}"/>
    <hyperlink ref="Y257" r:id="rId95" xr:uid="{00000000-0004-0000-0000-00005E000000}"/>
    <hyperlink ref="Y258" r:id="rId96" xr:uid="{00000000-0004-0000-0000-00005F000000}"/>
    <hyperlink ref="Y259" r:id="rId97" xr:uid="{00000000-0004-0000-0000-000060000000}"/>
    <hyperlink ref="Y58" r:id="rId98" xr:uid="{00000000-0004-0000-0000-000061000000}"/>
    <hyperlink ref="Y260" r:id="rId99" xr:uid="{00000000-0004-0000-0000-000062000000}"/>
    <hyperlink ref="Y59" r:id="rId100" xr:uid="{00000000-0004-0000-0000-000063000000}"/>
    <hyperlink ref="Y60" r:id="rId101" xr:uid="{00000000-0004-0000-0000-000064000000}"/>
    <hyperlink ref="Y146" r:id="rId102" xr:uid="{00000000-0004-0000-0000-000065000000}"/>
    <hyperlink ref="Y61" r:id="rId103" xr:uid="{00000000-0004-0000-0000-000066000000}"/>
    <hyperlink ref="Y62" r:id="rId104" xr:uid="{00000000-0004-0000-0000-000067000000}"/>
    <hyperlink ref="Y63" r:id="rId105" xr:uid="{00000000-0004-0000-0000-000068000000}"/>
    <hyperlink ref="Y261" r:id="rId106" xr:uid="{00000000-0004-0000-0000-000069000000}"/>
    <hyperlink ref="Y64" r:id="rId107" xr:uid="{00000000-0004-0000-0000-00006A000000}"/>
    <hyperlink ref="Y262" r:id="rId108" xr:uid="{00000000-0004-0000-0000-00006B000000}"/>
    <hyperlink ref="Y263" r:id="rId109" xr:uid="{00000000-0004-0000-0000-00006C000000}"/>
    <hyperlink ref="Y65" r:id="rId110" xr:uid="{00000000-0004-0000-0000-00006D000000}"/>
    <hyperlink ref="Y264" r:id="rId111" xr:uid="{00000000-0004-0000-0000-00006E000000}"/>
    <hyperlink ref="Y66" r:id="rId112" xr:uid="{00000000-0004-0000-0000-00006F000000}"/>
    <hyperlink ref="Y67" r:id="rId113" xr:uid="{00000000-0004-0000-0000-000070000000}"/>
    <hyperlink ref="Y265" r:id="rId114" xr:uid="{00000000-0004-0000-0000-000071000000}"/>
    <hyperlink ref="Y68" r:id="rId115" xr:uid="{00000000-0004-0000-0000-000072000000}"/>
    <hyperlink ref="Y69" r:id="rId116" xr:uid="{00000000-0004-0000-0000-000073000000}"/>
    <hyperlink ref="Y70" r:id="rId117" xr:uid="{00000000-0004-0000-0000-000074000000}"/>
    <hyperlink ref="Y266" r:id="rId118" xr:uid="{00000000-0004-0000-0000-000075000000}"/>
    <hyperlink ref="Y147" r:id="rId119" xr:uid="{00000000-0004-0000-0000-000076000000}"/>
    <hyperlink ref="Y267" r:id="rId120" xr:uid="{00000000-0004-0000-0000-000077000000}"/>
    <hyperlink ref="Y71" r:id="rId121" xr:uid="{00000000-0004-0000-0000-000078000000}"/>
    <hyperlink ref="Y268" r:id="rId122" xr:uid="{00000000-0004-0000-0000-000079000000}"/>
    <hyperlink ref="Y269" r:id="rId123" xr:uid="{00000000-0004-0000-0000-00007A000000}"/>
    <hyperlink ref="Y148" r:id="rId124" xr:uid="{00000000-0004-0000-0000-00007B000000}"/>
    <hyperlink ref="Y72" r:id="rId125" xr:uid="{00000000-0004-0000-0000-00007C000000}"/>
    <hyperlink ref="Y270" r:id="rId126" xr:uid="{00000000-0004-0000-0000-00007D000000}"/>
    <hyperlink ref="Y149" r:id="rId127" xr:uid="{00000000-0004-0000-0000-00007E000000}"/>
    <hyperlink ref="Y150" r:id="rId128" xr:uid="{00000000-0004-0000-0000-00007F000000}"/>
    <hyperlink ref="Y151" r:id="rId129" xr:uid="{00000000-0004-0000-0000-000080000000}"/>
    <hyperlink ref="Y271" r:id="rId130" xr:uid="{00000000-0004-0000-0000-000081000000}"/>
    <hyperlink ref="Y73" r:id="rId131" xr:uid="{00000000-0004-0000-0000-000082000000}"/>
    <hyperlink ref="Y152" r:id="rId132" xr:uid="{00000000-0004-0000-0000-000083000000}"/>
    <hyperlink ref="Y74" r:id="rId133" xr:uid="{00000000-0004-0000-0000-000084000000}"/>
    <hyperlink ref="Y75" r:id="rId134" xr:uid="{00000000-0004-0000-0000-000085000000}"/>
    <hyperlink ref="Y272" r:id="rId135" xr:uid="{00000000-0004-0000-0000-000086000000}"/>
    <hyperlink ref="Y153" r:id="rId136" xr:uid="{00000000-0004-0000-0000-000087000000}"/>
    <hyperlink ref="Y273" r:id="rId137" xr:uid="{00000000-0004-0000-0000-000088000000}"/>
    <hyperlink ref="Y154" r:id="rId138" xr:uid="{00000000-0004-0000-0000-000089000000}"/>
    <hyperlink ref="Y76" r:id="rId139" xr:uid="{00000000-0004-0000-0000-00008A000000}"/>
    <hyperlink ref="Y274" r:id="rId140" xr:uid="{00000000-0004-0000-0000-00008B000000}"/>
    <hyperlink ref="Y77" r:id="rId141" xr:uid="{00000000-0004-0000-0000-00008C000000}"/>
    <hyperlink ref="Y78" r:id="rId142" xr:uid="{00000000-0004-0000-0000-00008D000000}"/>
    <hyperlink ref="Y79" r:id="rId143" xr:uid="{00000000-0004-0000-0000-00008E000000}"/>
    <hyperlink ref="Y155" r:id="rId144" xr:uid="{00000000-0004-0000-0000-00008F000000}"/>
    <hyperlink ref="Y275" r:id="rId145" xr:uid="{00000000-0004-0000-0000-000090000000}"/>
    <hyperlink ref="Y80" r:id="rId146" xr:uid="{00000000-0004-0000-0000-000091000000}"/>
    <hyperlink ref="Y276" r:id="rId147" xr:uid="{00000000-0004-0000-0000-000092000000}"/>
    <hyperlink ref="Y277" r:id="rId148" xr:uid="{00000000-0004-0000-0000-000093000000}"/>
    <hyperlink ref="Y81" r:id="rId149" xr:uid="{00000000-0004-0000-0000-000094000000}"/>
    <hyperlink ref="Y82" r:id="rId150" xr:uid="{00000000-0004-0000-0000-000095000000}"/>
    <hyperlink ref="Y278" r:id="rId151" xr:uid="{00000000-0004-0000-0000-000096000000}"/>
    <hyperlink ref="Y156" r:id="rId152" xr:uid="{00000000-0004-0000-0000-000097000000}"/>
    <hyperlink ref="Y279" r:id="rId153" xr:uid="{00000000-0004-0000-0000-000098000000}"/>
    <hyperlink ref="Y280" r:id="rId154" xr:uid="{00000000-0004-0000-0000-000099000000}"/>
    <hyperlink ref="Y83" r:id="rId155" xr:uid="{00000000-0004-0000-0000-00009A000000}"/>
    <hyperlink ref="Y84" r:id="rId156" xr:uid="{00000000-0004-0000-0000-00009B000000}"/>
    <hyperlink ref="Y281" r:id="rId157" xr:uid="{00000000-0004-0000-0000-00009C000000}"/>
    <hyperlink ref="Y157" r:id="rId158" xr:uid="{00000000-0004-0000-0000-00009D000000}"/>
    <hyperlink ref="Y85" r:id="rId159" xr:uid="{00000000-0004-0000-0000-00009E000000}"/>
    <hyperlink ref="Y282" r:id="rId160" xr:uid="{00000000-0004-0000-0000-00009F000000}"/>
    <hyperlink ref="Y86" r:id="rId161" xr:uid="{00000000-0004-0000-0000-0000A0000000}"/>
    <hyperlink ref="Y87" r:id="rId162" xr:uid="{00000000-0004-0000-0000-0000A1000000}"/>
    <hyperlink ref="Y88" r:id="rId163" xr:uid="{00000000-0004-0000-0000-0000A2000000}"/>
    <hyperlink ref="Y283" r:id="rId164" xr:uid="{00000000-0004-0000-0000-0000A3000000}"/>
    <hyperlink ref="Y89" r:id="rId165" xr:uid="{00000000-0004-0000-0000-0000A4000000}"/>
    <hyperlink ref="Y90" r:id="rId166" xr:uid="{00000000-0004-0000-0000-0000A5000000}"/>
    <hyperlink ref="Y284" r:id="rId167" xr:uid="{00000000-0004-0000-0000-0000A6000000}"/>
    <hyperlink ref="Y91" r:id="rId168" xr:uid="{00000000-0004-0000-0000-0000A7000000}"/>
    <hyperlink ref="Y285" r:id="rId169" xr:uid="{00000000-0004-0000-0000-0000A8000000}"/>
    <hyperlink ref="Y286" r:id="rId170" xr:uid="{00000000-0004-0000-0000-0000A9000000}"/>
    <hyperlink ref="Y186" r:id="rId171" xr:uid="{00000000-0004-0000-0000-0000AA000000}"/>
    <hyperlink ref="Y92" r:id="rId172" xr:uid="{00000000-0004-0000-0000-0000AB000000}"/>
    <hyperlink ref="Y187" r:id="rId173" xr:uid="{00000000-0004-0000-0000-0000AC000000}"/>
    <hyperlink ref="Y93" r:id="rId174" xr:uid="{00000000-0004-0000-0000-0000AD000000}"/>
    <hyperlink ref="Y94" r:id="rId175" xr:uid="{00000000-0004-0000-0000-0000AE000000}"/>
    <hyperlink ref="Y287" r:id="rId176" xr:uid="{00000000-0004-0000-0000-0000AF000000}"/>
    <hyperlink ref="Y288" r:id="rId177" xr:uid="{00000000-0004-0000-0000-0000B0000000}"/>
    <hyperlink ref="Y289" r:id="rId178" xr:uid="{00000000-0004-0000-0000-0000B1000000}"/>
    <hyperlink ref="Y290" r:id="rId179" xr:uid="{00000000-0004-0000-0000-0000B2000000}"/>
    <hyperlink ref="Y95" r:id="rId180" xr:uid="{00000000-0004-0000-0000-0000B3000000}"/>
    <hyperlink ref="Y291" r:id="rId181" xr:uid="{00000000-0004-0000-0000-0000B4000000}"/>
    <hyperlink ref="Y158" r:id="rId182" xr:uid="{00000000-0004-0000-0000-0000B5000000}"/>
    <hyperlink ref="Y292" r:id="rId183" xr:uid="{00000000-0004-0000-0000-0000B6000000}"/>
    <hyperlink ref="Y293" r:id="rId184" xr:uid="{00000000-0004-0000-0000-0000B7000000}"/>
    <hyperlink ref="Y159" r:id="rId185" xr:uid="{00000000-0004-0000-0000-0000B8000000}"/>
    <hyperlink ref="Y96" r:id="rId186" xr:uid="{00000000-0004-0000-0000-0000B9000000}"/>
    <hyperlink ref="Y294" r:id="rId187" xr:uid="{00000000-0004-0000-0000-0000BA000000}"/>
    <hyperlink ref="Y295" r:id="rId188" xr:uid="{00000000-0004-0000-0000-0000BB000000}"/>
    <hyperlink ref="Y296" r:id="rId189" xr:uid="{00000000-0004-0000-0000-0000BC000000}"/>
    <hyperlink ref="Y160" r:id="rId190" xr:uid="{00000000-0004-0000-0000-0000BD000000}"/>
    <hyperlink ref="Y297" r:id="rId191" xr:uid="{00000000-0004-0000-0000-0000BE000000}"/>
    <hyperlink ref="Y298" r:id="rId192" xr:uid="{00000000-0004-0000-0000-0000BF000000}"/>
    <hyperlink ref="Y299" r:id="rId193" xr:uid="{00000000-0004-0000-0000-0000C0000000}"/>
    <hyperlink ref="Y188" r:id="rId194" xr:uid="{00000000-0004-0000-0000-0000C1000000}"/>
    <hyperlink ref="Y300" r:id="rId195" xr:uid="{00000000-0004-0000-0000-0000C2000000}"/>
    <hyperlink ref="Y189" r:id="rId196" xr:uid="{00000000-0004-0000-0000-0000C3000000}"/>
    <hyperlink ref="Y97" r:id="rId197" xr:uid="{00000000-0004-0000-0000-0000C4000000}"/>
    <hyperlink ref="Y98" r:id="rId198" xr:uid="{00000000-0004-0000-0000-0000C5000000}"/>
    <hyperlink ref="Y99" r:id="rId199" xr:uid="{00000000-0004-0000-0000-0000C6000000}"/>
    <hyperlink ref="Y100" r:id="rId200" xr:uid="{00000000-0004-0000-0000-0000C7000000}"/>
    <hyperlink ref="Y161" r:id="rId201" xr:uid="{00000000-0004-0000-0000-0000C8000000}"/>
    <hyperlink ref="Y190" r:id="rId202" xr:uid="{00000000-0004-0000-0000-0000C9000000}"/>
    <hyperlink ref="Y301" r:id="rId203" xr:uid="{00000000-0004-0000-0000-0000CA000000}"/>
    <hyperlink ref="Y101" r:id="rId204" xr:uid="{00000000-0004-0000-0000-0000CB000000}"/>
    <hyperlink ref="Y102" r:id="rId205" xr:uid="{00000000-0004-0000-0000-0000CC000000}"/>
    <hyperlink ref="Y302" r:id="rId206" xr:uid="{00000000-0004-0000-0000-0000CD000000}"/>
    <hyperlink ref="Y303" r:id="rId207" xr:uid="{00000000-0004-0000-0000-0000CE000000}"/>
    <hyperlink ref="Y304" r:id="rId208" xr:uid="{00000000-0004-0000-0000-0000CF000000}"/>
    <hyperlink ref="Y191" r:id="rId209" xr:uid="{00000000-0004-0000-0000-0000D0000000}"/>
    <hyperlink ref="Y103" r:id="rId210" xr:uid="{00000000-0004-0000-0000-0000D1000000}"/>
    <hyperlink ref="Y192" r:id="rId211" xr:uid="{00000000-0004-0000-0000-0000D2000000}"/>
    <hyperlink ref="Y193" r:id="rId212" xr:uid="{00000000-0004-0000-0000-0000D3000000}"/>
    <hyperlink ref="Y305" r:id="rId213" xr:uid="{00000000-0004-0000-0000-0000D4000000}"/>
    <hyperlink ref="Y104" r:id="rId214" xr:uid="{00000000-0004-0000-0000-0000D5000000}"/>
    <hyperlink ref="Y105" r:id="rId215" xr:uid="{00000000-0004-0000-0000-0000D6000000}"/>
    <hyperlink ref="Y306" r:id="rId216" xr:uid="{00000000-0004-0000-0000-0000D7000000}"/>
    <hyperlink ref="Y106" r:id="rId217" xr:uid="{00000000-0004-0000-0000-0000D8000000}"/>
    <hyperlink ref="Y307" r:id="rId218" xr:uid="{00000000-0004-0000-0000-0000D9000000}"/>
    <hyperlink ref="Y308" r:id="rId219" xr:uid="{00000000-0004-0000-0000-0000DA000000}"/>
    <hyperlink ref="Y107" r:id="rId220" xr:uid="{00000000-0004-0000-0000-0000DB000000}"/>
    <hyperlink ref="Y309" r:id="rId221" xr:uid="{00000000-0004-0000-0000-0000DC000000}"/>
    <hyperlink ref="Y194" r:id="rId222" xr:uid="{00000000-0004-0000-0000-0000DD000000}"/>
    <hyperlink ref="Y108" r:id="rId223" xr:uid="{00000000-0004-0000-0000-0000DE000000}"/>
    <hyperlink ref="Y195" r:id="rId224" xr:uid="{00000000-0004-0000-0000-0000DF000000}"/>
    <hyperlink ref="Y310" r:id="rId225" xr:uid="{00000000-0004-0000-0000-0000E0000000}"/>
    <hyperlink ref="Y196" r:id="rId226" xr:uid="{00000000-0004-0000-0000-0000E1000000}"/>
    <hyperlink ref="Y311" r:id="rId227" xr:uid="{00000000-0004-0000-0000-0000E2000000}"/>
    <hyperlink ref="Y109" r:id="rId228" xr:uid="{00000000-0004-0000-0000-0000E3000000}"/>
    <hyperlink ref="Y197" r:id="rId229" xr:uid="{00000000-0004-0000-0000-0000E4000000}"/>
    <hyperlink ref="Y312" r:id="rId230" xr:uid="{00000000-0004-0000-0000-0000E5000000}"/>
    <hyperlink ref="Y313" r:id="rId231" xr:uid="{00000000-0004-0000-0000-0000E6000000}"/>
    <hyperlink ref="Y110" r:id="rId232" xr:uid="{00000000-0004-0000-0000-0000E7000000}"/>
    <hyperlink ref="Y111" r:id="rId233" xr:uid="{00000000-0004-0000-0000-0000E8000000}"/>
    <hyperlink ref="Y314" r:id="rId234" xr:uid="{00000000-0004-0000-0000-0000E9000000}"/>
    <hyperlink ref="Y112" r:id="rId235" xr:uid="{00000000-0004-0000-0000-0000EA000000}"/>
    <hyperlink ref="Y113" r:id="rId236" xr:uid="{00000000-0004-0000-0000-0000EB000000}"/>
    <hyperlink ref="Y114" r:id="rId237" xr:uid="{00000000-0004-0000-0000-0000EC000000}"/>
    <hyperlink ref="Y315" r:id="rId238" xr:uid="{00000000-0004-0000-0000-0000ED000000}"/>
    <hyperlink ref="Y316" r:id="rId239" xr:uid="{00000000-0004-0000-0000-0000EE000000}"/>
    <hyperlink ref="Y317" r:id="rId240" xr:uid="{00000000-0004-0000-0000-0000EF000000}"/>
    <hyperlink ref="Y115" r:id="rId241" xr:uid="{00000000-0004-0000-0000-0000F0000000}"/>
    <hyperlink ref="Y318" r:id="rId242" xr:uid="{00000000-0004-0000-0000-0000F1000000}"/>
    <hyperlink ref="Y319" r:id="rId243" xr:uid="{00000000-0004-0000-0000-0000F2000000}"/>
    <hyperlink ref="Y320" r:id="rId244" xr:uid="{00000000-0004-0000-0000-0000F3000000}"/>
    <hyperlink ref="Y198" r:id="rId245" xr:uid="{00000000-0004-0000-0000-0000F4000000}"/>
    <hyperlink ref="Y116" r:id="rId246" xr:uid="{00000000-0004-0000-0000-0000F5000000}"/>
    <hyperlink ref="Y321" r:id="rId247" xr:uid="{00000000-0004-0000-0000-0000F6000000}"/>
    <hyperlink ref="Y322" r:id="rId248" xr:uid="{00000000-0004-0000-0000-0000F7000000}"/>
    <hyperlink ref="Y323" r:id="rId249" xr:uid="{00000000-0004-0000-0000-0000F8000000}"/>
    <hyperlink ref="Y199" r:id="rId250" xr:uid="{00000000-0004-0000-0000-0000F9000000}"/>
    <hyperlink ref="Y200" r:id="rId251" xr:uid="{00000000-0004-0000-0000-0000FA000000}"/>
    <hyperlink ref="Y201" r:id="rId252" xr:uid="{00000000-0004-0000-0000-0000FB000000}"/>
    <hyperlink ref="Y202" r:id="rId253" xr:uid="{00000000-0004-0000-0000-0000FC000000}"/>
    <hyperlink ref="Y203" r:id="rId254" xr:uid="{00000000-0004-0000-0000-0000FD000000}"/>
    <hyperlink ref="Y204" r:id="rId255" xr:uid="{00000000-0004-0000-0000-0000FE000000}"/>
    <hyperlink ref="Y205" r:id="rId256" xr:uid="{00000000-0004-0000-0000-0000FF000000}"/>
    <hyperlink ref="Y117" r:id="rId257" xr:uid="{00000000-0004-0000-0000-000000010000}"/>
    <hyperlink ref="Y324" r:id="rId258" xr:uid="{00000000-0004-0000-0000-000001010000}"/>
    <hyperlink ref="Y206" r:id="rId259" xr:uid="{00000000-0004-0000-0000-000002010000}"/>
    <hyperlink ref="Y207" r:id="rId260" xr:uid="{00000000-0004-0000-0000-000003010000}"/>
    <hyperlink ref="Y208" r:id="rId261" xr:uid="{00000000-0004-0000-0000-000004010000}"/>
    <hyperlink ref="Y118" r:id="rId262" xr:uid="{00000000-0004-0000-0000-000005010000}"/>
    <hyperlink ref="Y209" r:id="rId263" xr:uid="{00000000-0004-0000-0000-000006010000}"/>
    <hyperlink ref="Y325" r:id="rId264" xr:uid="{00000000-0004-0000-0000-000007010000}"/>
    <hyperlink ref="Y210" r:id="rId265" xr:uid="{00000000-0004-0000-0000-000008010000}"/>
    <hyperlink ref="Y119" r:id="rId266" xr:uid="{00000000-0004-0000-0000-000009010000}"/>
    <hyperlink ref="Y211" r:id="rId267" xr:uid="{00000000-0004-0000-0000-00000A010000}"/>
    <hyperlink ref="Y120" r:id="rId268" xr:uid="{00000000-0004-0000-0000-00000B010000}"/>
    <hyperlink ref="Y212" r:id="rId269" xr:uid="{00000000-0004-0000-0000-00000C010000}"/>
    <hyperlink ref="Y213" r:id="rId270" xr:uid="{00000000-0004-0000-0000-00000D010000}"/>
    <hyperlink ref="Y214" r:id="rId271" xr:uid="{00000000-0004-0000-0000-00000E010000}"/>
    <hyperlink ref="Y121" r:id="rId272" xr:uid="{00000000-0004-0000-0000-00000F010000}"/>
    <hyperlink ref="Y215" r:id="rId273" xr:uid="{00000000-0004-0000-0000-000010010000}"/>
    <hyperlink ref="Y326" r:id="rId274" xr:uid="{00000000-0004-0000-0000-000011010000}"/>
    <hyperlink ref="Y216" r:id="rId275" xr:uid="{00000000-0004-0000-0000-000012010000}"/>
    <hyperlink ref="Y327" r:id="rId276" xr:uid="{00000000-0004-0000-0000-000013010000}"/>
    <hyperlink ref="Y328" r:id="rId277" xr:uid="{00000000-0004-0000-0000-000014010000}"/>
    <hyperlink ref="Y329" r:id="rId278" xr:uid="{00000000-0004-0000-0000-000015010000}"/>
    <hyperlink ref="Y217" r:id="rId279" xr:uid="{00000000-0004-0000-0000-000016010000}"/>
    <hyperlink ref="Y330" r:id="rId280" xr:uid="{00000000-0004-0000-0000-000017010000}"/>
    <hyperlink ref="Y218" r:id="rId281" xr:uid="{00000000-0004-0000-0000-000018010000}"/>
    <hyperlink ref="Y331" r:id="rId282" xr:uid="{00000000-0004-0000-0000-000019010000}"/>
    <hyperlink ref="Y219" r:id="rId283" xr:uid="{00000000-0004-0000-0000-00001A010000}"/>
    <hyperlink ref="Y220" r:id="rId284" xr:uid="{00000000-0004-0000-0000-00001B010000}"/>
    <hyperlink ref="Y332" r:id="rId285" xr:uid="{00000000-0004-0000-0000-00001C010000}"/>
    <hyperlink ref="Y122" r:id="rId286" xr:uid="{00000000-0004-0000-0000-00001D010000}"/>
    <hyperlink ref="Y221" r:id="rId287" xr:uid="{00000000-0004-0000-0000-00001E010000}"/>
    <hyperlink ref="Y333" r:id="rId288" xr:uid="{00000000-0004-0000-0000-00001F010000}"/>
    <hyperlink ref="Y334" r:id="rId289" xr:uid="{00000000-0004-0000-0000-000020010000}"/>
    <hyperlink ref="Y222" r:id="rId290" xr:uid="{00000000-0004-0000-0000-000021010000}"/>
    <hyperlink ref="Y223" r:id="rId291" xr:uid="{00000000-0004-0000-0000-000022010000}"/>
    <hyperlink ref="Y335" r:id="rId292" xr:uid="{00000000-0004-0000-0000-000023010000}"/>
    <hyperlink ref="Y224" r:id="rId293" xr:uid="{00000000-0004-0000-0000-000024010000}"/>
    <hyperlink ref="Y123" r:id="rId294" xr:uid="{00000000-0004-0000-0000-000025010000}"/>
    <hyperlink ref="Y336" r:id="rId295" xr:uid="{00000000-0004-0000-0000-000026010000}"/>
    <hyperlink ref="Y225" r:id="rId296" xr:uid="{00000000-0004-0000-0000-000027010000}"/>
    <hyperlink ref="Y226" r:id="rId297" xr:uid="{00000000-0004-0000-0000-000028010000}"/>
    <hyperlink ref="Y124" r:id="rId298" xr:uid="{00000000-0004-0000-0000-000029010000}"/>
    <hyperlink ref="Y337" r:id="rId299" xr:uid="{00000000-0004-0000-0000-00002A010000}"/>
    <hyperlink ref="Y162" r:id="rId300" xr:uid="{00000000-0004-0000-0000-00002B010000}"/>
    <hyperlink ref="Y125" r:id="rId301" xr:uid="{00000000-0004-0000-0000-00002C010000}"/>
    <hyperlink ref="Y338" r:id="rId302" xr:uid="{00000000-0004-0000-0000-00002D010000}"/>
    <hyperlink ref="Y549" r:id="rId303" xr:uid="{00000000-0004-0000-0000-00002E010000}"/>
    <hyperlink ref="Y126" r:id="rId304" xr:uid="{00000000-0004-0000-0000-00002F010000}"/>
    <hyperlink ref="Y339" r:id="rId305" xr:uid="{00000000-0004-0000-0000-000030010000}"/>
    <hyperlink ref="Y340" r:id="rId306" xr:uid="{00000000-0004-0000-0000-000031010000}"/>
    <hyperlink ref="Y227" r:id="rId307" xr:uid="{00000000-0004-0000-0000-000032010000}"/>
    <hyperlink ref="Y228" r:id="rId308" xr:uid="{00000000-0004-0000-0000-000033010000}"/>
    <hyperlink ref="Y229" r:id="rId309" xr:uid="{00000000-0004-0000-0000-000034010000}"/>
    <hyperlink ref="Y341" r:id="rId310" xr:uid="{00000000-0004-0000-0000-000035010000}"/>
    <hyperlink ref="Y230" r:id="rId311" xr:uid="{00000000-0004-0000-0000-000036010000}"/>
    <hyperlink ref="Y550" r:id="rId312" xr:uid="{00000000-0004-0000-0000-000037010000}"/>
    <hyperlink ref="Y342" r:id="rId313" xr:uid="{00000000-0004-0000-0000-000038010000}"/>
    <hyperlink ref="Y551" r:id="rId314" xr:uid="{00000000-0004-0000-0000-000039010000}"/>
    <hyperlink ref="Y343" r:id="rId315" xr:uid="{00000000-0004-0000-0000-00003A010000}"/>
    <hyperlink ref="Y552" r:id="rId316" xr:uid="{00000000-0004-0000-0000-00003B010000}"/>
    <hyperlink ref="Y231" r:id="rId317" xr:uid="{00000000-0004-0000-0000-00003C010000}"/>
    <hyperlink ref="Y553" r:id="rId318" xr:uid="{00000000-0004-0000-0000-00003D010000}"/>
    <hyperlink ref="Y344" r:id="rId319" xr:uid="{00000000-0004-0000-0000-00003E010000}"/>
    <hyperlink ref="Y554" r:id="rId320" xr:uid="{00000000-0004-0000-0000-00003F010000}"/>
    <hyperlink ref="Y555" r:id="rId321" xr:uid="{00000000-0004-0000-0000-000040010000}"/>
    <hyperlink ref="Y345" r:id="rId322" xr:uid="{00000000-0004-0000-0000-000041010000}"/>
    <hyperlink ref="Y232" r:id="rId323" xr:uid="{00000000-0004-0000-0000-000042010000}"/>
    <hyperlink ref="Y556" r:id="rId324" xr:uid="{00000000-0004-0000-0000-000043010000}"/>
    <hyperlink ref="Y346" r:id="rId325" xr:uid="{00000000-0004-0000-0000-000044010000}"/>
    <hyperlink ref="Y233" r:id="rId326" xr:uid="{00000000-0004-0000-0000-000045010000}"/>
    <hyperlink ref="Y234" r:id="rId327" xr:uid="{00000000-0004-0000-0000-000046010000}"/>
    <hyperlink ref="Y235" r:id="rId328" xr:uid="{00000000-0004-0000-0000-000047010000}"/>
    <hyperlink ref="Y127" r:id="rId329" xr:uid="{00000000-0004-0000-0000-000048010000}"/>
    <hyperlink ref="Y347" r:id="rId330" xr:uid="{00000000-0004-0000-0000-000049010000}"/>
    <hyperlink ref="Y348" r:id="rId331" xr:uid="{00000000-0004-0000-0000-00004A010000}"/>
    <hyperlink ref="Y236" r:id="rId332" xr:uid="{00000000-0004-0000-0000-00004B010000}"/>
    <hyperlink ref="Y349" r:id="rId333" xr:uid="{00000000-0004-0000-0000-00004C010000}"/>
    <hyperlink ref="Y237" r:id="rId334" xr:uid="{00000000-0004-0000-0000-00004D010000}"/>
    <hyperlink ref="Y238" r:id="rId335" xr:uid="{00000000-0004-0000-0000-00004E010000}"/>
    <hyperlink ref="Y557" r:id="rId336" xr:uid="{00000000-0004-0000-0000-00004F010000}"/>
    <hyperlink ref="Y239" r:id="rId337" xr:uid="{00000000-0004-0000-0000-000050010000}"/>
    <hyperlink ref="Y350" r:id="rId338" xr:uid="{00000000-0004-0000-0000-000051010000}"/>
    <hyperlink ref="Y128" r:id="rId339" xr:uid="{00000000-0004-0000-0000-000052010000}"/>
    <hyperlink ref="Y240" r:id="rId340" xr:uid="{00000000-0004-0000-0000-000053010000}"/>
    <hyperlink ref="Y351" r:id="rId341" xr:uid="{00000000-0004-0000-0000-000054010000}"/>
    <hyperlink ref="Y241" r:id="rId342" xr:uid="{00000000-0004-0000-0000-000055010000}"/>
    <hyperlink ref="Y352" r:id="rId343" xr:uid="{00000000-0004-0000-0000-000056010000}"/>
    <hyperlink ref="Y558" r:id="rId344" xr:uid="{00000000-0004-0000-0000-000057010000}"/>
    <hyperlink ref="Y353" r:id="rId345" xr:uid="{00000000-0004-0000-0000-000058010000}"/>
    <hyperlink ref="Y242" r:id="rId346" xr:uid="{00000000-0004-0000-0000-000059010000}"/>
    <hyperlink ref="Y354" r:id="rId347" xr:uid="{00000000-0004-0000-0000-00005A010000}"/>
    <hyperlink ref="Y355" r:id="rId348" xr:uid="{00000000-0004-0000-0000-00005B010000}"/>
    <hyperlink ref="Y243" r:id="rId349" xr:uid="{00000000-0004-0000-0000-00005C010000}"/>
    <hyperlink ref="Y244" r:id="rId350" xr:uid="{00000000-0004-0000-0000-00005D010000}"/>
    <hyperlink ref="Y559" r:id="rId351" xr:uid="{00000000-0004-0000-0000-00005E010000}"/>
    <hyperlink ref="Y356" r:id="rId352" xr:uid="{00000000-0004-0000-0000-00005F010000}"/>
    <hyperlink ref="Y163" r:id="rId353" xr:uid="{00000000-0004-0000-0000-000060010000}"/>
    <hyperlink ref="Y560" r:id="rId354" xr:uid="{00000000-0004-0000-0000-000061010000}"/>
    <hyperlink ref="Y357" r:id="rId355" xr:uid="{00000000-0004-0000-0000-000062010000}"/>
    <hyperlink ref="Y358" r:id="rId356" xr:uid="{00000000-0004-0000-0000-000063010000}"/>
    <hyperlink ref="Y245" r:id="rId357" xr:uid="{00000000-0004-0000-0000-000064010000}"/>
    <hyperlink ref="Y359" r:id="rId358" xr:uid="{00000000-0004-0000-0000-000065010000}"/>
    <hyperlink ref="Y164" r:id="rId359" xr:uid="{00000000-0004-0000-0000-000066010000}"/>
    <hyperlink ref="Y561" r:id="rId360" xr:uid="{00000000-0004-0000-0000-000067010000}"/>
    <hyperlink ref="Y165" r:id="rId361" xr:uid="{00000000-0004-0000-0000-000068010000}"/>
    <hyperlink ref="Y360" r:id="rId362" xr:uid="{00000000-0004-0000-0000-000069010000}"/>
    <hyperlink ref="Y361" r:id="rId363" xr:uid="{00000000-0004-0000-0000-00006A010000}"/>
    <hyperlink ref="Y362" r:id="rId364" xr:uid="{00000000-0004-0000-0000-00006B010000}"/>
    <hyperlink ref="Y363" r:id="rId365" xr:uid="{00000000-0004-0000-0000-00006C010000}"/>
    <hyperlink ref="Y364" r:id="rId366" xr:uid="{00000000-0004-0000-0000-00006D010000}"/>
    <hyperlink ref="Y365" r:id="rId367" xr:uid="{00000000-0004-0000-0000-00006E010000}"/>
    <hyperlink ref="Y366" r:id="rId368" xr:uid="{00000000-0004-0000-0000-00006F010000}"/>
    <hyperlink ref="Y166" r:id="rId369" xr:uid="{00000000-0004-0000-0000-000070010000}"/>
    <hyperlink ref="Y367" r:id="rId370" xr:uid="{00000000-0004-0000-0000-000071010000}"/>
    <hyperlink ref="Y368" r:id="rId371" xr:uid="{00000000-0004-0000-0000-000072010000}"/>
    <hyperlink ref="Y369" r:id="rId372" xr:uid="{00000000-0004-0000-0000-000073010000}"/>
    <hyperlink ref="Y562" r:id="rId373" xr:uid="{00000000-0004-0000-0000-000074010000}"/>
    <hyperlink ref="Y370" r:id="rId374" xr:uid="{00000000-0004-0000-0000-000075010000}"/>
    <hyperlink ref="Y129" r:id="rId375" xr:uid="{00000000-0004-0000-0000-000076010000}"/>
    <hyperlink ref="Y371" r:id="rId376" xr:uid="{00000000-0004-0000-0000-000077010000}"/>
    <hyperlink ref="Y372" r:id="rId377" xr:uid="{00000000-0004-0000-0000-000078010000}"/>
    <hyperlink ref="Y373" r:id="rId378" xr:uid="{00000000-0004-0000-0000-000079010000}"/>
    <hyperlink ref="Y374" r:id="rId379" xr:uid="{00000000-0004-0000-0000-00007A010000}"/>
    <hyperlink ref="Y563" r:id="rId380" xr:uid="{00000000-0004-0000-0000-00007B010000}"/>
    <hyperlink ref="Y375" r:id="rId381" xr:uid="{00000000-0004-0000-0000-00007C010000}"/>
    <hyperlink ref="Y376" r:id="rId382" xr:uid="{00000000-0004-0000-0000-00007D010000}"/>
    <hyperlink ref="Y130" r:id="rId383" xr:uid="{00000000-0004-0000-0000-00007E010000}"/>
    <hyperlink ref="Y377" r:id="rId384" xr:uid="{00000000-0004-0000-0000-00007F010000}"/>
    <hyperlink ref="Y564" r:id="rId385" xr:uid="{00000000-0004-0000-0000-000080010000}"/>
    <hyperlink ref="Y378" r:id="rId386" xr:uid="{00000000-0004-0000-0000-000081010000}"/>
    <hyperlink ref="Y379" r:id="rId387" xr:uid="{00000000-0004-0000-0000-000082010000}"/>
    <hyperlink ref="Y380" r:id="rId388" xr:uid="{00000000-0004-0000-0000-000083010000}"/>
    <hyperlink ref="Y565" r:id="rId389" xr:uid="{00000000-0004-0000-0000-000084010000}"/>
    <hyperlink ref="Y381" r:id="rId390" xr:uid="{00000000-0004-0000-0000-000085010000}"/>
    <hyperlink ref="Y566" r:id="rId391" xr:uid="{00000000-0004-0000-0000-000086010000}"/>
    <hyperlink ref="Y382" r:id="rId392" xr:uid="{00000000-0004-0000-0000-000087010000}"/>
    <hyperlink ref="Y383" r:id="rId393" xr:uid="{00000000-0004-0000-0000-000088010000}"/>
    <hyperlink ref="Y384" r:id="rId394" xr:uid="{00000000-0004-0000-0000-000089010000}"/>
    <hyperlink ref="Y385" r:id="rId395" xr:uid="{00000000-0004-0000-0000-00008A010000}"/>
    <hyperlink ref="Y386" r:id="rId396" xr:uid="{00000000-0004-0000-0000-00008B010000}"/>
    <hyperlink ref="Y387" r:id="rId397" xr:uid="{00000000-0004-0000-0000-00008C010000}"/>
    <hyperlink ref="Y388" r:id="rId398" xr:uid="{00000000-0004-0000-0000-00008D010000}"/>
    <hyperlink ref="Y389" r:id="rId399" xr:uid="{00000000-0004-0000-0000-00008E010000}"/>
    <hyperlink ref="Y390" r:id="rId400" xr:uid="{00000000-0004-0000-0000-00008F010000}"/>
    <hyperlink ref="Y391" r:id="rId401" xr:uid="{00000000-0004-0000-0000-000090010000}"/>
    <hyperlink ref="Y392" r:id="rId402" xr:uid="{00000000-0004-0000-0000-000091010000}"/>
    <hyperlink ref="Y393" r:id="rId403" xr:uid="{00000000-0004-0000-0000-000092010000}"/>
    <hyperlink ref="Y394" r:id="rId404" xr:uid="{00000000-0004-0000-0000-000093010000}"/>
    <hyperlink ref="Y395" r:id="rId405" xr:uid="{00000000-0004-0000-0000-000094010000}"/>
    <hyperlink ref="Y396" r:id="rId406" xr:uid="{00000000-0004-0000-0000-000095010000}"/>
    <hyperlink ref="Y397" r:id="rId407" xr:uid="{00000000-0004-0000-0000-000096010000}"/>
    <hyperlink ref="Y398" r:id="rId408" xr:uid="{00000000-0004-0000-0000-000097010000}"/>
    <hyperlink ref="Y399" r:id="rId409" xr:uid="{00000000-0004-0000-0000-000098010000}"/>
    <hyperlink ref="Y400" r:id="rId410" xr:uid="{00000000-0004-0000-0000-000099010000}"/>
    <hyperlink ref="Y567" r:id="rId411" xr:uid="{00000000-0004-0000-0000-00009A010000}"/>
    <hyperlink ref="Y401" r:id="rId412" xr:uid="{00000000-0004-0000-0000-00009B010000}"/>
    <hyperlink ref="Y402" r:id="rId413" xr:uid="{00000000-0004-0000-0000-00009C010000}"/>
    <hyperlink ref="Y403" r:id="rId414" xr:uid="{00000000-0004-0000-0000-00009D010000}"/>
    <hyperlink ref="Y404" r:id="rId415" xr:uid="{00000000-0004-0000-0000-00009E010000}"/>
    <hyperlink ref="Y405" r:id="rId416" xr:uid="{00000000-0004-0000-0000-00009F010000}"/>
    <hyperlink ref="Y246" r:id="rId417" xr:uid="{00000000-0004-0000-0000-0000A0010000}"/>
    <hyperlink ref="Y406" r:id="rId418" xr:uid="{00000000-0004-0000-0000-0000A1010000}"/>
    <hyperlink ref="Y407" r:id="rId419" xr:uid="{00000000-0004-0000-0000-0000A2010000}"/>
    <hyperlink ref="Y408" r:id="rId420" xr:uid="{00000000-0004-0000-0000-0000A3010000}"/>
    <hyperlink ref="Y409" r:id="rId421" xr:uid="{00000000-0004-0000-0000-0000A4010000}"/>
    <hyperlink ref="Y410" r:id="rId422" xr:uid="{00000000-0004-0000-0000-0000A5010000}"/>
    <hyperlink ref="Y411" r:id="rId423" xr:uid="{00000000-0004-0000-0000-0000A6010000}"/>
    <hyperlink ref="Y412" r:id="rId424" xr:uid="{00000000-0004-0000-0000-0000A7010000}"/>
    <hyperlink ref="Y568" r:id="rId425" xr:uid="{00000000-0004-0000-0000-0000A8010000}"/>
    <hyperlink ref="Y413" r:id="rId426" xr:uid="{00000000-0004-0000-0000-0000A9010000}"/>
    <hyperlink ref="Y414" r:id="rId427" xr:uid="{00000000-0004-0000-0000-0000AA010000}"/>
    <hyperlink ref="Y415" r:id="rId428" xr:uid="{00000000-0004-0000-0000-0000AB010000}"/>
    <hyperlink ref="Y416" r:id="rId429" xr:uid="{00000000-0004-0000-0000-0000AC010000}"/>
    <hyperlink ref="Y417" r:id="rId430" xr:uid="{00000000-0004-0000-0000-0000AD010000}"/>
    <hyperlink ref="Y418" r:id="rId431" xr:uid="{00000000-0004-0000-0000-0000AE010000}"/>
    <hyperlink ref="Y419" r:id="rId432" xr:uid="{00000000-0004-0000-0000-0000AF010000}"/>
    <hyperlink ref="Y420" r:id="rId433" xr:uid="{00000000-0004-0000-0000-0000B0010000}"/>
    <hyperlink ref="Y421" r:id="rId434" xr:uid="{00000000-0004-0000-0000-0000B1010000}"/>
    <hyperlink ref="Y422" r:id="rId435" xr:uid="{00000000-0004-0000-0000-0000B2010000}"/>
    <hyperlink ref="Y423" r:id="rId436" xr:uid="{00000000-0004-0000-0000-0000B3010000}"/>
    <hyperlink ref="Y424" r:id="rId437" xr:uid="{00000000-0004-0000-0000-0000B4010000}"/>
    <hyperlink ref="Y425" r:id="rId438" xr:uid="{00000000-0004-0000-0000-0000B5010000}"/>
    <hyperlink ref="Y426" r:id="rId439" xr:uid="{00000000-0004-0000-0000-0000B6010000}"/>
    <hyperlink ref="Y427" r:id="rId440" xr:uid="{00000000-0004-0000-0000-0000B7010000}"/>
    <hyperlink ref="Y428" r:id="rId441" xr:uid="{00000000-0004-0000-0000-0000B8010000}"/>
    <hyperlink ref="Y429" r:id="rId442" xr:uid="{00000000-0004-0000-0000-0000B9010000}"/>
    <hyperlink ref="Y430" r:id="rId443" xr:uid="{00000000-0004-0000-0000-0000BA010000}"/>
    <hyperlink ref="Y569" r:id="rId444" xr:uid="{00000000-0004-0000-0000-0000BB010000}"/>
    <hyperlink ref="Y431" r:id="rId445" xr:uid="{00000000-0004-0000-0000-0000BC010000}"/>
    <hyperlink ref="Y432" r:id="rId446" xr:uid="{00000000-0004-0000-0000-0000BD010000}"/>
    <hyperlink ref="Y433" r:id="rId447" xr:uid="{00000000-0004-0000-0000-0000BE010000}"/>
    <hyperlink ref="Y247" r:id="rId448" xr:uid="{00000000-0004-0000-0000-0000BF010000}"/>
    <hyperlink ref="Y434" r:id="rId449" xr:uid="{00000000-0004-0000-0000-0000C0010000}"/>
    <hyperlink ref="Y435" r:id="rId450" xr:uid="{00000000-0004-0000-0000-0000C1010000}"/>
    <hyperlink ref="Y436" r:id="rId451" xr:uid="{00000000-0004-0000-0000-0000C2010000}"/>
    <hyperlink ref="Y437" r:id="rId452" xr:uid="{00000000-0004-0000-0000-0000C3010000}"/>
    <hyperlink ref="Y570" r:id="rId453" xr:uid="{00000000-0004-0000-0000-0000C4010000}"/>
    <hyperlink ref="Y438" r:id="rId454" xr:uid="{00000000-0004-0000-0000-0000C5010000}"/>
    <hyperlink ref="Y439" r:id="rId455" xr:uid="{00000000-0004-0000-0000-0000C6010000}"/>
    <hyperlink ref="Y440" r:id="rId456" xr:uid="{00000000-0004-0000-0000-0000C7010000}"/>
    <hyperlink ref="Y441" r:id="rId457" xr:uid="{00000000-0004-0000-0000-0000C8010000}"/>
    <hyperlink ref="Y442" r:id="rId458" xr:uid="{00000000-0004-0000-0000-0000C9010000}"/>
    <hyperlink ref="Y443" r:id="rId459" xr:uid="{00000000-0004-0000-0000-0000CA010000}"/>
    <hyperlink ref="Y444" r:id="rId460" xr:uid="{00000000-0004-0000-0000-0000CB010000}"/>
    <hyperlink ref="Y445" r:id="rId461" xr:uid="{00000000-0004-0000-0000-0000CC010000}"/>
    <hyperlink ref="Y446" r:id="rId462" xr:uid="{00000000-0004-0000-0000-0000CD010000}"/>
    <hyperlink ref="Y447" r:id="rId463" xr:uid="{00000000-0004-0000-0000-0000CE010000}"/>
    <hyperlink ref="Y448" r:id="rId464" xr:uid="{00000000-0004-0000-0000-0000CF010000}"/>
    <hyperlink ref="Y449" r:id="rId465" xr:uid="{00000000-0004-0000-0000-0000D0010000}"/>
    <hyperlink ref="Y450" r:id="rId466" xr:uid="{00000000-0004-0000-0000-0000D1010000}"/>
    <hyperlink ref="Y451" r:id="rId467" xr:uid="{00000000-0004-0000-0000-0000D2010000}"/>
    <hyperlink ref="Y452" r:id="rId468" xr:uid="{00000000-0004-0000-0000-0000D3010000}"/>
    <hyperlink ref="Y453" r:id="rId469" xr:uid="{00000000-0004-0000-0000-0000D4010000}"/>
    <hyperlink ref="Y248" r:id="rId470" xr:uid="{00000000-0004-0000-0000-0000D5010000}"/>
    <hyperlink ref="Y454" r:id="rId471" xr:uid="{00000000-0004-0000-0000-0000D6010000}"/>
    <hyperlink ref="Y455" r:id="rId472" xr:uid="{00000000-0004-0000-0000-0000D7010000}"/>
    <hyperlink ref="Y456" r:id="rId473" xr:uid="{00000000-0004-0000-0000-0000D8010000}"/>
    <hyperlink ref="Y249" r:id="rId474" xr:uid="{00000000-0004-0000-0000-0000D9010000}"/>
    <hyperlink ref="Y457" r:id="rId475" xr:uid="{00000000-0004-0000-0000-0000DA010000}"/>
    <hyperlink ref="Y458" r:id="rId476" xr:uid="{00000000-0004-0000-0000-0000DB010000}"/>
    <hyperlink ref="Y459" r:id="rId477" xr:uid="{00000000-0004-0000-0000-0000DC010000}"/>
    <hyperlink ref="Y250" r:id="rId478" xr:uid="{00000000-0004-0000-0000-0000DD010000}"/>
    <hyperlink ref="Y460" r:id="rId479" xr:uid="{00000000-0004-0000-0000-0000DE010000}"/>
    <hyperlink ref="Y461" r:id="rId480" xr:uid="{00000000-0004-0000-0000-0000DF010000}"/>
    <hyperlink ref="Y462" r:id="rId481" xr:uid="{00000000-0004-0000-0000-0000E0010000}"/>
    <hyperlink ref="Y463" r:id="rId482" xr:uid="{00000000-0004-0000-0000-0000E1010000}"/>
    <hyperlink ref="Y464" r:id="rId483" xr:uid="{00000000-0004-0000-0000-0000E2010000}"/>
    <hyperlink ref="Y465" r:id="rId484" xr:uid="{00000000-0004-0000-0000-0000E3010000}"/>
    <hyperlink ref="Y466" r:id="rId485" xr:uid="{00000000-0004-0000-0000-0000E4010000}"/>
    <hyperlink ref="Y467" r:id="rId486" xr:uid="{00000000-0004-0000-0000-0000E5010000}"/>
    <hyperlink ref="Y468" r:id="rId487" xr:uid="{00000000-0004-0000-0000-0000E6010000}"/>
    <hyperlink ref="Y469" r:id="rId488" xr:uid="{00000000-0004-0000-0000-0000E7010000}"/>
    <hyperlink ref="Y251" r:id="rId489" xr:uid="{00000000-0004-0000-0000-0000E8010000}"/>
    <hyperlink ref="Y470" r:id="rId490" xr:uid="{00000000-0004-0000-0000-0000E9010000}"/>
    <hyperlink ref="Y471" r:id="rId491" xr:uid="{00000000-0004-0000-0000-0000EA010000}"/>
    <hyperlink ref="Y472" r:id="rId492" xr:uid="{00000000-0004-0000-0000-0000EB010000}"/>
    <hyperlink ref="Y473" r:id="rId493" xr:uid="{00000000-0004-0000-0000-0000EC010000}"/>
    <hyperlink ref="Y474" r:id="rId494" xr:uid="{00000000-0004-0000-0000-0000ED010000}"/>
    <hyperlink ref="Y475" r:id="rId495" xr:uid="{00000000-0004-0000-0000-0000EE010000}"/>
    <hyperlink ref="Y476" r:id="rId496" xr:uid="{00000000-0004-0000-0000-0000EF010000}"/>
    <hyperlink ref="Y477" r:id="rId497" xr:uid="{00000000-0004-0000-0000-0000F0010000}"/>
    <hyperlink ref="Y252" r:id="rId498" xr:uid="{00000000-0004-0000-0000-0000F1010000}"/>
    <hyperlink ref="Y478" r:id="rId499" xr:uid="{00000000-0004-0000-0000-0000F2010000}"/>
    <hyperlink ref="Y479" r:id="rId500" xr:uid="{00000000-0004-0000-0000-0000F3010000}"/>
    <hyperlink ref="Y480" r:id="rId501" xr:uid="{00000000-0004-0000-0000-0000F4010000}"/>
    <hyperlink ref="Y481" r:id="rId502" xr:uid="{00000000-0004-0000-0000-0000F5010000}"/>
    <hyperlink ref="Y482" r:id="rId503" xr:uid="{00000000-0004-0000-0000-0000F6010000}"/>
    <hyperlink ref="Y483" r:id="rId504" xr:uid="{00000000-0004-0000-0000-0000F7010000}"/>
    <hyperlink ref="Y484" r:id="rId505" xr:uid="{00000000-0004-0000-0000-0000F8010000}"/>
    <hyperlink ref="Y485" r:id="rId506" xr:uid="{00000000-0004-0000-0000-0000F9010000}"/>
    <hyperlink ref="Y486" r:id="rId507" xr:uid="{00000000-0004-0000-0000-0000FA010000}"/>
    <hyperlink ref="Y487" r:id="rId508" xr:uid="{00000000-0004-0000-0000-0000FB010000}"/>
    <hyperlink ref="Y488" r:id="rId509" xr:uid="{00000000-0004-0000-0000-0000FC010000}"/>
    <hyperlink ref="Y489" r:id="rId510" xr:uid="{00000000-0004-0000-0000-0000FD010000}"/>
    <hyperlink ref="Y490" r:id="rId511" xr:uid="{00000000-0004-0000-0000-0000FE010000}"/>
    <hyperlink ref="Y491" r:id="rId512" xr:uid="{00000000-0004-0000-0000-0000FF010000}"/>
    <hyperlink ref="Y492" r:id="rId513" xr:uid="{00000000-0004-0000-0000-000000020000}"/>
    <hyperlink ref="Y493" r:id="rId514" xr:uid="{00000000-0004-0000-0000-000001020000}"/>
    <hyperlink ref="Y571" r:id="rId515" xr:uid="{00000000-0004-0000-0000-000002020000}"/>
    <hyperlink ref="Y494" r:id="rId516" xr:uid="{00000000-0004-0000-0000-000003020000}"/>
    <hyperlink ref="Y495" r:id="rId517" xr:uid="{00000000-0004-0000-0000-000004020000}"/>
    <hyperlink ref="Y572" r:id="rId518" xr:uid="{00000000-0004-0000-0000-000005020000}"/>
    <hyperlink ref="Y496" r:id="rId519" xr:uid="{00000000-0004-0000-0000-000006020000}"/>
    <hyperlink ref="Y497" r:id="rId520" xr:uid="{00000000-0004-0000-0000-000007020000}"/>
    <hyperlink ref="Y498" r:id="rId521" xr:uid="{00000000-0004-0000-0000-000008020000}"/>
    <hyperlink ref="Y499" r:id="rId522" xr:uid="{00000000-0004-0000-0000-000009020000}"/>
    <hyperlink ref="Y500" r:id="rId523" xr:uid="{00000000-0004-0000-0000-00000A020000}"/>
    <hyperlink ref="Y501" r:id="rId524" xr:uid="{00000000-0004-0000-0000-00000B020000}"/>
    <hyperlink ref="Y502" r:id="rId525" xr:uid="{00000000-0004-0000-0000-00000C020000}"/>
    <hyperlink ref="Y503" r:id="rId526" xr:uid="{00000000-0004-0000-0000-00000D020000}"/>
    <hyperlink ref="Y573" r:id="rId527" xr:uid="{00000000-0004-0000-0000-00000E020000}"/>
    <hyperlink ref="Y504" r:id="rId528" xr:uid="{00000000-0004-0000-0000-00000F020000}"/>
    <hyperlink ref="Y574" r:id="rId529" xr:uid="{00000000-0004-0000-0000-000010020000}"/>
    <hyperlink ref="Y575" r:id="rId530" xr:uid="{00000000-0004-0000-0000-000011020000}"/>
    <hyperlink ref="Y505" r:id="rId531" xr:uid="{00000000-0004-0000-0000-000012020000}"/>
    <hyperlink ref="Y506" r:id="rId532" xr:uid="{00000000-0004-0000-0000-000013020000}"/>
    <hyperlink ref="Y507" r:id="rId533" xr:uid="{00000000-0004-0000-0000-000014020000}"/>
    <hyperlink ref="Y576" r:id="rId534" xr:uid="{00000000-0004-0000-0000-000015020000}"/>
    <hyperlink ref="Y508" r:id="rId535" xr:uid="{00000000-0004-0000-0000-000016020000}"/>
    <hyperlink ref="Y509" r:id="rId536" xr:uid="{00000000-0004-0000-0000-000017020000}"/>
    <hyperlink ref="Y577" r:id="rId537" xr:uid="{00000000-0004-0000-0000-000018020000}"/>
    <hyperlink ref="Y578" r:id="rId538" xr:uid="{00000000-0004-0000-0000-000019020000}"/>
    <hyperlink ref="Y510" r:id="rId539" xr:uid="{00000000-0004-0000-0000-00001A020000}"/>
    <hyperlink ref="Y511" r:id="rId540" xr:uid="{00000000-0004-0000-0000-00001B020000}"/>
    <hyperlink ref="Y512" r:id="rId541" xr:uid="{00000000-0004-0000-0000-00001C020000}"/>
    <hyperlink ref="Y513" r:id="rId542" xr:uid="{00000000-0004-0000-0000-00001D020000}"/>
    <hyperlink ref="Y514" r:id="rId543" xr:uid="{00000000-0004-0000-0000-00001E020000}"/>
    <hyperlink ref="Y515" r:id="rId544" xr:uid="{00000000-0004-0000-0000-00001F020000}"/>
    <hyperlink ref="Y516" r:id="rId545" xr:uid="{00000000-0004-0000-0000-000020020000}"/>
    <hyperlink ref="Y517" r:id="rId546" xr:uid="{00000000-0004-0000-0000-000021020000}"/>
    <hyperlink ref="Y518" r:id="rId547" xr:uid="{00000000-0004-0000-0000-000022020000}"/>
    <hyperlink ref="Y519" r:id="rId548" xr:uid="{00000000-0004-0000-0000-000023020000}"/>
    <hyperlink ref="Y520" r:id="rId549" xr:uid="{00000000-0004-0000-0000-000024020000}"/>
    <hyperlink ref="Y521" r:id="rId550" xr:uid="{00000000-0004-0000-0000-000025020000}"/>
    <hyperlink ref="Y522" r:id="rId551" xr:uid="{00000000-0004-0000-0000-000026020000}"/>
    <hyperlink ref="Y523" r:id="rId552" xr:uid="{00000000-0004-0000-0000-000027020000}"/>
    <hyperlink ref="Y524" r:id="rId553" xr:uid="{00000000-0004-0000-0000-000028020000}"/>
    <hyperlink ref="Y525" r:id="rId554" xr:uid="{00000000-0004-0000-0000-000029020000}"/>
    <hyperlink ref="Y526" r:id="rId555" xr:uid="{00000000-0004-0000-0000-00002A020000}"/>
    <hyperlink ref="Y527" r:id="rId556" xr:uid="{00000000-0004-0000-0000-00002B020000}"/>
    <hyperlink ref="Y528" r:id="rId557" xr:uid="{00000000-0004-0000-0000-00002C020000}"/>
    <hyperlink ref="Y529" r:id="rId558" xr:uid="{00000000-0004-0000-0000-00002D020000}"/>
    <hyperlink ref="Y530" r:id="rId559" xr:uid="{00000000-0004-0000-0000-00002E020000}"/>
    <hyperlink ref="Y531" r:id="rId560" xr:uid="{00000000-0004-0000-0000-00002F020000}"/>
    <hyperlink ref="Y532" r:id="rId561" xr:uid="{00000000-0004-0000-0000-000030020000}"/>
    <hyperlink ref="Y533" r:id="rId562" xr:uid="{00000000-0004-0000-0000-000031020000}"/>
    <hyperlink ref="Y534" r:id="rId563" xr:uid="{00000000-0004-0000-0000-000032020000}"/>
    <hyperlink ref="Y535" r:id="rId564" xr:uid="{00000000-0004-0000-0000-000033020000}"/>
    <hyperlink ref="Y536" r:id="rId565" xr:uid="{00000000-0004-0000-0000-000034020000}"/>
    <hyperlink ref="Y537" r:id="rId566" xr:uid="{00000000-0004-0000-0000-000035020000}"/>
    <hyperlink ref="Y538" r:id="rId567" xr:uid="{00000000-0004-0000-0000-000036020000}"/>
    <hyperlink ref="Y539" r:id="rId568" xr:uid="{00000000-0004-0000-0000-000037020000}"/>
    <hyperlink ref="Y540" r:id="rId569" xr:uid="{00000000-0004-0000-0000-000038020000}"/>
    <hyperlink ref="Y541" r:id="rId570" xr:uid="{00000000-0004-0000-0000-000039020000}"/>
    <hyperlink ref="Y542" r:id="rId571" xr:uid="{00000000-0004-0000-0000-00003A020000}"/>
    <hyperlink ref="Y543" r:id="rId572" xr:uid="{00000000-0004-0000-0000-00003B020000}"/>
    <hyperlink ref="Y544" r:id="rId573" xr:uid="{00000000-0004-0000-0000-00003C020000}"/>
    <hyperlink ref="Y545" r:id="rId574" xr:uid="{00000000-0004-0000-0000-00003D020000}"/>
    <hyperlink ref="Y546" r:id="rId575" xr:uid="{00000000-0004-0000-0000-00003E020000}"/>
    <hyperlink ref="Y547" r:id="rId576" xr:uid="{00000000-0004-0000-0000-00003F020000}"/>
    <hyperlink ref="Y548" r:id="rId577" xr:uid="{00000000-0004-0000-0000-000040020000}"/>
    <hyperlink ref="Y579" r:id="rId578" xr:uid="{00000000-0004-0000-0000-000041020000}"/>
    <hyperlink ref="Y580" r:id="rId579" xr:uid="{00000000-0004-0000-0000-000042020000}"/>
    <hyperlink ref="Y581" r:id="rId580" xr:uid="{00000000-0004-0000-0000-000043020000}"/>
    <hyperlink ref="Y582" r:id="rId581" xr:uid="{00000000-0004-0000-0000-000044020000}"/>
    <hyperlink ref="Y583" r:id="rId582" xr:uid="{00000000-0004-0000-0000-000045020000}"/>
    <hyperlink ref="Y584" r:id="rId583" xr:uid="{00000000-0004-0000-0000-000046020000}"/>
    <hyperlink ref="Y585" r:id="rId584" xr:uid="{00000000-0004-0000-0000-000047020000}"/>
    <hyperlink ref="Y586" r:id="rId585" xr:uid="{00000000-0004-0000-0000-000048020000}"/>
    <hyperlink ref="Y587" r:id="rId586" xr:uid="{00000000-0004-0000-0000-000049020000}"/>
    <hyperlink ref="Y588" r:id="rId587" xr:uid="{00000000-0004-0000-0000-00004A020000}"/>
    <hyperlink ref="Y589" r:id="rId588" xr:uid="{00000000-0004-0000-0000-00004B020000}"/>
    <hyperlink ref="Y590" r:id="rId589" xr:uid="{00000000-0004-0000-0000-00004C020000}"/>
    <hyperlink ref="Y591" r:id="rId590" xr:uid="{00000000-0004-0000-0000-00004D020000}"/>
    <hyperlink ref="Y592" r:id="rId591" xr:uid="{00000000-0004-0000-0000-00004E020000}"/>
    <hyperlink ref="Y593" r:id="rId592" xr:uid="{00000000-0004-0000-0000-00004F020000}"/>
    <hyperlink ref="Y594" r:id="rId593" xr:uid="{00000000-0004-0000-0000-000050020000}"/>
    <hyperlink ref="Y595" r:id="rId594" xr:uid="{00000000-0004-0000-0000-000051020000}"/>
    <hyperlink ref="Y596" r:id="rId595" xr:uid="{00000000-0004-0000-0000-000052020000}"/>
    <hyperlink ref="Y597" r:id="rId596" xr:uid="{00000000-0004-0000-0000-000053020000}"/>
    <hyperlink ref="Y598" r:id="rId597" xr:uid="{00000000-0004-0000-0000-000054020000}"/>
    <hyperlink ref="Y599" r:id="rId598" xr:uid="{00000000-0004-0000-0000-000055020000}"/>
    <hyperlink ref="Y600" r:id="rId599" xr:uid="{00000000-0004-0000-0000-000056020000}"/>
    <hyperlink ref="Y601" r:id="rId600" xr:uid="{00000000-0004-0000-0000-000057020000}"/>
    <hyperlink ref="Y602" r:id="rId601" xr:uid="{00000000-0004-0000-0000-000058020000}"/>
    <hyperlink ref="Y603" r:id="rId602" xr:uid="{00000000-0004-0000-0000-000059020000}"/>
    <hyperlink ref="Y604" r:id="rId603" xr:uid="{00000000-0004-0000-0000-00005A020000}"/>
    <hyperlink ref="Y605" r:id="rId604" xr:uid="{00000000-0004-0000-0000-00005B020000}"/>
    <hyperlink ref="Y606" r:id="rId605" xr:uid="{00000000-0004-0000-0000-00005C020000}"/>
    <hyperlink ref="Y607" r:id="rId606" xr:uid="{00000000-0004-0000-0000-00005D020000}"/>
    <hyperlink ref="Y608" r:id="rId607" xr:uid="{00000000-0004-0000-0000-00005E020000}"/>
    <hyperlink ref="Y609" r:id="rId608" xr:uid="{00000000-0004-0000-0000-00005F020000}"/>
    <hyperlink ref="Y610" r:id="rId609" xr:uid="{00000000-0004-0000-0000-000060020000}"/>
    <hyperlink ref="Y611" r:id="rId610" xr:uid="{00000000-0004-0000-0000-000061020000}"/>
    <hyperlink ref="Y612" r:id="rId611" xr:uid="{00000000-0004-0000-0000-000062020000}"/>
    <hyperlink ref="Y613" r:id="rId612" xr:uid="{00000000-0004-0000-0000-000063020000}"/>
    <hyperlink ref="Y614" r:id="rId613" xr:uid="{00000000-0004-0000-0000-000064020000}"/>
    <hyperlink ref="Y615" r:id="rId614" xr:uid="{00000000-0004-0000-0000-000065020000}"/>
    <hyperlink ref="Y616" r:id="rId615" xr:uid="{00000000-0004-0000-0000-000066020000}"/>
    <hyperlink ref="Y617" r:id="rId616" xr:uid="{00000000-0004-0000-0000-000067020000}"/>
    <hyperlink ref="Y618" r:id="rId617" xr:uid="{00000000-0004-0000-0000-000068020000}"/>
    <hyperlink ref="Y619" r:id="rId618" xr:uid="{00000000-0004-0000-0000-000069020000}"/>
    <hyperlink ref="Y620" r:id="rId619" xr:uid="{00000000-0004-0000-0000-00006A020000}"/>
    <hyperlink ref="Y621" r:id="rId620" xr:uid="{00000000-0004-0000-0000-00006B020000}"/>
    <hyperlink ref="Y622" r:id="rId621" xr:uid="{00000000-0004-0000-0000-00006C020000}"/>
    <hyperlink ref="Y623" r:id="rId622" xr:uid="{00000000-0004-0000-0000-00006D020000}"/>
    <hyperlink ref="Y624" r:id="rId623" xr:uid="{00000000-0004-0000-0000-00006E020000}"/>
    <hyperlink ref="Y625" r:id="rId624" xr:uid="{00000000-0004-0000-0000-00006F020000}"/>
    <hyperlink ref="Y626" r:id="rId625" xr:uid="{00000000-0004-0000-0000-000070020000}"/>
    <hyperlink ref="Y627" r:id="rId626" xr:uid="{00000000-0004-0000-0000-000071020000}"/>
    <hyperlink ref="Y628" r:id="rId627" xr:uid="{00000000-0004-0000-0000-000072020000}"/>
    <hyperlink ref="Y629" r:id="rId628" xr:uid="{00000000-0004-0000-0000-000073020000}"/>
    <hyperlink ref="Y630" r:id="rId629" xr:uid="{00000000-0004-0000-0000-000074020000}"/>
    <hyperlink ref="Y631" r:id="rId630" xr:uid="{00000000-0004-0000-0000-000075020000}"/>
    <hyperlink ref="Y632" r:id="rId631" xr:uid="{00000000-0004-0000-0000-000076020000}"/>
    <hyperlink ref="Y633" r:id="rId632" xr:uid="{00000000-0004-0000-0000-000077020000}"/>
    <hyperlink ref="Y634" r:id="rId633" xr:uid="{00000000-0004-0000-0000-000078020000}"/>
    <hyperlink ref="Y635" r:id="rId634" xr:uid="{00000000-0004-0000-0000-000079020000}"/>
    <hyperlink ref="Y636" r:id="rId635" xr:uid="{00000000-0004-0000-0000-00007A020000}"/>
    <hyperlink ref="Y637" r:id="rId636" xr:uid="{00000000-0004-0000-0000-00007B020000}"/>
    <hyperlink ref="Y638" r:id="rId637" xr:uid="{00000000-0004-0000-0000-00007C020000}"/>
    <hyperlink ref="Y639" r:id="rId638" xr:uid="{00000000-0004-0000-0000-00007D020000}"/>
    <hyperlink ref="Y640" r:id="rId639" xr:uid="{00000000-0004-0000-0000-00007E020000}"/>
    <hyperlink ref="Y641" r:id="rId640" xr:uid="{00000000-0004-0000-0000-00007F020000}"/>
    <hyperlink ref="Y642" r:id="rId641" xr:uid="{00000000-0004-0000-0000-000080020000}"/>
    <hyperlink ref="Y643" r:id="rId642" xr:uid="{00000000-0004-0000-0000-000081020000}"/>
    <hyperlink ref="Y644" r:id="rId643" xr:uid="{00000000-0004-0000-0000-000082020000}"/>
    <hyperlink ref="Y645" r:id="rId644" xr:uid="{00000000-0004-0000-0000-000083020000}"/>
    <hyperlink ref="Y646" r:id="rId645" xr:uid="{00000000-0004-0000-0000-000084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Kwh per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Matus Konecny</cp:lastModifiedBy>
  <dcterms:created xsi:type="dcterms:W3CDTF">2026-03-11T13:34:31Z</dcterms:created>
  <dcterms:modified xsi:type="dcterms:W3CDTF">2026-03-11T14:53:07Z</dcterms:modified>
</cp:coreProperties>
</file>